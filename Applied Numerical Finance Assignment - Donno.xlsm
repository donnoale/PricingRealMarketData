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ssandro\Downloads\applied\"/>
    </mc:Choice>
  </mc:AlternateContent>
  <bookViews>
    <workbookView xWindow="0" yWindow="0" windowWidth="28800" windowHeight="11835" tabRatio="649"/>
  </bookViews>
  <sheets>
    <sheet name="Options" sheetId="10" r:id="rId1"/>
    <sheet name="StockPrices" sheetId="11" r:id="rId2"/>
    <sheet name="MonteCarlo" sheetId="13" r:id="rId3"/>
    <sheet name="STD GBM MC" sheetId="21" r:id="rId4"/>
    <sheet name="JD MC" sheetId="22" r:id="rId5"/>
    <sheet name="LB MC" sheetId="23" r:id="rId6"/>
    <sheet name="Plots" sheetId="25" r:id="rId7"/>
    <sheet name="OptionPrice1" sheetId="20" r:id="rId8"/>
    <sheet name="OptionPrice2" sheetId="19" r:id="rId9"/>
    <sheet name="DeltaChart" sheetId="14" r:id="rId10"/>
    <sheet name="VegaChart" sheetId="15" r:id="rId11"/>
    <sheet name="Instructions" sheetId="24" r:id="rId12"/>
    <sheet name="risk_free_rate" sheetId="12" r:id="rId13"/>
  </sheets>
  <functionGroups builtInGroupCount="18"/>
  <definedNames>
    <definedName name="ExternalData_1" localSheetId="0">Options!#REF!</definedName>
    <definedName name="ExternalData_1" localSheetId="12">risk_free_rate!#REF!</definedName>
    <definedName name="ExternalData_1" localSheetId="1">StockPrices!$A$1:$F$1274</definedName>
    <definedName name="ExternalData_10" localSheetId="0">Options!$A$2:$K$30</definedName>
    <definedName name="ExternalData_2" localSheetId="0">Options!#REF!</definedName>
    <definedName name="ExternalData_2" localSheetId="12">risk_free_rate!#REF!</definedName>
    <definedName name="ExternalData_2" localSheetId="1">StockPrices!$A$1:$F$1277</definedName>
    <definedName name="ExternalData_3" localSheetId="0">Options!#REF!</definedName>
    <definedName name="ExternalData_3" localSheetId="12">risk_free_rate!#REF!</definedName>
    <definedName name="ExternalData_3" localSheetId="1">StockPrices!$A$1:$F$1277</definedName>
    <definedName name="ExternalData_4" localSheetId="0">Options!#REF!</definedName>
    <definedName name="ExternalData_4" localSheetId="12">risk_free_rate!#REF!</definedName>
    <definedName name="ExternalData_4" localSheetId="1">StockPrices!$A$1:$F$1277</definedName>
    <definedName name="ExternalData_5" localSheetId="0">Options!$A$1:$K$1</definedName>
    <definedName name="ExternalData_5" localSheetId="12">risk_free_rate!#REF!</definedName>
    <definedName name="ExternalData_5" localSheetId="1">StockPrices!$A$1:$F$1277</definedName>
    <definedName name="ExternalData_6" localSheetId="0">Options!#REF!</definedName>
    <definedName name="ExternalData_6" localSheetId="12">risk_free_rate!#REF!</definedName>
    <definedName name="ExternalData_6" localSheetId="1">StockPrices!$A$1:$F$1277</definedName>
    <definedName name="ExternalData_7" localSheetId="0">Options!#REF!</definedName>
    <definedName name="ExternalData_7" localSheetId="12">risk_free_rate!#REF!</definedName>
    <definedName name="ExternalData_8" localSheetId="0">Options!#REF!</definedName>
    <definedName name="ExternalData_8" localSheetId="12">risk_free_rate!$A$1:$A$2</definedName>
    <definedName name="ExternalData_9" localSheetId="0">Options!$A$2:$K$46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MonteCarlo!$T$7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75" i="11" l="1"/>
  <c r="H1276" i="11"/>
  <c r="H1277" i="11"/>
  <c r="H1278" i="11"/>
  <c r="H1279" i="11"/>
  <c r="H1280" i="11"/>
  <c r="H1281" i="11"/>
  <c r="H1282" i="11"/>
  <c r="H1283" i="11"/>
  <c r="H1284" i="11"/>
  <c r="H1285" i="11"/>
  <c r="H1286" i="11"/>
  <c r="H1287" i="11"/>
  <c r="H1288" i="11"/>
  <c r="H1289" i="11"/>
  <c r="H1290" i="11"/>
  <c r="H1291" i="11"/>
  <c r="H1292" i="11"/>
  <c r="H1293" i="11"/>
  <c r="H1294" i="11"/>
  <c r="H1295" i="11"/>
  <c r="H1296" i="11"/>
  <c r="H1297" i="11"/>
  <c r="H1298" i="11"/>
  <c r="H1299" i="11"/>
  <c r="H1300" i="11"/>
  <c r="H1301" i="11"/>
  <c r="H1302" i="11"/>
  <c r="H1303" i="11"/>
  <c r="H1304" i="11"/>
  <c r="H1305" i="11"/>
  <c r="H1306" i="11"/>
  <c r="H1307" i="11"/>
  <c r="H1308" i="11"/>
  <c r="H1309" i="11"/>
  <c r="H1310" i="11"/>
  <c r="H1311" i="11"/>
  <c r="H1312" i="11"/>
  <c r="H1313" i="11"/>
  <c r="H1314" i="11"/>
  <c r="H1315" i="11"/>
  <c r="H1316" i="11"/>
  <c r="H1317" i="11"/>
  <c r="H1318" i="11"/>
  <c r="H1319" i="11"/>
  <c r="H1320" i="11"/>
  <c r="H1321" i="11"/>
  <c r="H1322" i="11"/>
  <c r="H1323" i="11"/>
  <c r="H1324" i="11"/>
  <c r="H1325" i="11"/>
  <c r="H1326" i="11"/>
  <c r="H1327" i="11"/>
  <c r="H1328" i="11"/>
  <c r="H1329" i="11"/>
  <c r="H1330" i="11"/>
  <c r="H1331" i="11"/>
  <c r="H1332" i="11"/>
  <c r="H1333" i="11"/>
  <c r="H1334" i="11"/>
  <c r="H1335" i="11"/>
  <c r="H1336" i="11"/>
  <c r="H1337" i="11"/>
  <c r="H1338" i="11"/>
  <c r="H1339" i="11"/>
  <c r="H1340" i="11"/>
  <c r="H1341" i="11"/>
  <c r="H1342" i="11"/>
  <c r="H1343" i="11"/>
  <c r="H1344" i="11"/>
  <c r="H1345" i="11"/>
  <c r="H1346" i="11"/>
  <c r="H1347" i="11"/>
  <c r="H1348" i="11"/>
  <c r="H1349" i="11"/>
  <c r="H1350" i="11"/>
  <c r="H1351" i="11"/>
  <c r="H1352" i="11"/>
  <c r="H1353" i="11"/>
  <c r="H1354" i="11"/>
  <c r="H1355" i="11"/>
  <c r="H1356" i="11"/>
  <c r="H1357" i="11"/>
  <c r="H1358" i="11"/>
  <c r="H1359" i="11"/>
  <c r="H1360" i="11"/>
  <c r="H1361" i="11"/>
  <c r="H1362" i="11"/>
  <c r="H1363" i="11"/>
  <c r="H1364" i="11"/>
  <c r="H1365" i="11"/>
  <c r="H1366" i="11"/>
  <c r="H1367" i="11"/>
  <c r="H1368" i="11"/>
  <c r="H1369" i="11"/>
  <c r="H1370" i="11"/>
  <c r="H1371" i="11"/>
  <c r="H1372" i="11"/>
  <c r="H1373" i="11"/>
  <c r="H1374" i="11"/>
  <c r="H1375" i="11"/>
  <c r="H1376" i="11"/>
  <c r="H1377" i="11"/>
  <c r="H1378" i="11"/>
  <c r="H1379" i="11"/>
  <c r="H1380" i="11"/>
  <c r="H1381" i="11"/>
  <c r="H1382" i="11"/>
  <c r="H1383" i="11"/>
  <c r="H1384" i="11"/>
  <c r="H1385" i="11"/>
  <c r="H1386" i="11"/>
  <c r="H1387" i="11"/>
  <c r="H1388" i="11"/>
  <c r="H1389" i="11"/>
  <c r="H1390" i="11"/>
  <c r="H1391" i="11"/>
  <c r="H1392" i="11"/>
  <c r="H1393" i="11"/>
  <c r="H1394" i="11"/>
  <c r="H1395" i="11"/>
  <c r="H1396" i="11"/>
  <c r="H1397" i="11"/>
  <c r="H1398" i="11"/>
  <c r="H1399" i="11"/>
  <c r="H1400" i="11"/>
  <c r="H1401" i="11"/>
  <c r="H1402" i="11"/>
  <c r="H1403" i="11"/>
  <c r="H1404" i="11"/>
  <c r="H1405" i="11"/>
  <c r="H1406" i="11"/>
  <c r="H1407" i="11"/>
  <c r="H1408" i="11"/>
  <c r="H1409" i="11"/>
  <c r="H1410" i="11"/>
  <c r="H1411" i="11"/>
  <c r="H1412" i="11"/>
  <c r="H1413" i="11"/>
  <c r="H1414" i="11"/>
  <c r="H1415" i="11"/>
  <c r="H1416" i="11"/>
  <c r="H1417" i="11"/>
  <c r="H1418" i="11"/>
  <c r="H1419" i="11"/>
  <c r="H1420" i="11"/>
  <c r="H1421" i="11"/>
  <c r="H1422" i="11"/>
  <c r="H1423" i="11"/>
  <c r="H1424" i="11"/>
  <c r="H1425" i="11"/>
  <c r="H1426" i="11"/>
  <c r="H1427" i="11"/>
  <c r="H1428" i="11"/>
  <c r="H1429" i="11"/>
  <c r="H1430" i="11"/>
  <c r="H1431" i="11"/>
  <c r="H1432" i="11"/>
  <c r="H1433" i="11"/>
  <c r="H1434" i="11"/>
  <c r="H1435" i="11"/>
  <c r="H1436" i="11"/>
  <c r="H1437" i="11"/>
  <c r="H1438" i="11"/>
  <c r="H1439" i="11"/>
  <c r="H1440" i="11"/>
  <c r="H1441" i="11"/>
  <c r="H1442" i="11"/>
  <c r="H1443" i="11"/>
  <c r="H1444" i="11"/>
  <c r="H1445" i="11"/>
  <c r="H1446" i="11"/>
  <c r="H1447" i="11"/>
  <c r="H1448" i="11"/>
  <c r="H1449" i="11"/>
  <c r="H1450" i="11"/>
  <c r="H1451" i="11"/>
  <c r="H1452" i="11"/>
  <c r="H1453" i="11"/>
  <c r="H1454" i="11"/>
  <c r="H1455" i="11"/>
  <c r="H1456" i="11"/>
  <c r="H1457" i="11"/>
  <c r="H1458" i="11"/>
  <c r="H1459" i="11"/>
  <c r="H1460" i="11"/>
  <c r="H1461" i="11"/>
  <c r="H1462" i="11"/>
  <c r="H1463" i="11"/>
  <c r="H1464" i="11"/>
  <c r="H1465" i="11"/>
  <c r="H1466" i="11"/>
  <c r="H1467" i="11"/>
  <c r="H1468" i="11"/>
  <c r="H1469" i="11"/>
  <c r="H1470" i="11"/>
  <c r="H1471" i="11"/>
  <c r="H1472" i="11"/>
  <c r="H1473" i="11"/>
  <c r="H1474" i="11"/>
  <c r="H1475" i="11"/>
  <c r="H1476" i="11"/>
  <c r="H1477" i="11"/>
  <c r="H1478" i="11"/>
  <c r="H1479" i="11"/>
  <c r="H1480" i="11"/>
  <c r="H1481" i="11"/>
  <c r="H1482" i="11"/>
  <c r="H1483" i="11"/>
  <c r="H1484" i="11"/>
  <c r="H1485" i="11"/>
  <c r="H1486" i="11"/>
  <c r="H1487" i="11"/>
  <c r="H1488" i="11"/>
  <c r="H1489" i="11"/>
  <c r="H1490" i="11"/>
  <c r="H1491" i="11"/>
  <c r="H1492" i="11"/>
  <c r="H1493" i="11"/>
  <c r="H1494" i="11"/>
  <c r="H1495" i="11"/>
  <c r="H1496" i="11"/>
  <c r="H1497" i="11"/>
  <c r="H1498" i="11"/>
  <c r="H1499" i="11"/>
  <c r="H1500" i="11"/>
  <c r="H1501" i="11"/>
  <c r="H1502" i="11"/>
  <c r="H1503" i="11"/>
  <c r="H1504" i="11"/>
  <c r="H1505" i="11"/>
  <c r="H1506" i="11"/>
  <c r="H1507" i="11"/>
  <c r="H1508" i="11"/>
  <c r="H1509" i="11"/>
  <c r="H1510" i="11"/>
  <c r="H1511" i="11"/>
  <c r="H1512" i="11"/>
  <c r="H1513" i="11"/>
  <c r="H1514" i="11"/>
  <c r="H1515" i="11"/>
  <c r="H1516" i="11"/>
  <c r="H1517" i="11"/>
  <c r="H1518" i="11"/>
  <c r="H1519" i="11"/>
  <c r="H1520" i="11"/>
  <c r="H1521" i="11"/>
  <c r="H1522" i="11"/>
  <c r="H1523" i="11"/>
  <c r="H1524" i="11"/>
  <c r="H1525" i="11"/>
  <c r="H1526" i="11"/>
  <c r="H1527" i="11"/>
  <c r="H1528" i="11"/>
  <c r="H1529" i="11"/>
  <c r="H1530" i="11"/>
  <c r="H1531" i="11"/>
  <c r="H1532" i="11"/>
  <c r="H1533" i="11"/>
  <c r="H1534" i="11"/>
  <c r="H1535" i="11"/>
  <c r="H1536" i="11"/>
  <c r="H1537" i="11"/>
  <c r="H1538" i="11"/>
  <c r="H1539" i="11"/>
  <c r="H1540" i="11"/>
  <c r="H1541" i="11"/>
  <c r="H1542" i="11"/>
  <c r="H1543" i="11"/>
  <c r="H1544" i="11"/>
  <c r="H1545" i="11"/>
  <c r="H1546" i="11"/>
  <c r="H1547" i="11"/>
  <c r="H1548" i="11"/>
  <c r="H1549" i="11"/>
  <c r="H1550" i="11"/>
  <c r="H1551" i="11"/>
  <c r="H1552" i="11"/>
  <c r="H1553" i="11"/>
  <c r="H1554" i="11"/>
  <c r="H1555" i="11"/>
  <c r="H1556" i="11"/>
  <c r="H1557" i="11"/>
  <c r="H1558" i="11"/>
  <c r="H1559" i="11"/>
  <c r="H1560" i="11"/>
  <c r="H1561" i="11"/>
  <c r="H1562" i="11"/>
  <c r="H1563" i="11"/>
  <c r="H1564" i="11"/>
  <c r="H1565" i="11"/>
  <c r="H1566" i="11"/>
  <c r="H1567" i="11"/>
  <c r="H1568" i="11"/>
  <c r="H1569" i="11"/>
  <c r="H1570" i="11"/>
  <c r="H1571" i="11"/>
  <c r="H1572" i="11"/>
  <c r="H1573" i="11"/>
  <c r="H1574" i="11"/>
  <c r="H1575" i="11"/>
  <c r="H1576" i="11"/>
  <c r="H1577" i="11"/>
  <c r="H1578" i="11"/>
  <c r="H1579" i="11"/>
  <c r="H1580" i="11"/>
  <c r="H1581" i="11"/>
  <c r="H1582" i="11"/>
  <c r="H1583" i="11"/>
  <c r="H1584" i="11"/>
  <c r="H1585" i="11"/>
  <c r="H1586" i="11"/>
  <c r="H1587" i="11"/>
  <c r="H1588" i="11"/>
  <c r="H1589" i="11"/>
  <c r="H1590" i="11"/>
  <c r="H1591" i="11"/>
  <c r="H1592" i="11"/>
  <c r="H1593" i="11"/>
  <c r="H1594" i="11"/>
  <c r="H1595" i="11"/>
  <c r="H1596" i="11"/>
  <c r="H1597" i="11"/>
  <c r="H1598" i="11"/>
  <c r="H1599" i="11"/>
  <c r="H1600" i="11"/>
  <c r="H1601" i="11"/>
  <c r="H1602" i="11"/>
  <c r="H1603" i="11"/>
  <c r="H1604" i="11"/>
  <c r="H1605" i="11"/>
  <c r="H1606" i="11"/>
  <c r="H1607" i="11"/>
  <c r="H1608" i="11"/>
  <c r="H1609" i="11"/>
  <c r="H1610" i="11"/>
  <c r="H1611" i="11"/>
  <c r="H1612" i="11"/>
  <c r="H1613" i="11"/>
  <c r="H1614" i="11"/>
  <c r="H1615" i="11"/>
  <c r="H1616" i="11"/>
  <c r="H1617" i="11"/>
  <c r="H1618" i="11"/>
  <c r="H1619" i="11"/>
  <c r="H1620" i="11"/>
  <c r="H1621" i="11"/>
  <c r="H1622" i="11"/>
  <c r="H1623" i="11"/>
  <c r="H1624" i="11"/>
  <c r="H1625" i="11"/>
  <c r="H1626" i="11"/>
  <c r="H1627" i="11"/>
  <c r="H1628" i="11"/>
  <c r="H1629" i="11"/>
  <c r="H1630" i="11"/>
  <c r="H1631" i="11"/>
  <c r="H1632" i="11"/>
  <c r="H1633" i="11"/>
  <c r="H1634" i="11"/>
  <c r="H1635" i="11"/>
  <c r="H1636" i="11"/>
  <c r="H1637" i="11"/>
  <c r="H1638" i="11"/>
  <c r="H1639" i="11"/>
  <c r="H1640" i="11"/>
  <c r="H1641" i="11"/>
  <c r="H1642" i="11"/>
  <c r="H1643" i="11"/>
  <c r="H1644" i="11"/>
  <c r="H1645" i="11"/>
  <c r="H1646" i="11"/>
  <c r="H1647" i="11"/>
  <c r="H1648" i="11"/>
  <c r="H1649" i="11"/>
  <c r="H1650" i="11"/>
  <c r="H1651" i="11"/>
  <c r="H1652" i="11"/>
  <c r="H1653" i="11"/>
  <c r="H1654" i="11"/>
  <c r="H1655" i="11"/>
  <c r="H1656" i="11"/>
  <c r="H1657" i="11"/>
  <c r="H1658" i="11"/>
  <c r="H1659" i="11"/>
  <c r="H1660" i="11"/>
  <c r="H1661" i="11"/>
  <c r="H1662" i="11"/>
  <c r="H1663" i="11"/>
  <c r="H1664" i="11"/>
  <c r="H1665" i="11"/>
  <c r="H1666" i="11"/>
  <c r="H1667" i="11"/>
  <c r="H1668" i="11"/>
  <c r="H1669" i="11"/>
  <c r="H1670" i="11"/>
  <c r="H1671" i="11"/>
  <c r="H1672" i="11"/>
  <c r="H1673" i="11"/>
  <c r="H1674" i="11"/>
  <c r="H1675" i="11"/>
  <c r="H1676" i="11"/>
  <c r="H1677" i="11"/>
  <c r="H1678" i="11"/>
  <c r="H1679" i="11"/>
  <c r="H1680" i="11"/>
  <c r="H1681" i="11"/>
  <c r="H1682" i="11"/>
  <c r="H1683" i="11"/>
  <c r="H1684" i="11"/>
  <c r="H1685" i="11"/>
  <c r="H1686" i="11"/>
  <c r="H1687" i="11"/>
  <c r="H1688" i="11"/>
  <c r="H1689" i="11"/>
  <c r="H1690" i="11"/>
  <c r="H1691" i="11"/>
  <c r="H1692" i="11"/>
  <c r="H1693" i="11"/>
  <c r="H1694" i="11"/>
  <c r="H1695" i="11"/>
  <c r="H1696" i="11"/>
  <c r="H1697" i="11"/>
  <c r="H1698" i="11"/>
  <c r="H1699" i="11"/>
  <c r="H1700" i="11"/>
  <c r="H1701" i="11"/>
  <c r="H1702" i="11"/>
  <c r="H1703" i="11"/>
  <c r="H1704" i="11"/>
  <c r="H1705" i="11"/>
  <c r="H1706" i="11"/>
  <c r="H1707" i="11"/>
  <c r="H1708" i="11"/>
  <c r="H1709" i="11"/>
  <c r="H1710" i="11"/>
  <c r="H1711" i="11"/>
  <c r="H1712" i="11"/>
  <c r="H1713" i="11"/>
  <c r="H1714" i="11"/>
  <c r="H1715" i="11"/>
  <c r="H1716" i="11"/>
  <c r="H1717" i="11"/>
  <c r="H1718" i="11"/>
  <c r="H1719" i="11"/>
  <c r="H1720" i="11"/>
  <c r="H1721" i="11"/>
  <c r="H1722" i="11"/>
  <c r="H1723" i="11"/>
  <c r="H1724" i="11"/>
  <c r="H1725" i="11"/>
  <c r="H1726" i="11"/>
  <c r="H1727" i="11"/>
  <c r="H1728" i="11"/>
  <c r="H1729" i="11"/>
  <c r="H1730" i="11"/>
  <c r="H1731" i="11"/>
  <c r="H1732" i="11"/>
  <c r="H1733" i="11"/>
  <c r="H1734" i="11"/>
  <c r="H1735" i="11"/>
  <c r="H1736" i="11"/>
  <c r="H1737" i="11"/>
  <c r="H1738" i="11"/>
  <c r="H1739" i="11"/>
  <c r="H1740" i="11"/>
  <c r="H1741" i="11"/>
  <c r="H1742" i="11"/>
  <c r="H1743" i="11"/>
  <c r="H1744" i="11"/>
  <c r="H1745" i="11"/>
  <c r="H1746" i="11"/>
  <c r="H1747" i="11"/>
  <c r="H1748" i="11"/>
  <c r="H1749" i="11"/>
  <c r="H1750" i="11"/>
  <c r="H1751" i="11"/>
  <c r="H1752" i="11"/>
  <c r="H1753" i="11"/>
  <c r="H1754" i="11"/>
  <c r="H1755" i="11"/>
  <c r="H1756" i="11"/>
  <c r="H1757" i="11"/>
  <c r="H1758" i="11"/>
  <c r="H1759" i="11"/>
  <c r="H1760" i="11"/>
  <c r="H1761" i="11"/>
  <c r="H1762" i="11"/>
  <c r="H1763" i="11"/>
  <c r="H1764" i="11"/>
  <c r="H1765" i="11"/>
  <c r="H1766" i="11"/>
  <c r="H1767" i="11"/>
  <c r="H1768" i="11"/>
  <c r="H1769" i="11"/>
  <c r="H1770" i="11"/>
  <c r="H1771" i="11"/>
  <c r="H1772" i="11"/>
  <c r="H1773" i="11"/>
  <c r="H1774" i="11"/>
  <c r="H1775" i="11"/>
  <c r="H1776" i="11"/>
  <c r="H1777" i="11"/>
  <c r="H1778" i="11"/>
  <c r="H1779" i="11"/>
  <c r="H1780" i="11"/>
  <c r="H1781" i="11"/>
  <c r="H1782" i="11"/>
  <c r="H1783" i="11"/>
  <c r="H1784" i="11"/>
  <c r="H1785" i="11"/>
  <c r="H1786" i="11"/>
  <c r="H1787" i="11"/>
  <c r="H1788" i="11"/>
  <c r="H1789" i="11"/>
  <c r="H1790" i="11"/>
  <c r="H1791" i="11"/>
  <c r="H1792" i="11"/>
  <c r="H1793" i="11"/>
  <c r="H1794" i="11"/>
  <c r="H1795" i="11"/>
  <c r="H1796" i="11"/>
  <c r="H1797" i="11"/>
  <c r="H1798" i="11"/>
  <c r="H1799" i="11"/>
  <c r="H1800" i="11"/>
  <c r="H1801" i="11"/>
  <c r="H1802" i="11"/>
  <c r="H1803" i="11"/>
  <c r="H1804" i="11"/>
  <c r="H1805" i="11"/>
  <c r="H1806" i="11"/>
  <c r="H1807" i="11"/>
  <c r="H1808" i="11"/>
  <c r="H1809" i="11"/>
  <c r="H1810" i="11"/>
  <c r="H1811" i="11"/>
  <c r="H1812" i="11"/>
  <c r="H1813" i="11"/>
  <c r="H1814" i="11"/>
  <c r="H1815" i="11"/>
  <c r="H1816" i="11"/>
  <c r="H1817" i="11"/>
  <c r="H1818" i="11"/>
  <c r="H1819" i="11"/>
  <c r="H1820" i="11"/>
  <c r="H1821" i="11"/>
  <c r="H1822" i="11"/>
  <c r="H1823" i="11"/>
  <c r="H1824" i="11"/>
  <c r="H1825" i="11"/>
  <c r="H1826" i="11"/>
  <c r="H1827" i="11"/>
  <c r="H1828" i="11"/>
  <c r="H1829" i="11"/>
  <c r="H1830" i="11"/>
  <c r="H1831" i="11"/>
  <c r="H1832" i="11"/>
  <c r="H1833" i="11"/>
  <c r="H1834" i="11"/>
  <c r="H1835" i="11"/>
  <c r="H1836" i="11"/>
  <c r="H1837" i="11"/>
  <c r="H1838" i="11"/>
  <c r="H1839" i="11"/>
  <c r="H1840" i="11"/>
  <c r="H1841" i="11"/>
  <c r="H1842" i="11"/>
  <c r="H1843" i="11"/>
  <c r="H1844" i="11"/>
  <c r="H1845" i="11"/>
  <c r="H1846" i="11"/>
  <c r="H1847" i="11"/>
  <c r="H1848" i="11"/>
  <c r="H1849" i="11"/>
  <c r="H1850" i="11"/>
  <c r="H1851" i="11"/>
  <c r="H1852" i="11"/>
  <c r="H1853" i="11"/>
  <c r="H1854" i="11"/>
  <c r="H1855" i="11"/>
  <c r="H1856" i="11"/>
  <c r="H1857" i="11"/>
  <c r="H1858" i="11"/>
  <c r="H1859" i="11"/>
  <c r="H1860" i="11"/>
  <c r="H1861" i="11"/>
  <c r="H1862" i="11"/>
  <c r="H1863" i="11"/>
  <c r="H1864" i="11"/>
  <c r="H1865" i="11"/>
  <c r="H1866" i="11"/>
  <c r="H1867" i="11"/>
  <c r="H1868" i="11"/>
  <c r="H1869" i="11"/>
  <c r="H1870" i="11"/>
  <c r="H1871" i="11"/>
  <c r="H1872" i="11"/>
  <c r="H1873" i="11"/>
  <c r="H1874" i="11"/>
  <c r="H1875" i="11"/>
  <c r="H1876" i="11"/>
  <c r="H1877" i="11"/>
  <c r="H1878" i="11"/>
  <c r="H1879" i="11"/>
  <c r="H1880" i="11"/>
  <c r="H1881" i="11"/>
  <c r="H1882" i="11"/>
  <c r="H1883" i="11"/>
  <c r="H1884" i="11"/>
  <c r="H1885" i="11"/>
  <c r="H1886" i="11"/>
  <c r="H1887" i="11"/>
  <c r="H1888" i="11"/>
  <c r="H1889" i="11"/>
  <c r="H1890" i="11"/>
  <c r="H1891" i="11"/>
  <c r="H1892" i="11"/>
  <c r="H1893" i="11"/>
  <c r="H1894" i="11"/>
  <c r="H1895" i="11"/>
  <c r="H1896" i="11"/>
  <c r="H1897" i="11"/>
  <c r="H1898" i="11"/>
  <c r="H1899" i="11"/>
  <c r="H1900" i="11"/>
  <c r="H1901" i="11"/>
  <c r="H1902" i="11"/>
  <c r="H1903" i="11"/>
  <c r="H1904" i="11"/>
  <c r="H1905" i="11"/>
  <c r="H1906" i="11"/>
  <c r="H1907" i="11"/>
  <c r="H1908" i="11"/>
  <c r="H1909" i="11"/>
  <c r="H1910" i="11"/>
  <c r="H1911" i="11"/>
  <c r="H1912" i="11"/>
  <c r="H1913" i="11"/>
  <c r="H1914" i="11"/>
  <c r="H1915" i="11"/>
  <c r="H1916" i="11"/>
  <c r="H1917" i="11"/>
  <c r="H1918" i="11"/>
  <c r="H1919" i="11"/>
  <c r="H1920" i="11"/>
  <c r="H1921" i="11"/>
  <c r="H1922" i="11"/>
  <c r="H1923" i="11"/>
  <c r="H1924" i="11"/>
  <c r="H1925" i="11"/>
  <c r="H1926" i="11"/>
  <c r="H1927" i="11"/>
  <c r="H1928" i="11"/>
  <c r="H1929" i="11"/>
  <c r="H1930" i="11"/>
  <c r="H1931" i="11"/>
  <c r="H1932" i="11"/>
  <c r="H1933" i="11"/>
  <c r="H1934" i="11"/>
  <c r="H1935" i="11"/>
  <c r="H1936" i="11"/>
  <c r="H1937" i="11"/>
  <c r="H1938" i="11"/>
  <c r="H1939" i="11"/>
  <c r="H1940" i="11"/>
  <c r="H1941" i="11"/>
  <c r="H1942" i="11"/>
  <c r="H1943" i="11"/>
  <c r="H1944" i="11"/>
  <c r="H1945" i="11"/>
  <c r="H1946" i="11"/>
  <c r="H1947" i="11"/>
  <c r="H1948" i="11"/>
  <c r="H1949" i="11"/>
  <c r="H1950" i="11"/>
  <c r="H1951" i="11"/>
  <c r="H1952" i="11"/>
  <c r="H1953" i="11"/>
  <c r="H1954" i="11"/>
  <c r="H1955" i="11"/>
  <c r="H1956" i="11"/>
  <c r="H1957" i="11"/>
  <c r="H1958" i="11"/>
  <c r="H1959" i="11"/>
  <c r="H1960" i="11"/>
  <c r="H1961" i="11"/>
  <c r="H1962" i="11"/>
  <c r="H1963" i="11"/>
  <c r="H1964" i="11"/>
  <c r="H1965" i="11"/>
  <c r="H1966" i="11"/>
  <c r="H1967" i="11"/>
  <c r="H1968" i="11"/>
  <c r="H1969" i="11"/>
  <c r="H1970" i="11"/>
  <c r="H1971" i="11"/>
  <c r="H1972" i="11"/>
  <c r="H1973" i="11"/>
  <c r="H1974" i="11"/>
  <c r="H1975" i="11"/>
  <c r="H1976" i="11"/>
  <c r="H1977" i="11"/>
  <c r="H1978" i="11"/>
  <c r="H1979" i="11"/>
  <c r="H1980" i="11"/>
  <c r="H1981" i="11"/>
  <c r="H1982" i="11"/>
  <c r="H1983" i="11"/>
  <c r="H1984" i="11"/>
  <c r="H1985" i="11"/>
  <c r="H1986" i="11"/>
  <c r="H1987" i="11"/>
  <c r="H1988" i="11"/>
  <c r="H1989" i="11"/>
  <c r="H1990" i="11"/>
  <c r="H1991" i="11"/>
  <c r="H1992" i="11"/>
  <c r="H1993" i="11"/>
  <c r="H1994" i="11"/>
  <c r="H1995" i="11"/>
  <c r="H1996" i="11"/>
  <c r="H1997" i="11"/>
  <c r="H1998" i="11"/>
  <c r="H1999" i="11"/>
  <c r="H2000" i="11"/>
  <c r="B8" i="13" l="1"/>
  <c r="F7" i="22" l="1"/>
  <c r="F6" i="22" l="1"/>
  <c r="F5" i="22"/>
  <c r="F4" i="22"/>
  <c r="H40" i="23" l="1"/>
  <c r="F40" i="23"/>
  <c r="B40" i="23"/>
  <c r="H39" i="23"/>
  <c r="F39" i="23"/>
  <c r="B39" i="23"/>
  <c r="H38" i="23"/>
  <c r="F38" i="23"/>
  <c r="B38" i="23"/>
  <c r="H37" i="23"/>
  <c r="F37" i="23"/>
  <c r="B37" i="23"/>
  <c r="H36" i="23"/>
  <c r="F36" i="23"/>
  <c r="B36" i="23"/>
  <c r="H35" i="23"/>
  <c r="F35" i="23"/>
  <c r="B35" i="23"/>
  <c r="H34" i="23"/>
  <c r="F34" i="23"/>
  <c r="B34" i="23"/>
  <c r="H33" i="23"/>
  <c r="F33" i="23"/>
  <c r="B33" i="23"/>
  <c r="H32" i="23"/>
  <c r="F32" i="23"/>
  <c r="B32" i="23"/>
  <c r="H31" i="23"/>
  <c r="F31" i="23"/>
  <c r="B31" i="23"/>
  <c r="H30" i="23"/>
  <c r="F30" i="23"/>
  <c r="B30" i="23"/>
  <c r="H29" i="23"/>
  <c r="F29" i="23"/>
  <c r="B29" i="23"/>
  <c r="H28" i="23"/>
  <c r="F28" i="23"/>
  <c r="B28" i="23"/>
  <c r="H27" i="23"/>
  <c r="F27" i="23"/>
  <c r="B27" i="23"/>
  <c r="H26" i="23"/>
  <c r="F26" i="23"/>
  <c r="B26" i="23"/>
  <c r="H25" i="23"/>
  <c r="F25" i="23"/>
  <c r="B25" i="23"/>
  <c r="H24" i="23"/>
  <c r="F24" i="23"/>
  <c r="B24" i="23"/>
  <c r="H40" i="22"/>
  <c r="F40" i="22"/>
  <c r="B40" i="22"/>
  <c r="H39" i="22"/>
  <c r="F39" i="22"/>
  <c r="B39" i="22"/>
  <c r="H38" i="22"/>
  <c r="F38" i="22"/>
  <c r="B38" i="22"/>
  <c r="H37" i="22"/>
  <c r="F37" i="22"/>
  <c r="B37" i="22"/>
  <c r="H36" i="22"/>
  <c r="F36" i="22"/>
  <c r="B36" i="22"/>
  <c r="H35" i="22"/>
  <c r="F35" i="22"/>
  <c r="B35" i="22"/>
  <c r="H34" i="22"/>
  <c r="F34" i="22"/>
  <c r="B34" i="22"/>
  <c r="H33" i="22"/>
  <c r="F33" i="22"/>
  <c r="B33" i="22"/>
  <c r="H32" i="22"/>
  <c r="F32" i="22"/>
  <c r="B32" i="22"/>
  <c r="H31" i="22"/>
  <c r="F31" i="22"/>
  <c r="B31" i="22"/>
  <c r="H30" i="22"/>
  <c r="F30" i="22"/>
  <c r="B30" i="22"/>
  <c r="H29" i="22"/>
  <c r="F29" i="22"/>
  <c r="B29" i="22"/>
  <c r="H28" i="22"/>
  <c r="F28" i="22"/>
  <c r="B28" i="22"/>
  <c r="H27" i="22"/>
  <c r="F27" i="22"/>
  <c r="B27" i="22"/>
  <c r="H26" i="22"/>
  <c r="F26" i="22"/>
  <c r="B26" i="22"/>
  <c r="H25" i="22"/>
  <c r="F25" i="22"/>
  <c r="B25" i="22"/>
  <c r="H24" i="22"/>
  <c r="F24" i="22"/>
  <c r="B24" i="22"/>
  <c r="H25" i="21" l="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24" i="2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2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24" i="21"/>
  <c r="O3" i="23" l="1"/>
  <c r="O4" i="23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2" i="23"/>
  <c r="F2" i="23"/>
  <c r="O3" i="22"/>
  <c r="O4" i="22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2" i="22"/>
  <c r="F2" i="22"/>
  <c r="F12" i="23" l="1"/>
  <c r="F13" i="23"/>
  <c r="F14" i="23"/>
  <c r="F3" i="23" l="1"/>
  <c r="F4" i="23"/>
  <c r="F5" i="23"/>
  <c r="F6" i="23"/>
  <c r="F7" i="23"/>
  <c r="F8" i="23"/>
  <c r="F9" i="23"/>
  <c r="F10" i="23"/>
  <c r="F11" i="23"/>
  <c r="F15" i="23"/>
  <c r="F3" i="22"/>
  <c r="B6" i="13" l="1"/>
  <c r="H1258" i="11" l="1"/>
  <c r="H1259" i="11"/>
  <c r="H1260" i="11"/>
  <c r="H1261" i="11"/>
  <c r="H1262" i="11"/>
  <c r="H1263" i="11"/>
  <c r="H1264" i="11"/>
  <c r="H1265" i="11"/>
  <c r="H1266" i="11"/>
  <c r="H1267" i="11"/>
  <c r="H1268" i="11"/>
  <c r="H1269" i="11"/>
  <c r="H1270" i="11"/>
  <c r="H1271" i="11"/>
  <c r="H1272" i="11"/>
  <c r="H1273" i="11"/>
  <c r="H1274" i="1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13" i="11"/>
  <c r="H1214" i="11"/>
  <c r="H1215" i="11"/>
  <c r="H1216" i="11"/>
  <c r="H1217" i="11"/>
  <c r="H1218" i="11"/>
  <c r="H1219" i="11"/>
  <c r="H1220" i="11"/>
  <c r="H1221" i="11"/>
  <c r="H1222" i="11"/>
  <c r="H1223" i="11"/>
  <c r="H1224" i="11"/>
  <c r="H1225" i="11"/>
  <c r="H1226" i="11"/>
  <c r="H1227" i="11"/>
  <c r="H1228" i="11"/>
  <c r="H1229" i="11"/>
  <c r="H1230" i="11"/>
  <c r="H1231" i="11"/>
  <c r="H1232" i="11"/>
  <c r="H1233" i="11"/>
  <c r="H1234" i="11"/>
  <c r="H1235" i="11"/>
  <c r="H1236" i="11"/>
  <c r="H1237" i="11"/>
  <c r="H1238" i="11"/>
  <c r="H1239" i="11"/>
  <c r="H1240" i="11"/>
  <c r="H1241" i="11"/>
  <c r="H1242" i="11"/>
  <c r="H1243" i="11"/>
  <c r="H1244" i="11"/>
  <c r="H1245" i="11"/>
  <c r="H1246" i="11"/>
  <c r="H1247" i="11"/>
  <c r="H1248" i="11"/>
  <c r="H1249" i="11"/>
  <c r="H1250" i="11"/>
  <c r="H1251" i="11"/>
  <c r="H1252" i="11"/>
  <c r="H1253" i="11"/>
  <c r="H1254" i="11"/>
  <c r="H1255" i="11"/>
  <c r="H1256" i="11"/>
  <c r="H1257" i="11"/>
  <c r="H2" i="11"/>
  <c r="S8" i="11" l="1"/>
  <c r="S9" i="11" s="1"/>
  <c r="B7" i="13" s="1"/>
  <c r="S6" i="11"/>
  <c r="S7" i="11" s="1"/>
  <c r="P6" i="10"/>
  <c r="B9" i="13" s="1"/>
  <c r="C2" i="15" l="1"/>
  <c r="G2" i="15"/>
  <c r="K2" i="15"/>
  <c r="O2" i="15"/>
  <c r="S2" i="15"/>
  <c r="W2" i="15"/>
  <c r="AA2" i="15"/>
  <c r="AE2" i="15"/>
  <c r="E3" i="15"/>
  <c r="I3" i="15"/>
  <c r="M3" i="15"/>
  <c r="Q3" i="15"/>
  <c r="U3" i="15"/>
  <c r="Y3" i="15"/>
  <c r="AC3" i="15"/>
  <c r="C4" i="15"/>
  <c r="G4" i="15"/>
  <c r="K4" i="15"/>
  <c r="O4" i="15"/>
  <c r="S4" i="15"/>
  <c r="W4" i="15"/>
  <c r="AA4" i="15"/>
  <c r="AE4" i="15"/>
  <c r="E5" i="15"/>
  <c r="I5" i="15"/>
  <c r="M5" i="15"/>
  <c r="Q5" i="15"/>
  <c r="U5" i="15"/>
  <c r="Y5" i="15"/>
  <c r="AC5" i="15"/>
  <c r="C6" i="15"/>
  <c r="G6" i="15"/>
  <c r="K6" i="15"/>
  <c r="O6" i="15"/>
  <c r="S6" i="15"/>
  <c r="W6" i="15"/>
  <c r="AA6" i="15"/>
  <c r="AE6" i="15"/>
  <c r="E7" i="15"/>
  <c r="I7" i="15"/>
  <c r="M7" i="15"/>
  <c r="Q7" i="15"/>
  <c r="U7" i="15"/>
  <c r="Y7" i="15"/>
  <c r="AC7" i="15"/>
  <c r="C8" i="15"/>
  <c r="G8" i="15"/>
  <c r="K8" i="15"/>
  <c r="O8" i="15"/>
  <c r="S8" i="15"/>
  <c r="W8" i="15"/>
  <c r="AA8" i="15"/>
  <c r="AE8" i="15"/>
  <c r="E9" i="15"/>
  <c r="I9" i="15"/>
  <c r="M9" i="15"/>
  <c r="Q9" i="15"/>
  <c r="U9" i="15"/>
  <c r="D2" i="15"/>
  <c r="H2" i="15"/>
  <c r="L2" i="15"/>
  <c r="P2" i="15"/>
  <c r="T2" i="15"/>
  <c r="X2" i="15"/>
  <c r="AB2" i="15"/>
  <c r="AF2" i="15"/>
  <c r="F3" i="15"/>
  <c r="J3" i="15"/>
  <c r="N3" i="15"/>
  <c r="R3" i="15"/>
  <c r="V3" i="15"/>
  <c r="Z3" i="15"/>
  <c r="AD3" i="15"/>
  <c r="D4" i="15"/>
  <c r="H4" i="15"/>
  <c r="L4" i="15"/>
  <c r="P4" i="15"/>
  <c r="T4" i="15"/>
  <c r="X4" i="15"/>
  <c r="AB4" i="15"/>
  <c r="AF4" i="15"/>
  <c r="F5" i="15"/>
  <c r="J5" i="15"/>
  <c r="N5" i="15"/>
  <c r="R5" i="15"/>
  <c r="V5" i="15"/>
  <c r="Z5" i="15"/>
  <c r="AD5" i="15"/>
  <c r="D6" i="15"/>
  <c r="H6" i="15"/>
  <c r="L6" i="15"/>
  <c r="P6" i="15"/>
  <c r="T6" i="15"/>
  <c r="X6" i="15"/>
  <c r="AB6" i="15"/>
  <c r="AF6" i="15"/>
  <c r="F7" i="15"/>
  <c r="J7" i="15"/>
  <c r="N7" i="15"/>
  <c r="R7" i="15"/>
  <c r="V7" i="15"/>
  <c r="Z7" i="15"/>
  <c r="AD7" i="15"/>
  <c r="D8" i="15"/>
  <c r="H8" i="15"/>
  <c r="L8" i="15"/>
  <c r="P8" i="15"/>
  <c r="T8" i="15"/>
  <c r="X8" i="15"/>
  <c r="AB8" i="15"/>
  <c r="AF8" i="15"/>
  <c r="F9" i="15"/>
  <c r="J9" i="15"/>
  <c r="N9" i="15"/>
  <c r="R9" i="15"/>
  <c r="V9" i="15"/>
  <c r="E2" i="15"/>
  <c r="I2" i="15"/>
  <c r="M2" i="15"/>
  <c r="Q2" i="15"/>
  <c r="U2" i="15"/>
  <c r="Y2" i="15"/>
  <c r="AC2" i="15"/>
  <c r="C3" i="15"/>
  <c r="G3" i="15"/>
  <c r="K3" i="15"/>
  <c r="O3" i="15"/>
  <c r="S3" i="15"/>
  <c r="W3" i="15"/>
  <c r="AA3" i="15"/>
  <c r="AE3" i="15"/>
  <c r="E4" i="15"/>
  <c r="I4" i="15"/>
  <c r="M4" i="15"/>
  <c r="Q4" i="15"/>
  <c r="U4" i="15"/>
  <c r="Y4" i="15"/>
  <c r="AC4" i="15"/>
  <c r="C5" i="15"/>
  <c r="G5" i="15"/>
  <c r="K5" i="15"/>
  <c r="O5" i="15"/>
  <c r="S5" i="15"/>
  <c r="W5" i="15"/>
  <c r="AA5" i="15"/>
  <c r="AE5" i="15"/>
  <c r="E6" i="15"/>
  <c r="I6" i="15"/>
  <c r="M6" i="15"/>
  <c r="Q6" i="15"/>
  <c r="U6" i="15"/>
  <c r="Y6" i="15"/>
  <c r="AC6" i="15"/>
  <c r="C7" i="15"/>
  <c r="G7" i="15"/>
  <c r="K7" i="15"/>
  <c r="O7" i="15"/>
  <c r="S7" i="15"/>
  <c r="W7" i="15"/>
  <c r="AA7" i="15"/>
  <c r="AE7" i="15"/>
  <c r="E8" i="15"/>
  <c r="I8" i="15"/>
  <c r="M8" i="15"/>
  <c r="Q8" i="15"/>
  <c r="U8" i="15"/>
  <c r="Y8" i="15"/>
  <c r="AC8" i="15"/>
  <c r="C9" i="15"/>
  <c r="G9" i="15"/>
  <c r="K9" i="15"/>
  <c r="O9" i="15"/>
  <c r="S9" i="15"/>
  <c r="W9" i="15"/>
  <c r="AA9" i="15"/>
  <c r="AE9" i="15"/>
  <c r="E10" i="15"/>
  <c r="I10" i="15"/>
  <c r="M10" i="15"/>
  <c r="Q10" i="15"/>
  <c r="U10" i="15"/>
  <c r="Y10" i="15"/>
  <c r="AC10" i="15"/>
  <c r="C11" i="15"/>
  <c r="G11" i="15"/>
  <c r="K11" i="15"/>
  <c r="O11" i="15"/>
  <c r="S11" i="15"/>
  <c r="W11" i="15"/>
  <c r="AA11" i="15"/>
  <c r="AE11" i="15"/>
  <c r="E12" i="15"/>
  <c r="I12" i="15"/>
  <c r="M12" i="15"/>
  <c r="Q12" i="15"/>
  <c r="U12" i="15"/>
  <c r="Y12" i="15"/>
  <c r="AC12" i="15"/>
  <c r="C13" i="15"/>
  <c r="G13" i="15"/>
  <c r="K13" i="15"/>
  <c r="F2" i="15"/>
  <c r="V2" i="15"/>
  <c r="H3" i="15"/>
  <c r="X3" i="15"/>
  <c r="J4" i="15"/>
  <c r="Z4" i="15"/>
  <c r="L5" i="15"/>
  <c r="AB5" i="15"/>
  <c r="N6" i="15"/>
  <c r="AD6" i="15"/>
  <c r="P7" i="15"/>
  <c r="AF7" i="15"/>
  <c r="R8" i="15"/>
  <c r="D9" i="15"/>
  <c r="T9" i="15"/>
  <c r="AB9" i="15"/>
  <c r="C10" i="15"/>
  <c r="H10" i="15"/>
  <c r="N10" i="15"/>
  <c r="S10" i="15"/>
  <c r="X10" i="15"/>
  <c r="AD10" i="15"/>
  <c r="E11" i="15"/>
  <c r="J11" i="15"/>
  <c r="P11" i="15"/>
  <c r="U11" i="15"/>
  <c r="Z11" i="15"/>
  <c r="AF11" i="15"/>
  <c r="G12" i="15"/>
  <c r="L12" i="15"/>
  <c r="R12" i="15"/>
  <c r="W12" i="15"/>
  <c r="AB12" i="15"/>
  <c r="D13" i="15"/>
  <c r="I13" i="15"/>
  <c r="N13" i="15"/>
  <c r="R13" i="15"/>
  <c r="V13" i="15"/>
  <c r="Z13" i="15"/>
  <c r="AD13" i="15"/>
  <c r="D14" i="15"/>
  <c r="H14" i="15"/>
  <c r="L14" i="15"/>
  <c r="P14" i="15"/>
  <c r="T14" i="15"/>
  <c r="X14" i="15"/>
  <c r="AB14" i="15"/>
  <c r="AF14" i="15"/>
  <c r="F15" i="15"/>
  <c r="J15" i="15"/>
  <c r="N15" i="15"/>
  <c r="R15" i="15"/>
  <c r="V15" i="15"/>
  <c r="Z15" i="15"/>
  <c r="AD15" i="15"/>
  <c r="D16" i="15"/>
  <c r="H16" i="15"/>
  <c r="L16" i="15"/>
  <c r="P16" i="15"/>
  <c r="T16" i="15"/>
  <c r="X16" i="15"/>
  <c r="AB16" i="15"/>
  <c r="AF16" i="15"/>
  <c r="F17" i="15"/>
  <c r="J17" i="15"/>
  <c r="N17" i="15"/>
  <c r="R17" i="15"/>
  <c r="V17" i="15"/>
  <c r="Z17" i="15"/>
  <c r="AD17" i="15"/>
  <c r="D18" i="15"/>
  <c r="H18" i="15"/>
  <c r="L18" i="15"/>
  <c r="P18" i="15"/>
  <c r="T18" i="15"/>
  <c r="X18" i="15"/>
  <c r="AB18" i="15"/>
  <c r="AF18" i="15"/>
  <c r="F19" i="15"/>
  <c r="J19" i="15"/>
  <c r="N19" i="15"/>
  <c r="R19" i="15"/>
  <c r="V19" i="15"/>
  <c r="Z19" i="15"/>
  <c r="AD19" i="15"/>
  <c r="J2" i="15"/>
  <c r="Z2" i="15"/>
  <c r="L3" i="15"/>
  <c r="AB3" i="15"/>
  <c r="N4" i="15"/>
  <c r="AD4" i="15"/>
  <c r="P5" i="15"/>
  <c r="AF5" i="15"/>
  <c r="R6" i="15"/>
  <c r="D7" i="15"/>
  <c r="T7" i="15"/>
  <c r="F8" i="15"/>
  <c r="V8" i="15"/>
  <c r="H9" i="15"/>
  <c r="X9" i="15"/>
  <c r="AC9" i="15"/>
  <c r="D10" i="15"/>
  <c r="J10" i="15"/>
  <c r="O10" i="15"/>
  <c r="T10" i="15"/>
  <c r="Z10" i="15"/>
  <c r="AE10" i="15"/>
  <c r="F11" i="15"/>
  <c r="L11" i="15"/>
  <c r="Q11" i="15"/>
  <c r="V11" i="15"/>
  <c r="AB11" i="15"/>
  <c r="C12" i="15"/>
  <c r="H12" i="15"/>
  <c r="N12" i="15"/>
  <c r="S12" i="15"/>
  <c r="X12" i="15"/>
  <c r="AD12" i="15"/>
  <c r="E13" i="15"/>
  <c r="J13" i="15"/>
  <c r="O13" i="15"/>
  <c r="S13" i="15"/>
  <c r="W13" i="15"/>
  <c r="AA13" i="15"/>
  <c r="AE13" i="15"/>
  <c r="E14" i="15"/>
  <c r="I14" i="15"/>
  <c r="M14" i="15"/>
  <c r="Q14" i="15"/>
  <c r="U14" i="15"/>
  <c r="Y14" i="15"/>
  <c r="AC14" i="15"/>
  <c r="C15" i="15"/>
  <c r="G15" i="15"/>
  <c r="K15" i="15"/>
  <c r="O15" i="15"/>
  <c r="S15" i="15"/>
  <c r="W15" i="15"/>
  <c r="AA15" i="15"/>
  <c r="AE15" i="15"/>
  <c r="E16" i="15"/>
  <c r="I16" i="15"/>
  <c r="M16" i="15"/>
  <c r="Q16" i="15"/>
  <c r="U16" i="15"/>
  <c r="Y16" i="15"/>
  <c r="AC16" i="15"/>
  <c r="C17" i="15"/>
  <c r="G17" i="15"/>
  <c r="K17" i="15"/>
  <c r="O17" i="15"/>
  <c r="S17" i="15"/>
  <c r="W17" i="15"/>
  <c r="AA17" i="15"/>
  <c r="AE17" i="15"/>
  <c r="E18" i="15"/>
  <c r="I18" i="15"/>
  <c r="M18" i="15"/>
  <c r="Q18" i="15"/>
  <c r="U18" i="15"/>
  <c r="Y18" i="15"/>
  <c r="AC18" i="15"/>
  <c r="C19" i="15"/>
  <c r="G19" i="15"/>
  <c r="K19" i="15"/>
  <c r="O19" i="15"/>
  <c r="S19" i="15"/>
  <c r="W19" i="15"/>
  <c r="AA19" i="15"/>
  <c r="AE19" i="15"/>
  <c r="N2" i="15"/>
  <c r="AD2" i="15"/>
  <c r="P3" i="15"/>
  <c r="AF3" i="15"/>
  <c r="R4" i="15"/>
  <c r="D5" i="15"/>
  <c r="T5" i="15"/>
  <c r="F6" i="15"/>
  <c r="V6" i="15"/>
  <c r="H7" i="15"/>
  <c r="X7" i="15"/>
  <c r="J8" i="15"/>
  <c r="Z8" i="15"/>
  <c r="L9" i="15"/>
  <c r="Y9" i="15"/>
  <c r="AD9" i="15"/>
  <c r="F10" i="15"/>
  <c r="K10" i="15"/>
  <c r="P10" i="15"/>
  <c r="V10" i="15"/>
  <c r="AA10" i="15"/>
  <c r="AF10" i="15"/>
  <c r="H11" i="15"/>
  <c r="M11" i="15"/>
  <c r="R11" i="15"/>
  <c r="X11" i="15"/>
  <c r="AC11" i="15"/>
  <c r="D12" i="15"/>
  <c r="J12" i="15"/>
  <c r="O12" i="15"/>
  <c r="T12" i="15"/>
  <c r="Z12" i="15"/>
  <c r="AE12" i="15"/>
  <c r="F13" i="15"/>
  <c r="L13" i="15"/>
  <c r="P13" i="15"/>
  <c r="T13" i="15"/>
  <c r="X13" i="15"/>
  <c r="AB13" i="15"/>
  <c r="AF13" i="15"/>
  <c r="F14" i="15"/>
  <c r="J14" i="15"/>
  <c r="N14" i="15"/>
  <c r="R14" i="15"/>
  <c r="V14" i="15"/>
  <c r="Z14" i="15"/>
  <c r="AD14" i="15"/>
  <c r="D15" i="15"/>
  <c r="H15" i="15"/>
  <c r="L15" i="15"/>
  <c r="P15" i="15"/>
  <c r="T15" i="15"/>
  <c r="X15" i="15"/>
  <c r="AB15" i="15"/>
  <c r="AF15" i="15"/>
  <c r="F16" i="15"/>
  <c r="J16" i="15"/>
  <c r="N16" i="15"/>
  <c r="R16" i="15"/>
  <c r="V16" i="15"/>
  <c r="Z16" i="15"/>
  <c r="AD16" i="15"/>
  <c r="D17" i="15"/>
  <c r="H17" i="15"/>
  <c r="L17" i="15"/>
  <c r="P17" i="15"/>
  <c r="T17" i="15"/>
  <c r="X17" i="15"/>
  <c r="AB17" i="15"/>
  <c r="AF17" i="15"/>
  <c r="F18" i="15"/>
  <c r="J18" i="15"/>
  <c r="N18" i="15"/>
  <c r="R18" i="15"/>
  <c r="V18" i="15"/>
  <c r="Z18" i="15"/>
  <c r="AD18" i="15"/>
  <c r="D19" i="15"/>
  <c r="H19" i="15"/>
  <c r="L19" i="15"/>
  <c r="P19" i="15"/>
  <c r="T19" i="15"/>
  <c r="X19" i="15"/>
  <c r="AB19" i="15"/>
  <c r="R2" i="15"/>
  <c r="V4" i="15"/>
  <c r="Z6" i="15"/>
  <c r="AD8" i="15"/>
  <c r="G10" i="15"/>
  <c r="AB10" i="15"/>
  <c r="T11" i="15"/>
  <c r="K12" i="15"/>
  <c r="AF12" i="15"/>
  <c r="U13" i="15"/>
  <c r="G14" i="15"/>
  <c r="W14" i="15"/>
  <c r="I15" i="15"/>
  <c r="Y15" i="15"/>
  <c r="K16" i="15"/>
  <c r="AA16" i="15"/>
  <c r="M17" i="15"/>
  <c r="AC17" i="15"/>
  <c r="O18" i="15"/>
  <c r="AE18" i="15"/>
  <c r="Q19" i="15"/>
  <c r="AF19" i="15"/>
  <c r="F20" i="15"/>
  <c r="J20" i="15"/>
  <c r="N20" i="15"/>
  <c r="R20" i="15"/>
  <c r="V20" i="15"/>
  <c r="Z20" i="15"/>
  <c r="AD20" i="15"/>
  <c r="D21" i="15"/>
  <c r="H21" i="15"/>
  <c r="L21" i="15"/>
  <c r="P21" i="15"/>
  <c r="T21" i="15"/>
  <c r="X21" i="15"/>
  <c r="AB21" i="15"/>
  <c r="AF21" i="15"/>
  <c r="F22" i="15"/>
  <c r="J22" i="15"/>
  <c r="N22" i="15"/>
  <c r="R22" i="15"/>
  <c r="V22" i="15"/>
  <c r="Z22" i="15"/>
  <c r="AD22" i="15"/>
  <c r="D23" i="15"/>
  <c r="H23" i="15"/>
  <c r="L23" i="15"/>
  <c r="P23" i="15"/>
  <c r="T23" i="15"/>
  <c r="X23" i="15"/>
  <c r="AB23" i="15"/>
  <c r="AF23" i="15"/>
  <c r="F24" i="15"/>
  <c r="J24" i="15"/>
  <c r="N24" i="15"/>
  <c r="R24" i="15"/>
  <c r="V24" i="15"/>
  <c r="Z24" i="15"/>
  <c r="AD24" i="15"/>
  <c r="D25" i="15"/>
  <c r="H25" i="15"/>
  <c r="L25" i="15"/>
  <c r="P25" i="15"/>
  <c r="T25" i="15"/>
  <c r="X25" i="15"/>
  <c r="AB25" i="15"/>
  <c r="AF25" i="15"/>
  <c r="F26" i="15"/>
  <c r="J26" i="15"/>
  <c r="N26" i="15"/>
  <c r="R26" i="15"/>
  <c r="V26" i="15"/>
  <c r="Z26" i="15"/>
  <c r="AD26" i="15"/>
  <c r="D27" i="15"/>
  <c r="H27" i="15"/>
  <c r="L27" i="15"/>
  <c r="P27" i="15"/>
  <c r="T27" i="15"/>
  <c r="X27" i="15"/>
  <c r="AB27" i="15"/>
  <c r="AF27" i="15"/>
  <c r="F28" i="15"/>
  <c r="J28" i="15"/>
  <c r="N28" i="15"/>
  <c r="D3" i="15"/>
  <c r="H5" i="15"/>
  <c r="L7" i="15"/>
  <c r="P9" i="15"/>
  <c r="L10" i="15"/>
  <c r="D11" i="15"/>
  <c r="Y11" i="15"/>
  <c r="P12" i="15"/>
  <c r="H13" i="15"/>
  <c r="Y13" i="15"/>
  <c r="K14" i="15"/>
  <c r="AA14" i="15"/>
  <c r="M15" i="15"/>
  <c r="AC15" i="15"/>
  <c r="O16" i="15"/>
  <c r="AE16" i="15"/>
  <c r="Q17" i="15"/>
  <c r="C18" i="15"/>
  <c r="S18" i="15"/>
  <c r="E19" i="15"/>
  <c r="U19" i="15"/>
  <c r="C20" i="15"/>
  <c r="G20" i="15"/>
  <c r="K20" i="15"/>
  <c r="O20" i="15"/>
  <c r="S20" i="15"/>
  <c r="W20" i="15"/>
  <c r="AA20" i="15"/>
  <c r="AE20" i="15"/>
  <c r="E21" i="15"/>
  <c r="I21" i="15"/>
  <c r="M21" i="15"/>
  <c r="Q21" i="15"/>
  <c r="U21" i="15"/>
  <c r="Y21" i="15"/>
  <c r="AC21" i="15"/>
  <c r="C22" i="15"/>
  <c r="G22" i="15"/>
  <c r="K22" i="15"/>
  <c r="O22" i="15"/>
  <c r="S22" i="15"/>
  <c r="W22" i="15"/>
  <c r="AA22" i="15"/>
  <c r="AE22" i="15"/>
  <c r="E23" i="15"/>
  <c r="I23" i="15"/>
  <c r="M23" i="15"/>
  <c r="Q23" i="15"/>
  <c r="U23" i="15"/>
  <c r="Y23" i="15"/>
  <c r="AC23" i="15"/>
  <c r="C24" i="15"/>
  <c r="G24" i="15"/>
  <c r="K24" i="15"/>
  <c r="O24" i="15"/>
  <c r="S24" i="15"/>
  <c r="W24" i="15"/>
  <c r="AA24" i="15"/>
  <c r="AE24" i="15"/>
  <c r="E25" i="15"/>
  <c r="I25" i="15"/>
  <c r="M25" i="15"/>
  <c r="Q25" i="15"/>
  <c r="U25" i="15"/>
  <c r="Y25" i="15"/>
  <c r="AC25" i="15"/>
  <c r="C26" i="15"/>
  <c r="G26" i="15"/>
  <c r="K26" i="15"/>
  <c r="O26" i="15"/>
  <c r="S26" i="15"/>
  <c r="W26" i="15"/>
  <c r="AA26" i="15"/>
  <c r="AE26" i="15"/>
  <c r="E27" i="15"/>
  <c r="I27" i="15"/>
  <c r="M27" i="15"/>
  <c r="Q27" i="15"/>
  <c r="U27" i="15"/>
  <c r="Y27" i="15"/>
  <c r="AC27" i="15"/>
  <c r="C28" i="15"/>
  <c r="G28" i="15"/>
  <c r="K28" i="15"/>
  <c r="O28" i="15"/>
  <c r="T3" i="15"/>
  <c r="X5" i="15"/>
  <c r="AB7" i="15"/>
  <c r="Z9" i="15"/>
  <c r="R10" i="15"/>
  <c r="I11" i="15"/>
  <c r="AD11" i="15"/>
  <c r="V12" i="15"/>
  <c r="M13" i="15"/>
  <c r="AC13" i="15"/>
  <c r="O14" i="15"/>
  <c r="AE14" i="15"/>
  <c r="Q15" i="15"/>
  <c r="C16" i="15"/>
  <c r="S16" i="15"/>
  <c r="E17" i="15"/>
  <c r="U17" i="15"/>
  <c r="G18" i="15"/>
  <c r="W18" i="15"/>
  <c r="I19" i="15"/>
  <c r="Y19" i="15"/>
  <c r="D20" i="15"/>
  <c r="H20" i="15"/>
  <c r="L20" i="15"/>
  <c r="P20" i="15"/>
  <c r="T20" i="15"/>
  <c r="X20" i="15"/>
  <c r="AB20" i="15"/>
  <c r="AF20" i="15"/>
  <c r="F21" i="15"/>
  <c r="J21" i="15"/>
  <c r="N21" i="15"/>
  <c r="R21" i="15"/>
  <c r="V21" i="15"/>
  <c r="Z21" i="15"/>
  <c r="AD21" i="15"/>
  <c r="D22" i="15"/>
  <c r="H22" i="15"/>
  <c r="L22" i="15"/>
  <c r="P22" i="15"/>
  <c r="T22" i="15"/>
  <c r="X22" i="15"/>
  <c r="AB22" i="15"/>
  <c r="AF22" i="15"/>
  <c r="F23" i="15"/>
  <c r="J23" i="15"/>
  <c r="N23" i="15"/>
  <c r="R23" i="15"/>
  <c r="V23" i="15"/>
  <c r="Z23" i="15"/>
  <c r="AD23" i="15"/>
  <c r="D24" i="15"/>
  <c r="H24" i="15"/>
  <c r="L24" i="15"/>
  <c r="P24" i="15"/>
  <c r="T24" i="15"/>
  <c r="X24" i="15"/>
  <c r="AB24" i="15"/>
  <c r="AF24" i="15"/>
  <c r="F25" i="15"/>
  <c r="J25" i="15"/>
  <c r="N25" i="15"/>
  <c r="R25" i="15"/>
  <c r="V25" i="15"/>
  <c r="Z25" i="15"/>
  <c r="AD25" i="15"/>
  <c r="D26" i="15"/>
  <c r="H26" i="15"/>
  <c r="L26" i="15"/>
  <c r="P26" i="15"/>
  <c r="T26" i="15"/>
  <c r="X26" i="15"/>
  <c r="AB26" i="15"/>
  <c r="AF26" i="15"/>
  <c r="F27" i="15"/>
  <c r="J27" i="15"/>
  <c r="N27" i="15"/>
  <c r="R27" i="15"/>
  <c r="V27" i="15"/>
  <c r="Z27" i="15"/>
  <c r="AD27" i="15"/>
  <c r="D28" i="15"/>
  <c r="H28" i="15"/>
  <c r="L28" i="15"/>
  <c r="P28" i="15"/>
  <c r="T28" i="15"/>
  <c r="X28" i="15"/>
  <c r="AB28" i="15"/>
  <c r="AF28" i="15"/>
  <c r="F29" i="15"/>
  <c r="J29" i="15"/>
  <c r="N29" i="15"/>
  <c r="R29" i="15"/>
  <c r="V29" i="15"/>
  <c r="Z29" i="15"/>
  <c r="AD29" i="15"/>
  <c r="D30" i="15"/>
  <c r="H30" i="15"/>
  <c r="L30" i="15"/>
  <c r="P30" i="15"/>
  <c r="T30" i="15"/>
  <c r="X30" i="15"/>
  <c r="AB30" i="15"/>
  <c r="AF30" i="15"/>
  <c r="F31" i="15"/>
  <c r="J31" i="15"/>
  <c r="N31" i="15"/>
  <c r="R31" i="15"/>
  <c r="V31" i="15"/>
  <c r="Z31" i="15"/>
  <c r="AD31" i="15"/>
  <c r="D32" i="15"/>
  <c r="H32" i="15"/>
  <c r="L32" i="15"/>
  <c r="P32" i="15"/>
  <c r="T32" i="15"/>
  <c r="X32" i="15"/>
  <c r="AB32" i="15"/>
  <c r="AF32" i="15"/>
  <c r="B6" i="15"/>
  <c r="B10" i="15"/>
  <c r="B14" i="15"/>
  <c r="B18" i="15"/>
  <c r="B22" i="15"/>
  <c r="B26" i="15"/>
  <c r="B30" i="15"/>
  <c r="C2" i="14"/>
  <c r="G2" i="14"/>
  <c r="K2" i="14"/>
  <c r="F4" i="15"/>
  <c r="W10" i="15"/>
  <c r="Q13" i="15"/>
  <c r="U15" i="15"/>
  <c r="Y17" i="15"/>
  <c r="AC19" i="15"/>
  <c r="Q20" i="15"/>
  <c r="C21" i="15"/>
  <c r="S21" i="15"/>
  <c r="E22" i="15"/>
  <c r="U22" i="15"/>
  <c r="G23" i="15"/>
  <c r="W23" i="15"/>
  <c r="I24" i="15"/>
  <c r="Y24" i="15"/>
  <c r="K25" i="15"/>
  <c r="AA25" i="15"/>
  <c r="M26" i="15"/>
  <c r="AC26" i="15"/>
  <c r="O27" i="15"/>
  <c r="AE27" i="15"/>
  <c r="Q28" i="15"/>
  <c r="V28" i="15"/>
  <c r="AA28" i="15"/>
  <c r="C29" i="15"/>
  <c r="H29" i="15"/>
  <c r="M29" i="15"/>
  <c r="S29" i="15"/>
  <c r="X29" i="15"/>
  <c r="AC29" i="15"/>
  <c r="E30" i="15"/>
  <c r="J30" i="15"/>
  <c r="O30" i="15"/>
  <c r="U30" i="15"/>
  <c r="Z30" i="15"/>
  <c r="AE30" i="15"/>
  <c r="G31" i="15"/>
  <c r="L31" i="15"/>
  <c r="Q31" i="15"/>
  <c r="W31" i="15"/>
  <c r="AB31" i="15"/>
  <c r="C32" i="15"/>
  <c r="I32" i="15"/>
  <c r="N32" i="15"/>
  <c r="S32" i="15"/>
  <c r="Y32" i="15"/>
  <c r="AD32" i="15"/>
  <c r="B5" i="15"/>
  <c r="B11" i="15"/>
  <c r="B16" i="15"/>
  <c r="B21" i="15"/>
  <c r="B27" i="15"/>
  <c r="B32" i="15"/>
  <c r="F2" i="14"/>
  <c r="L2" i="14"/>
  <c r="P2" i="14"/>
  <c r="T2" i="14"/>
  <c r="X2" i="14"/>
  <c r="AB2" i="14"/>
  <c r="AF2" i="14"/>
  <c r="F3" i="14"/>
  <c r="J3" i="14"/>
  <c r="N3" i="14"/>
  <c r="R3" i="14"/>
  <c r="V3" i="14"/>
  <c r="Z3" i="14"/>
  <c r="AD3" i="14"/>
  <c r="D4" i="14"/>
  <c r="H4" i="14"/>
  <c r="L4" i="14"/>
  <c r="P4" i="14"/>
  <c r="T4" i="14"/>
  <c r="X4" i="14"/>
  <c r="AB4" i="14"/>
  <c r="AF4" i="14"/>
  <c r="F5" i="14"/>
  <c r="J5" i="14"/>
  <c r="N5" i="14"/>
  <c r="R5" i="14"/>
  <c r="V5" i="14"/>
  <c r="Z5" i="14"/>
  <c r="AD5" i="14"/>
  <c r="D6" i="14"/>
  <c r="H6" i="14"/>
  <c r="L6" i="14"/>
  <c r="P6" i="14"/>
  <c r="T6" i="14"/>
  <c r="X6" i="14"/>
  <c r="AB6" i="14"/>
  <c r="AF6" i="14"/>
  <c r="F7" i="14"/>
  <c r="J7" i="14"/>
  <c r="N7" i="14"/>
  <c r="R7" i="14"/>
  <c r="V7" i="14"/>
  <c r="Z7" i="14"/>
  <c r="AD7" i="14"/>
  <c r="D8" i="14"/>
  <c r="H8" i="14"/>
  <c r="L8" i="14"/>
  <c r="P8" i="14"/>
  <c r="T8" i="14"/>
  <c r="X8" i="14"/>
  <c r="AB8" i="14"/>
  <c r="AF8" i="14"/>
  <c r="F9" i="14"/>
  <c r="J9" i="14"/>
  <c r="N9" i="14"/>
  <c r="R9" i="14"/>
  <c r="V9" i="14"/>
  <c r="Z9" i="14"/>
  <c r="AD9" i="14"/>
  <c r="D10" i="14"/>
  <c r="H10" i="14"/>
  <c r="L10" i="14"/>
  <c r="P10" i="14"/>
  <c r="T10" i="14"/>
  <c r="X10" i="14"/>
  <c r="AB10" i="14"/>
  <c r="AF10" i="14"/>
  <c r="F11" i="14"/>
  <c r="J11" i="14"/>
  <c r="N11" i="14"/>
  <c r="R11" i="14"/>
  <c r="V11" i="14"/>
  <c r="Z11" i="14"/>
  <c r="AD11" i="14"/>
  <c r="D12" i="14"/>
  <c r="H12" i="14"/>
  <c r="L12" i="14"/>
  <c r="P12" i="14"/>
  <c r="T12" i="14"/>
  <c r="X12" i="14"/>
  <c r="AB12" i="14"/>
  <c r="AF12" i="14"/>
  <c r="F13" i="14"/>
  <c r="J13" i="14"/>
  <c r="N13" i="14"/>
  <c r="R13" i="14"/>
  <c r="V13" i="14"/>
  <c r="Z13" i="14"/>
  <c r="AD13" i="14"/>
  <c r="D14" i="14"/>
  <c r="H14" i="14"/>
  <c r="L14" i="14"/>
  <c r="P14" i="14"/>
  <c r="T14" i="14"/>
  <c r="X14" i="14"/>
  <c r="AB14" i="14"/>
  <c r="AF14" i="14"/>
  <c r="F15" i="14"/>
  <c r="J15" i="14"/>
  <c r="N15" i="14"/>
  <c r="R15" i="14"/>
  <c r="V15" i="14"/>
  <c r="Z15" i="14"/>
  <c r="AD15" i="14"/>
  <c r="D16" i="14"/>
  <c r="H16" i="14"/>
  <c r="L16" i="14"/>
  <c r="P16" i="14"/>
  <c r="T16" i="14"/>
  <c r="X16" i="14"/>
  <c r="AB16" i="14"/>
  <c r="AF16" i="14"/>
  <c r="F17" i="14"/>
  <c r="J17" i="14"/>
  <c r="N17" i="14"/>
  <c r="R17" i="14"/>
  <c r="V17" i="14"/>
  <c r="J6" i="15"/>
  <c r="N11" i="15"/>
  <c r="C14" i="15"/>
  <c r="G16" i="15"/>
  <c r="K18" i="15"/>
  <c r="E20" i="15"/>
  <c r="U20" i="15"/>
  <c r="G21" i="15"/>
  <c r="W21" i="15"/>
  <c r="I22" i="15"/>
  <c r="Y22" i="15"/>
  <c r="K23" i="15"/>
  <c r="AA23" i="15"/>
  <c r="M24" i="15"/>
  <c r="AC24" i="15"/>
  <c r="O25" i="15"/>
  <c r="AE25" i="15"/>
  <c r="Q26" i="15"/>
  <c r="C27" i="15"/>
  <c r="S27" i="15"/>
  <c r="E28" i="15"/>
  <c r="R28" i="15"/>
  <c r="W28" i="15"/>
  <c r="AC28" i="15"/>
  <c r="D29" i="15"/>
  <c r="I29" i="15"/>
  <c r="O29" i="15"/>
  <c r="T29" i="15"/>
  <c r="Y29" i="15"/>
  <c r="AE29" i="15"/>
  <c r="F30" i="15"/>
  <c r="K30" i="15"/>
  <c r="Q30" i="15"/>
  <c r="V30" i="15"/>
  <c r="AA30" i="15"/>
  <c r="C31" i="15"/>
  <c r="H31" i="15"/>
  <c r="M31" i="15"/>
  <c r="S31" i="15"/>
  <c r="X31" i="15"/>
  <c r="AC31" i="15"/>
  <c r="E32" i="15"/>
  <c r="J32" i="15"/>
  <c r="O32" i="15"/>
  <c r="U32" i="15"/>
  <c r="Z32" i="15"/>
  <c r="AE32" i="15"/>
  <c r="B7" i="15"/>
  <c r="B12" i="15"/>
  <c r="B17" i="15"/>
  <c r="B23" i="15"/>
  <c r="B28" i="15"/>
  <c r="B2" i="15"/>
  <c r="H2" i="14"/>
  <c r="M2" i="14"/>
  <c r="Q2" i="14"/>
  <c r="U2" i="14"/>
  <c r="Y2" i="14"/>
  <c r="AC2" i="14"/>
  <c r="C3" i="14"/>
  <c r="G3" i="14"/>
  <c r="K3" i="14"/>
  <c r="O3" i="14"/>
  <c r="S3" i="14"/>
  <c r="W3" i="14"/>
  <c r="AA3" i="14"/>
  <c r="AE3" i="14"/>
  <c r="E4" i="14"/>
  <c r="I4" i="14"/>
  <c r="M4" i="14"/>
  <c r="Q4" i="14"/>
  <c r="U4" i="14"/>
  <c r="Y4" i="14"/>
  <c r="AC4" i="14"/>
  <c r="C5" i="14"/>
  <c r="G5" i="14"/>
  <c r="K5" i="14"/>
  <c r="O5" i="14"/>
  <c r="S5" i="14"/>
  <c r="W5" i="14"/>
  <c r="AA5" i="14"/>
  <c r="AE5" i="14"/>
  <c r="E6" i="14"/>
  <c r="I6" i="14"/>
  <c r="M6" i="14"/>
  <c r="Q6" i="14"/>
  <c r="U6" i="14"/>
  <c r="Y6" i="14"/>
  <c r="AC6" i="14"/>
  <c r="C7" i="14"/>
  <c r="G7" i="14"/>
  <c r="K7" i="14"/>
  <c r="O7" i="14"/>
  <c r="S7" i="14"/>
  <c r="W7" i="14"/>
  <c r="AA7" i="14"/>
  <c r="AE7" i="14"/>
  <c r="E8" i="14"/>
  <c r="I8" i="14"/>
  <c r="M8" i="14"/>
  <c r="Q8" i="14"/>
  <c r="U8" i="14"/>
  <c r="Y8" i="14"/>
  <c r="AC8" i="14"/>
  <c r="C9" i="14"/>
  <c r="G9" i="14"/>
  <c r="K9" i="14"/>
  <c r="O9" i="14"/>
  <c r="S9" i="14"/>
  <c r="W9" i="14"/>
  <c r="AA9" i="14"/>
  <c r="AE9" i="14"/>
  <c r="E10" i="14"/>
  <c r="I10" i="14"/>
  <c r="M10" i="14"/>
  <c r="Q10" i="14"/>
  <c r="U10" i="14"/>
  <c r="Y10" i="14"/>
  <c r="AC10" i="14"/>
  <c r="C11" i="14"/>
  <c r="G11" i="14"/>
  <c r="K11" i="14"/>
  <c r="O11" i="14"/>
  <c r="S11" i="14"/>
  <c r="W11" i="14"/>
  <c r="AA11" i="14"/>
  <c r="AE11" i="14"/>
  <c r="E12" i="14"/>
  <c r="I12" i="14"/>
  <c r="M12" i="14"/>
  <c r="Q12" i="14"/>
  <c r="U12" i="14"/>
  <c r="Y12" i="14"/>
  <c r="AC12" i="14"/>
  <c r="C13" i="14"/>
  <c r="G13" i="14"/>
  <c r="K13" i="14"/>
  <c r="O13" i="14"/>
  <c r="S13" i="14"/>
  <c r="W13" i="14"/>
  <c r="AA13" i="14"/>
  <c r="AE13" i="14"/>
  <c r="E14" i="14"/>
  <c r="I14" i="14"/>
  <c r="M14" i="14"/>
  <c r="Q14" i="14"/>
  <c r="U14" i="14"/>
  <c r="Y14" i="14"/>
  <c r="AC14" i="14"/>
  <c r="C15" i="14"/>
  <c r="G15" i="14"/>
  <c r="K15" i="14"/>
  <c r="O15" i="14"/>
  <c r="S15" i="14"/>
  <c r="W15" i="14"/>
  <c r="AA15" i="14"/>
  <c r="AE15" i="14"/>
  <c r="E16" i="14"/>
  <c r="I16" i="14"/>
  <c r="M16" i="14"/>
  <c r="Q16" i="14"/>
  <c r="U16" i="14"/>
  <c r="Y16" i="14"/>
  <c r="AC16" i="14"/>
  <c r="C17" i="14"/>
  <c r="G17" i="14"/>
  <c r="K17" i="14"/>
  <c r="O17" i="14"/>
  <c r="S17" i="14"/>
  <c r="W17" i="14"/>
  <c r="N8" i="15"/>
  <c r="F12" i="15"/>
  <c r="S14" i="15"/>
  <c r="W16" i="15"/>
  <c r="AA18" i="15"/>
  <c r="I20" i="15"/>
  <c r="Y20" i="15"/>
  <c r="K21" i="15"/>
  <c r="AA21" i="15"/>
  <c r="M22" i="15"/>
  <c r="AC22" i="15"/>
  <c r="O23" i="15"/>
  <c r="AE23" i="15"/>
  <c r="Q24" i="15"/>
  <c r="C25" i="15"/>
  <c r="S25" i="15"/>
  <c r="E26" i="15"/>
  <c r="U26" i="15"/>
  <c r="G27" i="15"/>
  <c r="W27" i="15"/>
  <c r="I28" i="15"/>
  <c r="S28" i="15"/>
  <c r="Y28" i="15"/>
  <c r="AD28" i="15"/>
  <c r="E29" i="15"/>
  <c r="K29" i="15"/>
  <c r="P29" i="15"/>
  <c r="U29" i="15"/>
  <c r="AA29" i="15"/>
  <c r="AF29" i="15"/>
  <c r="G30" i="15"/>
  <c r="M30" i="15"/>
  <c r="R30" i="15"/>
  <c r="W30" i="15"/>
  <c r="AC30" i="15"/>
  <c r="D31" i="15"/>
  <c r="I31" i="15"/>
  <c r="O31" i="15"/>
  <c r="T31" i="15"/>
  <c r="Y31" i="15"/>
  <c r="AE31" i="15"/>
  <c r="F32" i="15"/>
  <c r="K32" i="15"/>
  <c r="Q32" i="15"/>
  <c r="V32" i="15"/>
  <c r="AA32" i="15"/>
  <c r="B3" i="15"/>
  <c r="B8" i="15"/>
  <c r="B13" i="15"/>
  <c r="B19" i="15"/>
  <c r="B24" i="15"/>
  <c r="B29" i="15"/>
  <c r="D2" i="14"/>
  <c r="I2" i="14"/>
  <c r="N2" i="14"/>
  <c r="R2" i="14"/>
  <c r="V2" i="14"/>
  <c r="Z2" i="14"/>
  <c r="AD2" i="14"/>
  <c r="D3" i="14"/>
  <c r="H3" i="14"/>
  <c r="L3" i="14"/>
  <c r="P3" i="14"/>
  <c r="T3" i="14"/>
  <c r="X3" i="14"/>
  <c r="AB3" i="14"/>
  <c r="AF3" i="14"/>
  <c r="F4" i="14"/>
  <c r="J4" i="14"/>
  <c r="N4" i="14"/>
  <c r="R4" i="14"/>
  <c r="V4" i="14"/>
  <c r="Z4" i="14"/>
  <c r="AD4" i="14"/>
  <c r="D5" i="14"/>
  <c r="H5" i="14"/>
  <c r="L5" i="14"/>
  <c r="P5" i="14"/>
  <c r="T5" i="14"/>
  <c r="X5" i="14"/>
  <c r="AB5" i="14"/>
  <c r="AF5" i="14"/>
  <c r="F6" i="14"/>
  <c r="J6" i="14"/>
  <c r="N6" i="14"/>
  <c r="R6" i="14"/>
  <c r="V6" i="14"/>
  <c r="Z6" i="14"/>
  <c r="AD6" i="14"/>
  <c r="D7" i="14"/>
  <c r="H7" i="14"/>
  <c r="L7" i="14"/>
  <c r="P7" i="14"/>
  <c r="T7" i="14"/>
  <c r="X7" i="14"/>
  <c r="AB7" i="14"/>
  <c r="AF7" i="14"/>
  <c r="F8" i="14"/>
  <c r="J8" i="14"/>
  <c r="N8" i="14"/>
  <c r="R8" i="14"/>
  <c r="V8" i="14"/>
  <c r="Z8" i="14"/>
  <c r="AD8" i="14"/>
  <c r="D9" i="14"/>
  <c r="H9" i="14"/>
  <c r="L9" i="14"/>
  <c r="P9" i="14"/>
  <c r="T9" i="14"/>
  <c r="X9" i="14"/>
  <c r="AB9" i="14"/>
  <c r="AF9" i="14"/>
  <c r="F10" i="14"/>
  <c r="J10" i="14"/>
  <c r="N10" i="14"/>
  <c r="R10" i="14"/>
  <c r="V10" i="14"/>
  <c r="Z10" i="14"/>
  <c r="AD10" i="14"/>
  <c r="D11" i="14"/>
  <c r="H11" i="14"/>
  <c r="L11" i="14"/>
  <c r="P11" i="14"/>
  <c r="T11" i="14"/>
  <c r="X11" i="14"/>
  <c r="AB11" i="14"/>
  <c r="AF11" i="14"/>
  <c r="F12" i="14"/>
  <c r="J12" i="14"/>
  <c r="N12" i="14"/>
  <c r="R12" i="14"/>
  <c r="V12" i="14"/>
  <c r="Z12" i="14"/>
  <c r="AD12" i="14"/>
  <c r="D13" i="14"/>
  <c r="H13" i="14"/>
  <c r="L13" i="14"/>
  <c r="P13" i="14"/>
  <c r="T13" i="14"/>
  <c r="X13" i="14"/>
  <c r="AB13" i="14"/>
  <c r="AF13" i="14"/>
  <c r="F14" i="14"/>
  <c r="J14" i="14"/>
  <c r="N14" i="14"/>
  <c r="R14" i="14"/>
  <c r="V14" i="14"/>
  <c r="Z14" i="14"/>
  <c r="AD14" i="14"/>
  <c r="D15" i="14"/>
  <c r="H15" i="14"/>
  <c r="L15" i="14"/>
  <c r="P15" i="14"/>
  <c r="T15" i="14"/>
  <c r="X15" i="14"/>
  <c r="AB15" i="14"/>
  <c r="AF15" i="14"/>
  <c r="F16" i="14"/>
  <c r="J16" i="14"/>
  <c r="N16" i="14"/>
  <c r="R16" i="14"/>
  <c r="V16" i="14"/>
  <c r="Z16" i="14"/>
  <c r="AD16" i="14"/>
  <c r="D17" i="14"/>
  <c r="H17" i="14"/>
  <c r="L17" i="14"/>
  <c r="P17" i="14"/>
  <c r="T17" i="14"/>
  <c r="X17" i="14"/>
  <c r="AF9" i="15"/>
  <c r="M19" i="15"/>
  <c r="AE21" i="15"/>
  <c r="E24" i="15"/>
  <c r="I26" i="15"/>
  <c r="M28" i="15"/>
  <c r="G29" i="15"/>
  <c r="AB29" i="15"/>
  <c r="S30" i="15"/>
  <c r="K31" i="15"/>
  <c r="AF31" i="15"/>
  <c r="W32" i="15"/>
  <c r="B15" i="15"/>
  <c r="E2" i="14"/>
  <c r="W2" i="14"/>
  <c r="I3" i="14"/>
  <c r="Y3" i="14"/>
  <c r="K4" i="14"/>
  <c r="AA4" i="14"/>
  <c r="M5" i="14"/>
  <c r="AC5" i="14"/>
  <c r="O6" i="14"/>
  <c r="AE6" i="14"/>
  <c r="Q7" i="14"/>
  <c r="C8" i="14"/>
  <c r="S8" i="14"/>
  <c r="E9" i="14"/>
  <c r="U9" i="14"/>
  <c r="G10" i="14"/>
  <c r="W10" i="14"/>
  <c r="I11" i="14"/>
  <c r="Y11" i="14"/>
  <c r="K12" i="14"/>
  <c r="AA12" i="14"/>
  <c r="M13" i="14"/>
  <c r="AC13" i="14"/>
  <c r="O14" i="14"/>
  <c r="AE14" i="14"/>
  <c r="Q15" i="14"/>
  <c r="C16" i="14"/>
  <c r="S16" i="14"/>
  <c r="E17" i="14"/>
  <c r="U17" i="14"/>
  <c r="AB17" i="14"/>
  <c r="AF17" i="14"/>
  <c r="F18" i="14"/>
  <c r="J18" i="14"/>
  <c r="N18" i="14"/>
  <c r="R18" i="14"/>
  <c r="V18" i="14"/>
  <c r="Z18" i="14"/>
  <c r="AD18" i="14"/>
  <c r="D19" i="14"/>
  <c r="H19" i="14"/>
  <c r="L19" i="14"/>
  <c r="P19" i="14"/>
  <c r="T19" i="14"/>
  <c r="X19" i="14"/>
  <c r="AB19" i="14"/>
  <c r="AF19" i="14"/>
  <c r="F20" i="14"/>
  <c r="J20" i="14"/>
  <c r="N20" i="14"/>
  <c r="R20" i="14"/>
  <c r="V20" i="14"/>
  <c r="Z20" i="14"/>
  <c r="AD20" i="14"/>
  <c r="D21" i="14"/>
  <c r="H21" i="14"/>
  <c r="L21" i="14"/>
  <c r="P21" i="14"/>
  <c r="T21" i="14"/>
  <c r="X21" i="14"/>
  <c r="AB21" i="14"/>
  <c r="AF21" i="14"/>
  <c r="F22" i="14"/>
  <c r="J22" i="14"/>
  <c r="N22" i="14"/>
  <c r="R22" i="14"/>
  <c r="V22" i="14"/>
  <c r="Z22" i="14"/>
  <c r="AD22" i="14"/>
  <c r="D23" i="14"/>
  <c r="H23" i="14"/>
  <c r="L23" i="14"/>
  <c r="P23" i="14"/>
  <c r="T23" i="14"/>
  <c r="X23" i="14"/>
  <c r="AB23" i="14"/>
  <c r="AF23" i="14"/>
  <c r="F24" i="14"/>
  <c r="J24" i="14"/>
  <c r="N24" i="14"/>
  <c r="R24" i="14"/>
  <c r="V24" i="14"/>
  <c r="Z24" i="14"/>
  <c r="AD24" i="14"/>
  <c r="D25" i="14"/>
  <c r="H25" i="14"/>
  <c r="L25" i="14"/>
  <c r="P25" i="14"/>
  <c r="T25" i="14"/>
  <c r="X25" i="14"/>
  <c r="AB25" i="14"/>
  <c r="AF25" i="14"/>
  <c r="F26" i="14"/>
  <c r="J26" i="14"/>
  <c r="N26" i="14"/>
  <c r="R26" i="14"/>
  <c r="V26" i="14"/>
  <c r="Z26" i="14"/>
  <c r="AD26" i="14"/>
  <c r="D27" i="14"/>
  <c r="H27" i="14"/>
  <c r="L27" i="14"/>
  <c r="P27" i="14"/>
  <c r="T27" i="14"/>
  <c r="X27" i="14"/>
  <c r="AB27" i="14"/>
  <c r="AF27" i="14"/>
  <c r="F28" i="14"/>
  <c r="J28" i="14"/>
  <c r="N28" i="14"/>
  <c r="R28" i="14"/>
  <c r="V28" i="14"/>
  <c r="Z28" i="14"/>
  <c r="AD28" i="14"/>
  <c r="D29" i="14"/>
  <c r="H29" i="14"/>
  <c r="L29" i="14"/>
  <c r="P29" i="14"/>
  <c r="T29" i="14"/>
  <c r="X29" i="14"/>
  <c r="AB29" i="14"/>
  <c r="AF29" i="14"/>
  <c r="F30" i="14"/>
  <c r="J30" i="14"/>
  <c r="N30" i="14"/>
  <c r="R30" i="14"/>
  <c r="V30" i="14"/>
  <c r="Z30" i="14"/>
  <c r="AD30" i="14"/>
  <c r="D31" i="14"/>
  <c r="H31" i="14"/>
  <c r="L31" i="14"/>
  <c r="P31" i="14"/>
  <c r="T31" i="14"/>
  <c r="X31" i="14"/>
  <c r="AB31" i="14"/>
  <c r="AF31" i="14"/>
  <c r="F32" i="14"/>
  <c r="J32" i="14"/>
  <c r="N32" i="14"/>
  <c r="R32" i="14"/>
  <c r="V32" i="14"/>
  <c r="Z32" i="14"/>
  <c r="AD32" i="14"/>
  <c r="B4" i="14"/>
  <c r="B8" i="14"/>
  <c r="B12" i="14"/>
  <c r="B16" i="14"/>
  <c r="B20" i="14"/>
  <c r="B24" i="14"/>
  <c r="B28" i="14"/>
  <c r="B32" i="14"/>
  <c r="B2" i="14"/>
  <c r="S23" i="15"/>
  <c r="N30" i="15"/>
  <c r="B9" i="15"/>
  <c r="E3" i="14"/>
  <c r="AA12" i="15"/>
  <c r="M20" i="15"/>
  <c r="Q22" i="15"/>
  <c r="U24" i="15"/>
  <c r="Y26" i="15"/>
  <c r="U28" i="15"/>
  <c r="L29" i="15"/>
  <c r="C30" i="15"/>
  <c r="Y30" i="15"/>
  <c r="P31" i="15"/>
  <c r="G32" i="15"/>
  <c r="AC32" i="15"/>
  <c r="B20" i="15"/>
  <c r="J2" i="14"/>
  <c r="AA2" i="14"/>
  <c r="M3" i="14"/>
  <c r="AC3" i="14"/>
  <c r="O4" i="14"/>
  <c r="AE4" i="14"/>
  <c r="Q5" i="14"/>
  <c r="C6" i="14"/>
  <c r="S6" i="14"/>
  <c r="E7" i="14"/>
  <c r="U7" i="14"/>
  <c r="G8" i="14"/>
  <c r="W8" i="14"/>
  <c r="I9" i="14"/>
  <c r="Y9" i="14"/>
  <c r="K10" i="14"/>
  <c r="AA10" i="14"/>
  <c r="M11" i="14"/>
  <c r="AC11" i="14"/>
  <c r="O12" i="14"/>
  <c r="AE12" i="14"/>
  <c r="Q13" i="14"/>
  <c r="C14" i="14"/>
  <c r="S14" i="14"/>
  <c r="E15" i="14"/>
  <c r="U15" i="14"/>
  <c r="G16" i="14"/>
  <c r="W16" i="14"/>
  <c r="I17" i="14"/>
  <c r="Y17" i="14"/>
  <c r="AC17" i="14"/>
  <c r="C18" i="14"/>
  <c r="G18" i="14"/>
  <c r="K18" i="14"/>
  <c r="O18" i="14"/>
  <c r="S18" i="14"/>
  <c r="W18" i="14"/>
  <c r="AA18" i="14"/>
  <c r="AE18" i="14"/>
  <c r="E19" i="14"/>
  <c r="I19" i="14"/>
  <c r="M19" i="14"/>
  <c r="Q19" i="14"/>
  <c r="U19" i="14"/>
  <c r="Y19" i="14"/>
  <c r="AC19" i="14"/>
  <c r="C20" i="14"/>
  <c r="G20" i="14"/>
  <c r="K20" i="14"/>
  <c r="O20" i="14"/>
  <c r="S20" i="14"/>
  <c r="W20" i="14"/>
  <c r="AA20" i="14"/>
  <c r="AE20" i="14"/>
  <c r="E21" i="14"/>
  <c r="I21" i="14"/>
  <c r="M21" i="14"/>
  <c r="Q21" i="14"/>
  <c r="U21" i="14"/>
  <c r="Y21" i="14"/>
  <c r="AC21" i="14"/>
  <c r="C22" i="14"/>
  <c r="G22" i="14"/>
  <c r="K22" i="14"/>
  <c r="O22" i="14"/>
  <c r="S22" i="14"/>
  <c r="W22" i="14"/>
  <c r="AA22" i="14"/>
  <c r="AE22" i="14"/>
  <c r="E23" i="14"/>
  <c r="I23" i="14"/>
  <c r="M23" i="14"/>
  <c r="Q23" i="14"/>
  <c r="U23" i="14"/>
  <c r="Y23" i="14"/>
  <c r="AC23" i="14"/>
  <c r="C24" i="14"/>
  <c r="G24" i="14"/>
  <c r="K24" i="14"/>
  <c r="O24" i="14"/>
  <c r="S24" i="14"/>
  <c r="W24" i="14"/>
  <c r="AA24" i="14"/>
  <c r="AE24" i="14"/>
  <c r="E25" i="14"/>
  <c r="I25" i="14"/>
  <c r="M25" i="14"/>
  <c r="Q25" i="14"/>
  <c r="U25" i="14"/>
  <c r="Y25" i="14"/>
  <c r="AC25" i="14"/>
  <c r="C26" i="14"/>
  <c r="G26" i="14"/>
  <c r="K26" i="14"/>
  <c r="O26" i="14"/>
  <c r="S26" i="14"/>
  <c r="W26" i="14"/>
  <c r="AA26" i="14"/>
  <c r="AE26" i="14"/>
  <c r="E27" i="14"/>
  <c r="I27" i="14"/>
  <c r="M27" i="14"/>
  <c r="Q27" i="14"/>
  <c r="U27" i="14"/>
  <c r="Y27" i="14"/>
  <c r="AC27" i="14"/>
  <c r="C28" i="14"/>
  <c r="G28" i="14"/>
  <c r="K28" i="14"/>
  <c r="O28" i="14"/>
  <c r="S28" i="14"/>
  <c r="W28" i="14"/>
  <c r="AA28" i="14"/>
  <c r="AE28" i="14"/>
  <c r="E29" i="14"/>
  <c r="I29" i="14"/>
  <c r="M29" i="14"/>
  <c r="Q29" i="14"/>
  <c r="U29" i="14"/>
  <c r="Y29" i="14"/>
  <c r="AC29" i="14"/>
  <c r="C30" i="14"/>
  <c r="G30" i="14"/>
  <c r="K30" i="14"/>
  <c r="O30" i="14"/>
  <c r="S30" i="14"/>
  <c r="W30" i="14"/>
  <c r="AA30" i="14"/>
  <c r="AE30" i="14"/>
  <c r="E31" i="14"/>
  <c r="I31" i="14"/>
  <c r="M31" i="14"/>
  <c r="Q31" i="14"/>
  <c r="U31" i="14"/>
  <c r="Y31" i="14"/>
  <c r="AC31" i="14"/>
  <c r="C32" i="14"/>
  <c r="G32" i="14"/>
  <c r="K32" i="14"/>
  <c r="O32" i="14"/>
  <c r="S32" i="14"/>
  <c r="W32" i="14"/>
  <c r="AA32" i="14"/>
  <c r="AE32" i="14"/>
  <c r="B5" i="14"/>
  <c r="B9" i="14"/>
  <c r="B13" i="14"/>
  <c r="B17" i="14"/>
  <c r="B21" i="14"/>
  <c r="B25" i="14"/>
  <c r="B29" i="14"/>
  <c r="O21" i="15"/>
  <c r="AA27" i="15"/>
  <c r="W29" i="15"/>
  <c r="AA31" i="15"/>
  <c r="R32" i="15"/>
  <c r="S2" i="14"/>
  <c r="E15" i="15"/>
  <c r="AC20" i="15"/>
  <c r="C23" i="15"/>
  <c r="G25" i="15"/>
  <c r="K27" i="15"/>
  <c r="Z28" i="15"/>
  <c r="Q29" i="15"/>
  <c r="I30" i="15"/>
  <c r="AD30" i="15"/>
  <c r="U31" i="15"/>
  <c r="M32" i="15"/>
  <c r="B4" i="15"/>
  <c r="B25" i="15"/>
  <c r="O2" i="14"/>
  <c r="AE2" i="14"/>
  <c r="Q3" i="14"/>
  <c r="C4" i="14"/>
  <c r="S4" i="14"/>
  <c r="E5" i="14"/>
  <c r="U5" i="14"/>
  <c r="G6" i="14"/>
  <c r="W6" i="14"/>
  <c r="I7" i="14"/>
  <c r="Y7" i="14"/>
  <c r="K8" i="14"/>
  <c r="AA8" i="14"/>
  <c r="M9" i="14"/>
  <c r="AC9" i="14"/>
  <c r="O10" i="14"/>
  <c r="AE10" i="14"/>
  <c r="Q11" i="14"/>
  <c r="C12" i="14"/>
  <c r="S12" i="14"/>
  <c r="E13" i="14"/>
  <c r="U13" i="14"/>
  <c r="G14" i="14"/>
  <c r="W14" i="14"/>
  <c r="I15" i="14"/>
  <c r="Y15" i="14"/>
  <c r="K16" i="14"/>
  <c r="AA16" i="14"/>
  <c r="M17" i="14"/>
  <c r="Z17" i="14"/>
  <c r="AD17" i="14"/>
  <c r="D18" i="14"/>
  <c r="H18" i="14"/>
  <c r="L18" i="14"/>
  <c r="P18" i="14"/>
  <c r="T18" i="14"/>
  <c r="X18" i="14"/>
  <c r="AB18" i="14"/>
  <c r="AF18" i="14"/>
  <c r="F19" i="14"/>
  <c r="J19" i="14"/>
  <c r="N19" i="14"/>
  <c r="R19" i="14"/>
  <c r="V19" i="14"/>
  <c r="Z19" i="14"/>
  <c r="AD19" i="14"/>
  <c r="D20" i="14"/>
  <c r="H20" i="14"/>
  <c r="L20" i="14"/>
  <c r="P20" i="14"/>
  <c r="T20" i="14"/>
  <c r="X20" i="14"/>
  <c r="AB20" i="14"/>
  <c r="AF20" i="14"/>
  <c r="F21" i="14"/>
  <c r="J21" i="14"/>
  <c r="N21" i="14"/>
  <c r="R21" i="14"/>
  <c r="V21" i="14"/>
  <c r="Z21" i="14"/>
  <c r="AD21" i="14"/>
  <c r="D22" i="14"/>
  <c r="H22" i="14"/>
  <c r="L22" i="14"/>
  <c r="P22" i="14"/>
  <c r="T22" i="14"/>
  <c r="X22" i="14"/>
  <c r="AB22" i="14"/>
  <c r="AF22" i="14"/>
  <c r="F23" i="14"/>
  <c r="J23" i="14"/>
  <c r="N23" i="14"/>
  <c r="R23" i="14"/>
  <c r="V23" i="14"/>
  <c r="Z23" i="14"/>
  <c r="AD23" i="14"/>
  <c r="D24" i="14"/>
  <c r="H24" i="14"/>
  <c r="L24" i="14"/>
  <c r="P24" i="14"/>
  <c r="T24" i="14"/>
  <c r="X24" i="14"/>
  <c r="AB24" i="14"/>
  <c r="AF24" i="14"/>
  <c r="F25" i="14"/>
  <c r="J25" i="14"/>
  <c r="N25" i="14"/>
  <c r="R25" i="14"/>
  <c r="V25" i="14"/>
  <c r="Z25" i="14"/>
  <c r="AD25" i="14"/>
  <c r="D26" i="14"/>
  <c r="H26" i="14"/>
  <c r="L26" i="14"/>
  <c r="P26" i="14"/>
  <c r="T26" i="14"/>
  <c r="X26" i="14"/>
  <c r="AB26" i="14"/>
  <c r="AF26" i="14"/>
  <c r="F27" i="14"/>
  <c r="J27" i="14"/>
  <c r="N27" i="14"/>
  <c r="R27" i="14"/>
  <c r="V27" i="14"/>
  <c r="Z27" i="14"/>
  <c r="AD27" i="14"/>
  <c r="D28" i="14"/>
  <c r="H28" i="14"/>
  <c r="L28" i="14"/>
  <c r="P28" i="14"/>
  <c r="T28" i="14"/>
  <c r="X28" i="14"/>
  <c r="AB28" i="14"/>
  <c r="AF28" i="14"/>
  <c r="F29" i="14"/>
  <c r="J29" i="14"/>
  <c r="N29" i="14"/>
  <c r="R29" i="14"/>
  <c r="V29" i="14"/>
  <c r="Z29" i="14"/>
  <c r="AD29" i="14"/>
  <c r="D30" i="14"/>
  <c r="H30" i="14"/>
  <c r="L30" i="14"/>
  <c r="P30" i="14"/>
  <c r="T30" i="14"/>
  <c r="X30" i="14"/>
  <c r="AB30" i="14"/>
  <c r="AF30" i="14"/>
  <c r="F31" i="14"/>
  <c r="J31" i="14"/>
  <c r="N31" i="14"/>
  <c r="R31" i="14"/>
  <c r="V31" i="14"/>
  <c r="Z31" i="14"/>
  <c r="AD31" i="14"/>
  <c r="D32" i="14"/>
  <c r="H32" i="14"/>
  <c r="L32" i="14"/>
  <c r="P32" i="14"/>
  <c r="T32" i="14"/>
  <c r="X32" i="14"/>
  <c r="AB32" i="14"/>
  <c r="AF32" i="14"/>
  <c r="B6" i="14"/>
  <c r="B10" i="14"/>
  <c r="B14" i="14"/>
  <c r="B18" i="14"/>
  <c r="B22" i="14"/>
  <c r="B26" i="14"/>
  <c r="B30" i="14"/>
  <c r="I17" i="15"/>
  <c r="W25" i="15"/>
  <c r="AE28" i="15"/>
  <c r="E31" i="15"/>
  <c r="B31" i="15"/>
  <c r="U3" i="14"/>
  <c r="G4" i="14"/>
  <c r="K6" i="14"/>
  <c r="O8" i="14"/>
  <c r="S10" i="14"/>
  <c r="W12" i="14"/>
  <c r="AA14" i="14"/>
  <c r="AE16" i="14"/>
  <c r="E18" i="14"/>
  <c r="U18" i="14"/>
  <c r="G19" i="14"/>
  <c r="W19" i="14"/>
  <c r="I20" i="14"/>
  <c r="Y20" i="14"/>
  <c r="K21" i="14"/>
  <c r="AA21" i="14"/>
  <c r="M22" i="14"/>
  <c r="AC22" i="14"/>
  <c r="O23" i="14"/>
  <c r="AE23" i="14"/>
  <c r="Q24" i="14"/>
  <c r="C25" i="14"/>
  <c r="S25" i="14"/>
  <c r="E26" i="14"/>
  <c r="U26" i="14"/>
  <c r="G27" i="14"/>
  <c r="W27" i="14"/>
  <c r="I28" i="14"/>
  <c r="Y28" i="14"/>
  <c r="K29" i="14"/>
  <c r="AA29" i="14"/>
  <c r="M30" i="14"/>
  <c r="AC30" i="14"/>
  <c r="O31" i="14"/>
  <c r="AE31" i="14"/>
  <c r="Q32" i="14"/>
  <c r="B3" i="14"/>
  <c r="B19" i="14"/>
  <c r="O16" i="14"/>
  <c r="C19" i="14"/>
  <c r="U20" i="14"/>
  <c r="Y22" i="14"/>
  <c r="M24" i="14"/>
  <c r="AE25" i="14"/>
  <c r="S27" i="14"/>
  <c r="G29" i="14"/>
  <c r="Y30" i="14"/>
  <c r="M32" i="14"/>
  <c r="B31" i="14"/>
  <c r="W4" i="14"/>
  <c r="AA6" i="14"/>
  <c r="AE8" i="14"/>
  <c r="E11" i="14"/>
  <c r="I13" i="14"/>
  <c r="M15" i="14"/>
  <c r="Q17" i="14"/>
  <c r="I18" i="14"/>
  <c r="Y18" i="14"/>
  <c r="K19" i="14"/>
  <c r="AA19" i="14"/>
  <c r="M20" i="14"/>
  <c r="AC20" i="14"/>
  <c r="O21" i="14"/>
  <c r="AE21" i="14"/>
  <c r="Q22" i="14"/>
  <c r="C23" i="14"/>
  <c r="S23" i="14"/>
  <c r="E24" i="14"/>
  <c r="U24" i="14"/>
  <c r="G25" i="14"/>
  <c r="W25" i="14"/>
  <c r="I26" i="14"/>
  <c r="Y26" i="14"/>
  <c r="K27" i="14"/>
  <c r="AA27" i="14"/>
  <c r="M28" i="14"/>
  <c r="AC28" i="14"/>
  <c r="O29" i="14"/>
  <c r="AE29" i="14"/>
  <c r="Q30" i="14"/>
  <c r="C31" i="14"/>
  <c r="S31" i="14"/>
  <c r="E32" i="14"/>
  <c r="U32" i="14"/>
  <c r="B7" i="14"/>
  <c r="B23" i="14"/>
  <c r="G12" i="14"/>
  <c r="Q18" i="14"/>
  <c r="E20" i="14"/>
  <c r="W21" i="14"/>
  <c r="K23" i="14"/>
  <c r="AC24" i="14"/>
  <c r="Q26" i="14"/>
  <c r="U28" i="14"/>
  <c r="I30" i="14"/>
  <c r="AA31" i="14"/>
  <c r="B15" i="14"/>
  <c r="I5" i="14"/>
  <c r="M7" i="14"/>
  <c r="Q9" i="14"/>
  <c r="U11" i="14"/>
  <c r="Y13" i="14"/>
  <c r="AC15" i="14"/>
  <c r="AA17" i="14"/>
  <c r="M18" i="14"/>
  <c r="AC18" i="14"/>
  <c r="O19" i="14"/>
  <c r="AE19" i="14"/>
  <c r="Q20" i="14"/>
  <c r="C21" i="14"/>
  <c r="S21" i="14"/>
  <c r="E22" i="14"/>
  <c r="U22" i="14"/>
  <c r="G23" i="14"/>
  <c r="W23" i="14"/>
  <c r="I24" i="14"/>
  <c r="Y24" i="14"/>
  <c r="K25" i="14"/>
  <c r="AA25" i="14"/>
  <c r="M26" i="14"/>
  <c r="AC26" i="14"/>
  <c r="O27" i="14"/>
  <c r="AE27" i="14"/>
  <c r="Q28" i="14"/>
  <c r="C29" i="14"/>
  <c r="S29" i="14"/>
  <c r="E30" i="14"/>
  <c r="U30" i="14"/>
  <c r="G31" i="14"/>
  <c r="W31" i="14"/>
  <c r="I32" i="14"/>
  <c r="Y32" i="14"/>
  <c r="B11" i="14"/>
  <c r="B27" i="14"/>
  <c r="Y5" i="14"/>
  <c r="AC7" i="14"/>
  <c r="C10" i="14"/>
  <c r="K14" i="14"/>
  <c r="AE17" i="14"/>
  <c r="S19" i="14"/>
  <c r="G21" i="14"/>
  <c r="I22" i="14"/>
  <c r="AA23" i="14"/>
  <c r="O25" i="14"/>
  <c r="C27" i="14"/>
  <c r="E28" i="14"/>
  <c r="W29" i="14"/>
  <c r="K31" i="14"/>
  <c r="AC32" i="14"/>
  <c r="B2" i="19"/>
  <c r="F2" i="19"/>
  <c r="J2" i="19"/>
  <c r="N2" i="19"/>
  <c r="R2" i="19"/>
  <c r="V2" i="19"/>
  <c r="Z2" i="19"/>
  <c r="AD2" i="19"/>
  <c r="D3" i="19"/>
  <c r="H3" i="19"/>
  <c r="L3" i="19"/>
  <c r="P3" i="19"/>
  <c r="T3" i="19"/>
  <c r="X3" i="19"/>
  <c r="AB3" i="19"/>
  <c r="AF3" i="19"/>
  <c r="F4" i="19"/>
  <c r="J4" i="19"/>
  <c r="N4" i="19"/>
  <c r="R4" i="19"/>
  <c r="V4" i="19"/>
  <c r="Z4" i="19"/>
  <c r="AD4" i="19"/>
  <c r="D5" i="19"/>
  <c r="H5" i="19"/>
  <c r="L5" i="19"/>
  <c r="P5" i="19"/>
  <c r="T5" i="19"/>
  <c r="X5" i="19"/>
  <c r="AB5" i="19"/>
  <c r="AF5" i="19"/>
  <c r="F6" i="19"/>
  <c r="J6" i="19"/>
  <c r="N6" i="19"/>
  <c r="R6" i="19"/>
  <c r="V6" i="19"/>
  <c r="Z6" i="19"/>
  <c r="AD6" i="19"/>
  <c r="D7" i="19"/>
  <c r="H7" i="19"/>
  <c r="L7" i="19"/>
  <c r="P7" i="19"/>
  <c r="T7" i="19"/>
  <c r="X7" i="19"/>
  <c r="AB7" i="19"/>
  <c r="AF7" i="19"/>
  <c r="F8" i="19"/>
  <c r="J8" i="19"/>
  <c r="N8" i="19"/>
  <c r="R8" i="19"/>
  <c r="V8" i="19"/>
  <c r="Z8" i="19"/>
  <c r="AD8" i="19"/>
  <c r="D9" i="19"/>
  <c r="H9" i="19"/>
  <c r="L9" i="19"/>
  <c r="P9" i="19"/>
  <c r="T9" i="19"/>
  <c r="X9" i="19"/>
  <c r="AB9" i="19"/>
  <c r="AF9" i="19"/>
  <c r="F10" i="19"/>
  <c r="J10" i="19"/>
  <c r="N10" i="19"/>
  <c r="R10" i="19"/>
  <c r="V10" i="19"/>
  <c r="Z10" i="19"/>
  <c r="AD10" i="19"/>
  <c r="D11" i="19"/>
  <c r="H11" i="19"/>
  <c r="C2" i="19"/>
  <c r="G2" i="19"/>
  <c r="K2" i="19"/>
  <c r="O2" i="19"/>
  <c r="S2" i="19"/>
  <c r="W2" i="19"/>
  <c r="AA2" i="19"/>
  <c r="AE2" i="19"/>
  <c r="E3" i="19"/>
  <c r="I3" i="19"/>
  <c r="M3" i="19"/>
  <c r="Q3" i="19"/>
  <c r="U3" i="19"/>
  <c r="Y3" i="19"/>
  <c r="AC3" i="19"/>
  <c r="C4" i="19"/>
  <c r="G4" i="19"/>
  <c r="K4" i="19"/>
  <c r="O4" i="19"/>
  <c r="S4" i="19"/>
  <c r="W4" i="19"/>
  <c r="AA4" i="19"/>
  <c r="AE4" i="19"/>
  <c r="E5" i="19"/>
  <c r="I5" i="19"/>
  <c r="M5" i="19"/>
  <c r="Q5" i="19"/>
  <c r="U5" i="19"/>
  <c r="Y5" i="19"/>
  <c r="AC5" i="19"/>
  <c r="C6" i="19"/>
  <c r="G6" i="19"/>
  <c r="K6" i="19"/>
  <c r="O6" i="19"/>
  <c r="S6" i="19"/>
  <c r="W6" i="19"/>
  <c r="AA6" i="19"/>
  <c r="AE6" i="19"/>
  <c r="E7" i="19"/>
  <c r="I7" i="19"/>
  <c r="M7" i="19"/>
  <c r="Q7" i="19"/>
  <c r="U7" i="19"/>
  <c r="Y7" i="19"/>
  <c r="AC7" i="19"/>
  <c r="C8" i="19"/>
  <c r="G8" i="19"/>
  <c r="K8" i="19"/>
  <c r="O8" i="19"/>
  <c r="S8" i="19"/>
  <c r="W8" i="19"/>
  <c r="AA8" i="19"/>
  <c r="AE8" i="19"/>
  <c r="E9" i="19"/>
  <c r="I9" i="19"/>
  <c r="M9" i="19"/>
  <c r="Q9" i="19"/>
  <c r="U9" i="19"/>
  <c r="Y9" i="19"/>
  <c r="AC9" i="19"/>
  <c r="C10" i="19"/>
  <c r="G10" i="19"/>
  <c r="K10" i="19"/>
  <c r="O10" i="19"/>
  <c r="S10" i="19"/>
  <c r="W10" i="19"/>
  <c r="AA10" i="19"/>
  <c r="AE10" i="19"/>
  <c r="E11" i="19"/>
  <c r="I11" i="19"/>
  <c r="D2" i="19"/>
  <c r="H2" i="19"/>
  <c r="L2" i="19"/>
  <c r="P2" i="19"/>
  <c r="T2" i="19"/>
  <c r="X2" i="19"/>
  <c r="AB2" i="19"/>
  <c r="AF2" i="19"/>
  <c r="F3" i="19"/>
  <c r="J3" i="19"/>
  <c r="N3" i="19"/>
  <c r="R3" i="19"/>
  <c r="V3" i="19"/>
  <c r="Z3" i="19"/>
  <c r="AD3" i="19"/>
  <c r="D4" i="19"/>
  <c r="H4" i="19"/>
  <c r="L4" i="19"/>
  <c r="P4" i="19"/>
  <c r="T4" i="19"/>
  <c r="X4" i="19"/>
  <c r="AB4" i="19"/>
  <c r="AF4" i="19"/>
  <c r="F5" i="19"/>
  <c r="J5" i="19"/>
  <c r="N5" i="19"/>
  <c r="R5" i="19"/>
  <c r="V5" i="19"/>
  <c r="Z5" i="19"/>
  <c r="AD5" i="19"/>
  <c r="D6" i="19"/>
  <c r="H6" i="19"/>
  <c r="L6" i="19"/>
  <c r="P6" i="19"/>
  <c r="T6" i="19"/>
  <c r="X6" i="19"/>
  <c r="AB6" i="19"/>
  <c r="AF6" i="19"/>
  <c r="F7" i="19"/>
  <c r="J7" i="19"/>
  <c r="N7" i="19"/>
  <c r="R7" i="19"/>
  <c r="V7" i="19"/>
  <c r="Z7" i="19"/>
  <c r="AD7" i="19"/>
  <c r="D8" i="19"/>
  <c r="H8" i="19"/>
  <c r="L8" i="19"/>
  <c r="P8" i="19"/>
  <c r="T8" i="19"/>
  <c r="X8" i="19"/>
  <c r="AB8" i="19"/>
  <c r="AF8" i="19"/>
  <c r="F9" i="19"/>
  <c r="J9" i="19"/>
  <c r="N9" i="19"/>
  <c r="R9" i="19"/>
  <c r="V9" i="19"/>
  <c r="Z9" i="19"/>
  <c r="AD9" i="19"/>
  <c r="D10" i="19"/>
  <c r="H10" i="19"/>
  <c r="L10" i="19"/>
  <c r="P10" i="19"/>
  <c r="T10" i="19"/>
  <c r="X10" i="19"/>
  <c r="AB10" i="19"/>
  <c r="AF10" i="19"/>
  <c r="F11" i="19"/>
  <c r="J11" i="19"/>
  <c r="N11" i="19"/>
  <c r="R11" i="19"/>
  <c r="V11" i="19"/>
  <c r="Z11" i="19"/>
  <c r="AD11" i="19"/>
  <c r="D12" i="19"/>
  <c r="H12" i="19"/>
  <c r="L12" i="19"/>
  <c r="P12" i="19"/>
  <c r="T12" i="19"/>
  <c r="X12" i="19"/>
  <c r="AB12" i="19"/>
  <c r="AF12" i="19"/>
  <c r="F13" i="19"/>
  <c r="J13" i="19"/>
  <c r="E2" i="19"/>
  <c r="U2" i="19"/>
  <c r="G3" i="19"/>
  <c r="W3" i="19"/>
  <c r="I4" i="19"/>
  <c r="Y4" i="19"/>
  <c r="K5" i="19"/>
  <c r="AA5" i="19"/>
  <c r="M6" i="19"/>
  <c r="AC6" i="19"/>
  <c r="O7" i="19"/>
  <c r="AE7" i="19"/>
  <c r="Q8" i="19"/>
  <c r="C9" i="19"/>
  <c r="S9" i="19"/>
  <c r="E10" i="19"/>
  <c r="U10" i="19"/>
  <c r="G11" i="19"/>
  <c r="O11" i="19"/>
  <c r="T11" i="19"/>
  <c r="Y11" i="19"/>
  <c r="AE11" i="19"/>
  <c r="F12" i="19"/>
  <c r="K12" i="19"/>
  <c r="Q12" i="19"/>
  <c r="V12" i="19"/>
  <c r="AA12" i="19"/>
  <c r="C13" i="19"/>
  <c r="H13" i="19"/>
  <c r="M13" i="19"/>
  <c r="Q13" i="19"/>
  <c r="U13" i="19"/>
  <c r="Y13" i="19"/>
  <c r="AC13" i="19"/>
  <c r="C14" i="19"/>
  <c r="G14" i="19"/>
  <c r="K14" i="19"/>
  <c r="O14" i="19"/>
  <c r="S14" i="19"/>
  <c r="W14" i="19"/>
  <c r="AA14" i="19"/>
  <c r="AE14" i="19"/>
  <c r="E15" i="19"/>
  <c r="I15" i="19"/>
  <c r="M15" i="19"/>
  <c r="Q15" i="19"/>
  <c r="U15" i="19"/>
  <c r="Y15" i="19"/>
  <c r="AC15" i="19"/>
  <c r="C16" i="19"/>
  <c r="G16" i="19"/>
  <c r="K16" i="19"/>
  <c r="O16" i="19"/>
  <c r="S16" i="19"/>
  <c r="W16" i="19"/>
  <c r="AA16" i="19"/>
  <c r="AE16" i="19"/>
  <c r="E17" i="19"/>
  <c r="I17" i="19"/>
  <c r="M17" i="19"/>
  <c r="Q17" i="19"/>
  <c r="U17" i="19"/>
  <c r="Y17" i="19"/>
  <c r="AC17" i="19"/>
  <c r="C18" i="19"/>
  <c r="G18" i="19"/>
  <c r="I2" i="19"/>
  <c r="Y2" i="19"/>
  <c r="K3" i="19"/>
  <c r="AA3" i="19"/>
  <c r="M4" i="19"/>
  <c r="AC4" i="19"/>
  <c r="O5" i="19"/>
  <c r="AE5" i="19"/>
  <c r="Q6" i="19"/>
  <c r="C7" i="19"/>
  <c r="S7" i="19"/>
  <c r="E8" i="19"/>
  <c r="U8" i="19"/>
  <c r="G9" i="19"/>
  <c r="W9" i="19"/>
  <c r="I10" i="19"/>
  <c r="Y10" i="19"/>
  <c r="K11" i="19"/>
  <c r="P11" i="19"/>
  <c r="U11" i="19"/>
  <c r="AA11" i="19"/>
  <c r="AF11" i="19"/>
  <c r="G12" i="19"/>
  <c r="M12" i="19"/>
  <c r="R12" i="19"/>
  <c r="W12" i="19"/>
  <c r="AC12" i="19"/>
  <c r="D13" i="19"/>
  <c r="I13" i="19"/>
  <c r="N13" i="19"/>
  <c r="R13" i="19"/>
  <c r="V13" i="19"/>
  <c r="Z13" i="19"/>
  <c r="AD13" i="19"/>
  <c r="D14" i="19"/>
  <c r="H14" i="19"/>
  <c r="L14" i="19"/>
  <c r="P14" i="19"/>
  <c r="T14" i="19"/>
  <c r="X14" i="19"/>
  <c r="AB14" i="19"/>
  <c r="AF14" i="19"/>
  <c r="F15" i="19"/>
  <c r="J15" i="19"/>
  <c r="N15" i="19"/>
  <c r="R15" i="19"/>
  <c r="V15" i="19"/>
  <c r="Z15" i="19"/>
  <c r="AD15" i="19"/>
  <c r="D16" i="19"/>
  <c r="H16" i="19"/>
  <c r="L16" i="19"/>
  <c r="P16" i="19"/>
  <c r="T16" i="19"/>
  <c r="X16" i="19"/>
  <c r="AB16" i="19"/>
  <c r="AF16" i="19"/>
  <c r="F17" i="19"/>
  <c r="J17" i="19"/>
  <c r="N17" i="19"/>
  <c r="R17" i="19"/>
  <c r="V17" i="19"/>
  <c r="Z17" i="19"/>
  <c r="AD17" i="19"/>
  <c r="D18" i="19"/>
  <c r="H18" i="19"/>
  <c r="Q2" i="19"/>
  <c r="C3" i="19"/>
  <c r="S3" i="19"/>
  <c r="E4" i="19"/>
  <c r="U4" i="19"/>
  <c r="G5" i="19"/>
  <c r="W5" i="19"/>
  <c r="I6" i="19"/>
  <c r="Y6" i="19"/>
  <c r="K7" i="19"/>
  <c r="AA7" i="19"/>
  <c r="M8" i="19"/>
  <c r="AC8" i="19"/>
  <c r="O9" i="19"/>
  <c r="AE9" i="19"/>
  <c r="Q10" i="19"/>
  <c r="C11" i="19"/>
  <c r="M11" i="19"/>
  <c r="S11" i="19"/>
  <c r="X11" i="19"/>
  <c r="AC11" i="19"/>
  <c r="E12" i="19"/>
  <c r="J12" i="19"/>
  <c r="O12" i="19"/>
  <c r="U12" i="19"/>
  <c r="Z12" i="19"/>
  <c r="AE12" i="19"/>
  <c r="G13" i="19"/>
  <c r="L13" i="19"/>
  <c r="P13" i="19"/>
  <c r="T13" i="19"/>
  <c r="X13" i="19"/>
  <c r="AB13" i="19"/>
  <c r="AF13" i="19"/>
  <c r="F14" i="19"/>
  <c r="J14" i="19"/>
  <c r="N14" i="19"/>
  <c r="R14" i="19"/>
  <c r="V14" i="19"/>
  <c r="Z14" i="19"/>
  <c r="AD14" i="19"/>
  <c r="D15" i="19"/>
  <c r="H15" i="19"/>
  <c r="L15" i="19"/>
  <c r="P15" i="19"/>
  <c r="T15" i="19"/>
  <c r="X15" i="19"/>
  <c r="AB15" i="19"/>
  <c r="AF15" i="19"/>
  <c r="F16" i="19"/>
  <c r="J16" i="19"/>
  <c r="N16" i="19"/>
  <c r="R16" i="19"/>
  <c r="V16" i="19"/>
  <c r="Z16" i="19"/>
  <c r="AD16" i="19"/>
  <c r="D17" i="19"/>
  <c r="H17" i="19"/>
  <c r="L17" i="19"/>
  <c r="P17" i="19"/>
  <c r="T17" i="19"/>
  <c r="X17" i="19"/>
  <c r="AB17" i="19"/>
  <c r="AF17" i="19"/>
  <c r="F18" i="19"/>
  <c r="J18" i="19"/>
  <c r="N18" i="19"/>
  <c r="R18" i="19"/>
  <c r="V18" i="19"/>
  <c r="Z18" i="19"/>
  <c r="AD18" i="19"/>
  <c r="D19" i="19"/>
  <c r="H19" i="19"/>
  <c r="L19" i="19"/>
  <c r="P19" i="19"/>
  <c r="T19" i="19"/>
  <c r="X19" i="19"/>
  <c r="AB19" i="19"/>
  <c r="AF19" i="19"/>
  <c r="F20" i="19"/>
  <c r="J20" i="19"/>
  <c r="N20" i="19"/>
  <c r="R20" i="19"/>
  <c r="V20" i="19"/>
  <c r="Z20" i="19"/>
  <c r="M2" i="19"/>
  <c r="Q4" i="19"/>
  <c r="U6" i="19"/>
  <c r="Y8" i="19"/>
  <c r="AC10" i="19"/>
  <c r="AB11" i="19"/>
  <c r="S12" i="19"/>
  <c r="K13" i="19"/>
  <c r="AA13" i="19"/>
  <c r="M14" i="19"/>
  <c r="AC14" i="19"/>
  <c r="O15" i="19"/>
  <c r="AE15" i="19"/>
  <c r="Q16" i="19"/>
  <c r="C17" i="19"/>
  <c r="S17" i="19"/>
  <c r="E18" i="19"/>
  <c r="M18" i="19"/>
  <c r="S18" i="19"/>
  <c r="X18" i="19"/>
  <c r="AC18" i="19"/>
  <c r="E19" i="19"/>
  <c r="J19" i="19"/>
  <c r="O19" i="19"/>
  <c r="U19" i="19"/>
  <c r="Z19" i="19"/>
  <c r="AE19" i="19"/>
  <c r="G20" i="19"/>
  <c r="L20" i="19"/>
  <c r="Q20" i="19"/>
  <c r="W20" i="19"/>
  <c r="AB20" i="19"/>
  <c r="AF20" i="19"/>
  <c r="F21" i="19"/>
  <c r="J21" i="19"/>
  <c r="N21" i="19"/>
  <c r="R21" i="19"/>
  <c r="V21" i="19"/>
  <c r="Z21" i="19"/>
  <c r="AD21" i="19"/>
  <c r="D22" i="19"/>
  <c r="H22" i="19"/>
  <c r="L22" i="19"/>
  <c r="P22" i="19"/>
  <c r="T22" i="19"/>
  <c r="X22" i="19"/>
  <c r="AB22" i="19"/>
  <c r="AF22" i="19"/>
  <c r="F23" i="19"/>
  <c r="J23" i="19"/>
  <c r="N23" i="19"/>
  <c r="R23" i="19"/>
  <c r="V23" i="19"/>
  <c r="Z23" i="19"/>
  <c r="AD23" i="19"/>
  <c r="D24" i="19"/>
  <c r="H24" i="19"/>
  <c r="L24" i="19"/>
  <c r="P24" i="19"/>
  <c r="T24" i="19"/>
  <c r="X24" i="19"/>
  <c r="AB24" i="19"/>
  <c r="AF24" i="19"/>
  <c r="F25" i="19"/>
  <c r="J25" i="19"/>
  <c r="N25" i="19"/>
  <c r="R25" i="19"/>
  <c r="V25" i="19"/>
  <c r="Z25" i="19"/>
  <c r="AD25" i="19"/>
  <c r="D26" i="19"/>
  <c r="H26" i="19"/>
  <c r="L26" i="19"/>
  <c r="P26" i="19"/>
  <c r="T26" i="19"/>
  <c r="X26" i="19"/>
  <c r="AB26" i="19"/>
  <c r="AF26" i="19"/>
  <c r="F27" i="19"/>
  <c r="J27" i="19"/>
  <c r="N27" i="19"/>
  <c r="R27" i="19"/>
  <c r="V27" i="19"/>
  <c r="Z27" i="19"/>
  <c r="AD27" i="19"/>
  <c r="AC2" i="19"/>
  <c r="C5" i="19"/>
  <c r="G7" i="19"/>
  <c r="K9" i="19"/>
  <c r="L11" i="19"/>
  <c r="C12" i="19"/>
  <c r="Y12" i="19"/>
  <c r="O13" i="19"/>
  <c r="AE13" i="19"/>
  <c r="Q14" i="19"/>
  <c r="C15" i="19"/>
  <c r="S15" i="19"/>
  <c r="E16" i="19"/>
  <c r="U16" i="19"/>
  <c r="G17" i="19"/>
  <c r="W17" i="19"/>
  <c r="I18" i="19"/>
  <c r="O18" i="19"/>
  <c r="T18" i="19"/>
  <c r="Y18" i="19"/>
  <c r="AE18" i="19"/>
  <c r="F19" i="19"/>
  <c r="K19" i="19"/>
  <c r="Q19" i="19"/>
  <c r="V19" i="19"/>
  <c r="AA19" i="19"/>
  <c r="C20" i="19"/>
  <c r="H20" i="19"/>
  <c r="M20" i="19"/>
  <c r="S20" i="19"/>
  <c r="X20" i="19"/>
  <c r="AC20" i="19"/>
  <c r="C21" i="19"/>
  <c r="G21" i="19"/>
  <c r="K21" i="19"/>
  <c r="O21" i="19"/>
  <c r="S21" i="19"/>
  <c r="W21" i="19"/>
  <c r="AA21" i="19"/>
  <c r="AE21" i="19"/>
  <c r="E22" i="19"/>
  <c r="I22" i="19"/>
  <c r="M22" i="19"/>
  <c r="Q22" i="19"/>
  <c r="U22" i="19"/>
  <c r="Y22" i="19"/>
  <c r="AC22" i="19"/>
  <c r="C23" i="19"/>
  <c r="G23" i="19"/>
  <c r="K23" i="19"/>
  <c r="O23" i="19"/>
  <c r="S23" i="19"/>
  <c r="W23" i="19"/>
  <c r="AA23" i="19"/>
  <c r="AE23" i="19"/>
  <c r="E24" i="19"/>
  <c r="I24" i="19"/>
  <c r="M24" i="19"/>
  <c r="Q24" i="19"/>
  <c r="U24" i="19"/>
  <c r="Y24" i="19"/>
  <c r="AC24" i="19"/>
  <c r="C25" i="19"/>
  <c r="G25" i="19"/>
  <c r="K25" i="19"/>
  <c r="O25" i="19"/>
  <c r="S25" i="19"/>
  <c r="W25" i="19"/>
  <c r="AA25" i="19"/>
  <c r="AE25" i="19"/>
  <c r="E26" i="19"/>
  <c r="I26" i="19"/>
  <c r="M26" i="19"/>
  <c r="Q26" i="19"/>
  <c r="U26" i="19"/>
  <c r="Y26" i="19"/>
  <c r="AC26" i="19"/>
  <c r="C27" i="19"/>
  <c r="G27" i="19"/>
  <c r="K27" i="19"/>
  <c r="O27" i="19"/>
  <c r="S27" i="19"/>
  <c r="W27" i="19"/>
  <c r="AA27" i="19"/>
  <c r="AE27" i="19"/>
  <c r="O3" i="19"/>
  <c r="S5" i="19"/>
  <c r="W7" i="19"/>
  <c r="AA9" i="19"/>
  <c r="Q11" i="19"/>
  <c r="I12" i="19"/>
  <c r="AD12" i="19"/>
  <c r="S13" i="19"/>
  <c r="E14" i="19"/>
  <c r="U14" i="19"/>
  <c r="G15" i="19"/>
  <c r="W15" i="19"/>
  <c r="I16" i="19"/>
  <c r="Y16" i="19"/>
  <c r="K17" i="19"/>
  <c r="AA17" i="19"/>
  <c r="K18" i="19"/>
  <c r="P18" i="19"/>
  <c r="U18" i="19"/>
  <c r="AA18" i="19"/>
  <c r="AF18" i="19"/>
  <c r="G19" i="19"/>
  <c r="M19" i="19"/>
  <c r="R19" i="19"/>
  <c r="W19" i="19"/>
  <c r="AC19" i="19"/>
  <c r="D20" i="19"/>
  <c r="I20" i="19"/>
  <c r="O20" i="19"/>
  <c r="T20" i="19"/>
  <c r="Y20" i="19"/>
  <c r="AD20" i="19"/>
  <c r="D21" i="19"/>
  <c r="H21" i="19"/>
  <c r="L21" i="19"/>
  <c r="P21" i="19"/>
  <c r="T21" i="19"/>
  <c r="X21" i="19"/>
  <c r="AB21" i="19"/>
  <c r="AF21" i="19"/>
  <c r="F22" i="19"/>
  <c r="J22" i="19"/>
  <c r="N22" i="19"/>
  <c r="R22" i="19"/>
  <c r="V22" i="19"/>
  <c r="Z22" i="19"/>
  <c r="AD22" i="19"/>
  <c r="D23" i="19"/>
  <c r="H23" i="19"/>
  <c r="L23" i="19"/>
  <c r="P23" i="19"/>
  <c r="T23" i="19"/>
  <c r="X23" i="19"/>
  <c r="AB23" i="19"/>
  <c r="AF23" i="19"/>
  <c r="F24" i="19"/>
  <c r="J24" i="19"/>
  <c r="N24" i="19"/>
  <c r="R24" i="19"/>
  <c r="V24" i="19"/>
  <c r="Z24" i="19"/>
  <c r="AD24" i="19"/>
  <c r="D25" i="19"/>
  <c r="H25" i="19"/>
  <c r="L25" i="19"/>
  <c r="P25" i="19"/>
  <c r="T25" i="19"/>
  <c r="X25" i="19"/>
  <c r="AB25" i="19"/>
  <c r="AF25" i="19"/>
  <c r="F26" i="19"/>
  <c r="J26" i="19"/>
  <c r="N26" i="19"/>
  <c r="R26" i="19"/>
  <c r="V26" i="19"/>
  <c r="Z26" i="19"/>
  <c r="AD26" i="19"/>
  <c r="D27" i="19"/>
  <c r="H27" i="19"/>
  <c r="L27" i="19"/>
  <c r="P27" i="19"/>
  <c r="T27" i="19"/>
  <c r="X27" i="19"/>
  <c r="AB27" i="19"/>
  <c r="AF27" i="19"/>
  <c r="F28" i="19"/>
  <c r="J28" i="19"/>
  <c r="AE3" i="19"/>
  <c r="W11" i="19"/>
  <c r="I14" i="19"/>
  <c r="M16" i="19"/>
  <c r="L18" i="19"/>
  <c r="C19" i="19"/>
  <c r="Y19" i="19"/>
  <c r="P20" i="19"/>
  <c r="E21" i="19"/>
  <c r="U21" i="19"/>
  <c r="G22" i="19"/>
  <c r="W22" i="19"/>
  <c r="I23" i="19"/>
  <c r="Y23" i="19"/>
  <c r="K24" i="19"/>
  <c r="AA24" i="19"/>
  <c r="M25" i="19"/>
  <c r="AC25" i="19"/>
  <c r="O26" i="19"/>
  <c r="AE26" i="19"/>
  <c r="Q27" i="19"/>
  <c r="C28" i="19"/>
  <c r="H28" i="19"/>
  <c r="M28" i="19"/>
  <c r="Q28" i="19"/>
  <c r="U28" i="19"/>
  <c r="Y28" i="19"/>
  <c r="AC28" i="19"/>
  <c r="C29" i="19"/>
  <c r="G29" i="19"/>
  <c r="K29" i="19"/>
  <c r="O29" i="19"/>
  <c r="S29" i="19"/>
  <c r="W29" i="19"/>
  <c r="AA29" i="19"/>
  <c r="AE29" i="19"/>
  <c r="E30" i="19"/>
  <c r="I30" i="19"/>
  <c r="M30" i="19"/>
  <c r="Q30" i="19"/>
  <c r="U30" i="19"/>
  <c r="Y30" i="19"/>
  <c r="AC30" i="19"/>
  <c r="C31" i="19"/>
  <c r="G31" i="19"/>
  <c r="K31" i="19"/>
  <c r="O31" i="19"/>
  <c r="S31" i="19"/>
  <c r="W31" i="19"/>
  <c r="AA31" i="19"/>
  <c r="AE31" i="19"/>
  <c r="E32" i="19"/>
  <c r="I32" i="19"/>
  <c r="M32" i="19"/>
  <c r="Q32" i="19"/>
  <c r="U32" i="19"/>
  <c r="Y32" i="19"/>
  <c r="AC32" i="19"/>
  <c r="B3" i="19"/>
  <c r="B7" i="19"/>
  <c r="B11" i="19"/>
  <c r="B15" i="19"/>
  <c r="B19" i="19"/>
  <c r="B23" i="19"/>
  <c r="B27" i="19"/>
  <c r="B31" i="19"/>
  <c r="H30" i="19"/>
  <c r="T30" i="19"/>
  <c r="F31" i="19"/>
  <c r="E6" i="19"/>
  <c r="N12" i="19"/>
  <c r="Y14" i="19"/>
  <c r="AC16" i="19"/>
  <c r="Q18" i="19"/>
  <c r="I19" i="19"/>
  <c r="AD19" i="19"/>
  <c r="U20" i="19"/>
  <c r="I21" i="19"/>
  <c r="Y21" i="19"/>
  <c r="K22" i="19"/>
  <c r="AA22" i="19"/>
  <c r="M23" i="19"/>
  <c r="AC23" i="19"/>
  <c r="O24" i="19"/>
  <c r="AE24" i="19"/>
  <c r="Q25" i="19"/>
  <c r="C26" i="19"/>
  <c r="S26" i="19"/>
  <c r="E27" i="19"/>
  <c r="U27" i="19"/>
  <c r="D28" i="19"/>
  <c r="I28" i="19"/>
  <c r="N28" i="19"/>
  <c r="R28" i="19"/>
  <c r="V28" i="19"/>
  <c r="Z28" i="19"/>
  <c r="AD28" i="19"/>
  <c r="D29" i="19"/>
  <c r="H29" i="19"/>
  <c r="L29" i="19"/>
  <c r="P29" i="19"/>
  <c r="T29" i="19"/>
  <c r="X29" i="19"/>
  <c r="AB29" i="19"/>
  <c r="AF29" i="19"/>
  <c r="F30" i="19"/>
  <c r="J30" i="19"/>
  <c r="N30" i="19"/>
  <c r="R30" i="19"/>
  <c r="V30" i="19"/>
  <c r="Z30" i="19"/>
  <c r="AD30" i="19"/>
  <c r="D31" i="19"/>
  <c r="H31" i="19"/>
  <c r="L31" i="19"/>
  <c r="P31" i="19"/>
  <c r="T31" i="19"/>
  <c r="X31" i="19"/>
  <c r="AB31" i="19"/>
  <c r="AF31" i="19"/>
  <c r="F32" i="19"/>
  <c r="J32" i="19"/>
  <c r="N32" i="19"/>
  <c r="R32" i="19"/>
  <c r="V32" i="19"/>
  <c r="Z32" i="19"/>
  <c r="AD32" i="19"/>
  <c r="B4" i="19"/>
  <c r="B8" i="19"/>
  <c r="B12" i="19"/>
  <c r="B16" i="19"/>
  <c r="B20" i="19"/>
  <c r="B24" i="19"/>
  <c r="B28" i="19"/>
  <c r="B32" i="19"/>
  <c r="AA15" i="19"/>
  <c r="AB18" i="19"/>
  <c r="K20" i="19"/>
  <c r="Q21" i="19"/>
  <c r="E23" i="19"/>
  <c r="G24" i="19"/>
  <c r="I25" i="19"/>
  <c r="K26" i="19"/>
  <c r="M27" i="19"/>
  <c r="G28" i="19"/>
  <c r="P28" i="19"/>
  <c r="X28" i="19"/>
  <c r="AF28" i="19"/>
  <c r="J29" i="19"/>
  <c r="R29" i="19"/>
  <c r="Z29" i="19"/>
  <c r="D30" i="19"/>
  <c r="P30" i="19"/>
  <c r="AB30" i="19"/>
  <c r="I8" i="19"/>
  <c r="E13" i="19"/>
  <c r="K15" i="19"/>
  <c r="O17" i="19"/>
  <c r="W18" i="19"/>
  <c r="N19" i="19"/>
  <c r="E20" i="19"/>
  <c r="AA20" i="19"/>
  <c r="M21" i="19"/>
  <c r="AC21" i="19"/>
  <c r="O22" i="19"/>
  <c r="AE22" i="19"/>
  <c r="Q23" i="19"/>
  <c r="C24" i="19"/>
  <c r="S24" i="19"/>
  <c r="E25" i="19"/>
  <c r="U25" i="19"/>
  <c r="G26" i="19"/>
  <c r="W26" i="19"/>
  <c r="I27" i="19"/>
  <c r="Y27" i="19"/>
  <c r="E28" i="19"/>
  <c r="K28" i="19"/>
  <c r="O28" i="19"/>
  <c r="S28" i="19"/>
  <c r="W28" i="19"/>
  <c r="AA28" i="19"/>
  <c r="AE28" i="19"/>
  <c r="E29" i="19"/>
  <c r="I29" i="19"/>
  <c r="M29" i="19"/>
  <c r="Q29" i="19"/>
  <c r="U29" i="19"/>
  <c r="Y29" i="19"/>
  <c r="AC29" i="19"/>
  <c r="C30" i="19"/>
  <c r="G30" i="19"/>
  <c r="K30" i="19"/>
  <c r="O30" i="19"/>
  <c r="S30" i="19"/>
  <c r="W30" i="19"/>
  <c r="AA30" i="19"/>
  <c r="AE30" i="19"/>
  <c r="E31" i="19"/>
  <c r="I31" i="19"/>
  <c r="M31" i="19"/>
  <c r="Q31" i="19"/>
  <c r="U31" i="19"/>
  <c r="Y31" i="19"/>
  <c r="AC31" i="19"/>
  <c r="C32" i="19"/>
  <c r="G32" i="19"/>
  <c r="K32" i="19"/>
  <c r="O32" i="19"/>
  <c r="S32" i="19"/>
  <c r="W32" i="19"/>
  <c r="AA32" i="19"/>
  <c r="AE32" i="19"/>
  <c r="B5" i="19"/>
  <c r="B9" i="19"/>
  <c r="B13" i="19"/>
  <c r="B17" i="19"/>
  <c r="B21" i="19"/>
  <c r="B25" i="19"/>
  <c r="B29" i="19"/>
  <c r="M10" i="19"/>
  <c r="W13" i="19"/>
  <c r="AE17" i="19"/>
  <c r="S19" i="19"/>
  <c r="AE20" i="19"/>
  <c r="C22" i="19"/>
  <c r="S22" i="19"/>
  <c r="U23" i="19"/>
  <c r="W24" i="19"/>
  <c r="Y25" i="19"/>
  <c r="AA26" i="19"/>
  <c r="AC27" i="19"/>
  <c r="L28" i="19"/>
  <c r="T28" i="19"/>
  <c r="AB28" i="19"/>
  <c r="F29" i="19"/>
  <c r="N29" i="19"/>
  <c r="V29" i="19"/>
  <c r="AD29" i="19"/>
  <c r="L30" i="19"/>
  <c r="X30" i="19"/>
  <c r="AF30" i="19"/>
  <c r="R31" i="19"/>
  <c r="D32" i="19"/>
  <c r="T32" i="19"/>
  <c r="B6" i="19"/>
  <c r="B22" i="19"/>
  <c r="V31" i="19"/>
  <c r="H32" i="19"/>
  <c r="X32" i="19"/>
  <c r="B10" i="19"/>
  <c r="B26" i="19"/>
  <c r="J31" i="19"/>
  <c r="Z31" i="19"/>
  <c r="L32" i="19"/>
  <c r="AB32" i="19"/>
  <c r="B14" i="19"/>
  <c r="B30" i="19"/>
  <c r="N31" i="19"/>
  <c r="AD31" i="19"/>
  <c r="P32" i="19"/>
  <c r="AF32" i="19"/>
  <c r="B18" i="19"/>
  <c r="C2" i="20"/>
  <c r="G2" i="20"/>
  <c r="K2" i="20"/>
  <c r="O2" i="20"/>
  <c r="S2" i="20"/>
  <c r="W2" i="20"/>
  <c r="AA2" i="20"/>
  <c r="AE2" i="20"/>
  <c r="E3" i="20"/>
  <c r="I3" i="20"/>
  <c r="M3" i="20"/>
  <c r="Q3" i="20"/>
  <c r="U3" i="20"/>
  <c r="Y3" i="20"/>
  <c r="AC3" i="20"/>
  <c r="C4" i="20"/>
  <c r="G4" i="20"/>
  <c r="K4" i="20"/>
  <c r="O4" i="20"/>
  <c r="S4" i="20"/>
  <c r="W4" i="20"/>
  <c r="AA4" i="20"/>
  <c r="AE4" i="20"/>
  <c r="E5" i="20"/>
  <c r="I5" i="20"/>
  <c r="M5" i="20"/>
  <c r="Q5" i="20"/>
  <c r="U5" i="20"/>
  <c r="Y5" i="20"/>
  <c r="AC5" i="20"/>
  <c r="C6" i="20"/>
  <c r="G6" i="20"/>
  <c r="K6" i="20"/>
  <c r="O6" i="20"/>
  <c r="S6" i="20"/>
  <c r="W6" i="20"/>
  <c r="AA6" i="20"/>
  <c r="AE6" i="20"/>
  <c r="E7" i="20"/>
  <c r="I7" i="20"/>
  <c r="M7" i="20"/>
  <c r="Q7" i="20"/>
  <c r="U7" i="20"/>
  <c r="Y7" i="20"/>
  <c r="AC7" i="20"/>
  <c r="C8" i="20"/>
  <c r="G8" i="20"/>
  <c r="K8" i="20"/>
  <c r="O8" i="20"/>
  <c r="S8" i="20"/>
  <c r="W8" i="20"/>
  <c r="AA8" i="20"/>
  <c r="AE8" i="20"/>
  <c r="E9" i="20"/>
  <c r="I9" i="20"/>
  <c r="M9" i="20"/>
  <c r="Q9" i="20"/>
  <c r="U9" i="20"/>
  <c r="Y9" i="20"/>
  <c r="AC9" i="20"/>
  <c r="C10" i="20"/>
  <c r="G10" i="20"/>
  <c r="K10" i="20"/>
  <c r="O10" i="20"/>
  <c r="S10" i="20"/>
  <c r="W10" i="20"/>
  <c r="AA10" i="20"/>
  <c r="AE10" i="20"/>
  <c r="E11" i="20"/>
  <c r="D2" i="20"/>
  <c r="H2" i="20"/>
  <c r="L2" i="20"/>
  <c r="P2" i="20"/>
  <c r="T2" i="20"/>
  <c r="X2" i="20"/>
  <c r="AB2" i="20"/>
  <c r="AF2" i="20"/>
  <c r="F3" i="20"/>
  <c r="J3" i="20"/>
  <c r="N3" i="20"/>
  <c r="R3" i="20"/>
  <c r="V3" i="20"/>
  <c r="Z3" i="20"/>
  <c r="AD3" i="20"/>
  <c r="D4" i="20"/>
  <c r="H4" i="20"/>
  <c r="L4" i="20"/>
  <c r="P4" i="20"/>
  <c r="T4" i="20"/>
  <c r="X4" i="20"/>
  <c r="AB4" i="20"/>
  <c r="AF4" i="20"/>
  <c r="F5" i="20"/>
  <c r="J5" i="20"/>
  <c r="N5" i="20"/>
  <c r="R5" i="20"/>
  <c r="V5" i="20"/>
  <c r="Z5" i="20"/>
  <c r="AD5" i="20"/>
  <c r="D6" i="20"/>
  <c r="H6" i="20"/>
  <c r="L6" i="20"/>
  <c r="P6" i="20"/>
  <c r="T6" i="20"/>
  <c r="X6" i="20"/>
  <c r="AB6" i="20"/>
  <c r="AF6" i="20"/>
  <c r="F7" i="20"/>
  <c r="J7" i="20"/>
  <c r="N7" i="20"/>
  <c r="R7" i="20"/>
  <c r="V7" i="20"/>
  <c r="Z7" i="20"/>
  <c r="AD7" i="20"/>
  <c r="D8" i="20"/>
  <c r="H8" i="20"/>
  <c r="L8" i="20"/>
  <c r="P8" i="20"/>
  <c r="T8" i="20"/>
  <c r="X8" i="20"/>
  <c r="AB8" i="20"/>
  <c r="AF8" i="20"/>
  <c r="F9" i="20"/>
  <c r="J9" i="20"/>
  <c r="N9" i="20"/>
  <c r="R9" i="20"/>
  <c r="V9" i="20"/>
  <c r="Z9" i="20"/>
  <c r="AD9" i="20"/>
  <c r="D10" i="20"/>
  <c r="H10" i="20"/>
  <c r="L10" i="20"/>
  <c r="P10" i="20"/>
  <c r="T10" i="20"/>
  <c r="X10" i="20"/>
  <c r="AB10" i="20"/>
  <c r="AF10" i="20"/>
  <c r="F11" i="20"/>
  <c r="J11" i="20"/>
  <c r="N11" i="20"/>
  <c r="R11" i="20"/>
  <c r="V11" i="20"/>
  <c r="Z11" i="20"/>
  <c r="AD11" i="20"/>
  <c r="D12" i="20"/>
  <c r="H12" i="20"/>
  <c r="L12" i="20"/>
  <c r="P12" i="20"/>
  <c r="T12" i="20"/>
  <c r="X12" i="20"/>
  <c r="AB12" i="20"/>
  <c r="AF12" i="20"/>
  <c r="F13" i="20"/>
  <c r="J13" i="20"/>
  <c r="E2" i="20"/>
  <c r="M2" i="20"/>
  <c r="U2" i="20"/>
  <c r="AC2" i="20"/>
  <c r="G3" i="20"/>
  <c r="O3" i="20"/>
  <c r="W3" i="20"/>
  <c r="AE3" i="20"/>
  <c r="I4" i="20"/>
  <c r="Q4" i="20"/>
  <c r="Y4" i="20"/>
  <c r="C5" i="20"/>
  <c r="K5" i="20"/>
  <c r="S5" i="20"/>
  <c r="AA5" i="20"/>
  <c r="E6" i="20"/>
  <c r="M6" i="20"/>
  <c r="U6" i="20"/>
  <c r="AC6" i="20"/>
  <c r="G7" i="20"/>
  <c r="O7" i="20"/>
  <c r="W7" i="20"/>
  <c r="AE7" i="20"/>
  <c r="I8" i="20"/>
  <c r="Q8" i="20"/>
  <c r="Y8" i="20"/>
  <c r="C9" i="20"/>
  <c r="K9" i="20"/>
  <c r="S9" i="20"/>
  <c r="AA9" i="20"/>
  <c r="E10" i="20"/>
  <c r="M10" i="20"/>
  <c r="U10" i="20"/>
  <c r="AC10" i="20"/>
  <c r="G11" i="20"/>
  <c r="L11" i="20"/>
  <c r="Q11" i="20"/>
  <c r="W11" i="20"/>
  <c r="AB11" i="20"/>
  <c r="C12" i="20"/>
  <c r="I12" i="20"/>
  <c r="N12" i="20"/>
  <c r="S12" i="20"/>
  <c r="Y12" i="20"/>
  <c r="AD12" i="20"/>
  <c r="E13" i="20"/>
  <c r="K13" i="20"/>
  <c r="O13" i="20"/>
  <c r="S13" i="20"/>
  <c r="W13" i="20"/>
  <c r="AA13" i="20"/>
  <c r="AE13" i="20"/>
  <c r="E14" i="20"/>
  <c r="I14" i="20"/>
  <c r="M14" i="20"/>
  <c r="Q14" i="20"/>
  <c r="U14" i="20"/>
  <c r="Y14" i="20"/>
  <c r="AC14" i="20"/>
  <c r="C15" i="20"/>
  <c r="G15" i="20"/>
  <c r="K15" i="20"/>
  <c r="O15" i="20"/>
  <c r="S15" i="20"/>
  <c r="W15" i="20"/>
  <c r="AA15" i="20"/>
  <c r="AE15" i="20"/>
  <c r="E16" i="20"/>
  <c r="I16" i="20"/>
  <c r="M16" i="20"/>
  <c r="Q16" i="20"/>
  <c r="U16" i="20"/>
  <c r="Y16" i="20"/>
  <c r="AC16" i="20"/>
  <c r="C17" i="20"/>
  <c r="G17" i="20"/>
  <c r="K17" i="20"/>
  <c r="O17" i="20"/>
  <c r="S17" i="20"/>
  <c r="W17" i="20"/>
  <c r="AA17" i="20"/>
  <c r="AE17" i="20"/>
  <c r="E18" i="20"/>
  <c r="I18" i="20"/>
  <c r="M18" i="20"/>
  <c r="F2" i="20"/>
  <c r="N2" i="20"/>
  <c r="V2" i="20"/>
  <c r="AD2" i="20"/>
  <c r="H3" i="20"/>
  <c r="P3" i="20"/>
  <c r="X3" i="20"/>
  <c r="AF3" i="20"/>
  <c r="J4" i="20"/>
  <c r="R4" i="20"/>
  <c r="Z4" i="20"/>
  <c r="D5" i="20"/>
  <c r="L5" i="20"/>
  <c r="T5" i="20"/>
  <c r="AB5" i="20"/>
  <c r="F6" i="20"/>
  <c r="N6" i="20"/>
  <c r="V6" i="20"/>
  <c r="AD6" i="20"/>
  <c r="H7" i="20"/>
  <c r="P7" i="20"/>
  <c r="X7" i="20"/>
  <c r="AF7" i="20"/>
  <c r="J8" i="20"/>
  <c r="R8" i="20"/>
  <c r="Z8" i="20"/>
  <c r="D9" i="20"/>
  <c r="L9" i="20"/>
  <c r="T9" i="20"/>
  <c r="AB9" i="20"/>
  <c r="F10" i="20"/>
  <c r="N10" i="20"/>
  <c r="V10" i="20"/>
  <c r="AD10" i="20"/>
  <c r="H11" i="20"/>
  <c r="M11" i="20"/>
  <c r="S11" i="20"/>
  <c r="X11" i="20"/>
  <c r="AC11" i="20"/>
  <c r="E12" i="20"/>
  <c r="J12" i="20"/>
  <c r="O12" i="20"/>
  <c r="U12" i="20"/>
  <c r="Z12" i="20"/>
  <c r="AE12" i="20"/>
  <c r="G13" i="20"/>
  <c r="L13" i="20"/>
  <c r="P13" i="20"/>
  <c r="T13" i="20"/>
  <c r="X13" i="20"/>
  <c r="AB13" i="20"/>
  <c r="AF13" i="20"/>
  <c r="F14" i="20"/>
  <c r="J14" i="20"/>
  <c r="N14" i="20"/>
  <c r="R14" i="20"/>
  <c r="V14" i="20"/>
  <c r="Z14" i="20"/>
  <c r="AD14" i="20"/>
  <c r="D15" i="20"/>
  <c r="H15" i="20"/>
  <c r="L15" i="20"/>
  <c r="P15" i="20"/>
  <c r="T15" i="20"/>
  <c r="X15" i="20"/>
  <c r="AB15" i="20"/>
  <c r="AF15" i="20"/>
  <c r="F16" i="20"/>
  <c r="J16" i="20"/>
  <c r="N16" i="20"/>
  <c r="R16" i="20"/>
  <c r="V16" i="20"/>
  <c r="Z16" i="20"/>
  <c r="AD16" i="20"/>
  <c r="D17" i="20"/>
  <c r="H17" i="20"/>
  <c r="L17" i="20"/>
  <c r="P17" i="20"/>
  <c r="T17" i="20"/>
  <c r="X17" i="20"/>
  <c r="AB17" i="20"/>
  <c r="AF17" i="20"/>
  <c r="F18" i="20"/>
  <c r="J18" i="20"/>
  <c r="N18" i="20"/>
  <c r="R18" i="20"/>
  <c r="I2" i="20"/>
  <c r="Y2" i="20"/>
  <c r="K3" i="20"/>
  <c r="AA3" i="20"/>
  <c r="M4" i="20"/>
  <c r="AC4" i="20"/>
  <c r="O5" i="20"/>
  <c r="AE5" i="20"/>
  <c r="Q6" i="20"/>
  <c r="C7" i="20"/>
  <c r="S7" i="20"/>
  <c r="E8" i="20"/>
  <c r="U8" i="20"/>
  <c r="G9" i="20"/>
  <c r="W9" i="20"/>
  <c r="I10" i="20"/>
  <c r="Y10" i="20"/>
  <c r="I11" i="20"/>
  <c r="T11" i="20"/>
  <c r="AE11" i="20"/>
  <c r="K12" i="20"/>
  <c r="V12" i="20"/>
  <c r="C13" i="20"/>
  <c r="M13" i="20"/>
  <c r="U13" i="20"/>
  <c r="AC13" i="20"/>
  <c r="G14" i="20"/>
  <c r="O14" i="20"/>
  <c r="W14" i="20"/>
  <c r="AE14" i="20"/>
  <c r="I15" i="20"/>
  <c r="Q15" i="20"/>
  <c r="Y15" i="20"/>
  <c r="C16" i="20"/>
  <c r="K16" i="20"/>
  <c r="S16" i="20"/>
  <c r="AA16" i="20"/>
  <c r="E17" i="20"/>
  <c r="M17" i="20"/>
  <c r="U17" i="20"/>
  <c r="AC17" i="20"/>
  <c r="G18" i="20"/>
  <c r="O18" i="20"/>
  <c r="T18" i="20"/>
  <c r="X18" i="20"/>
  <c r="AB18" i="20"/>
  <c r="AF18" i="20"/>
  <c r="F19" i="20"/>
  <c r="J19" i="20"/>
  <c r="N19" i="20"/>
  <c r="R19" i="20"/>
  <c r="V19" i="20"/>
  <c r="Z19" i="20"/>
  <c r="AD19" i="20"/>
  <c r="D20" i="20"/>
  <c r="H20" i="20"/>
  <c r="L20" i="20"/>
  <c r="P20" i="20"/>
  <c r="T20" i="20"/>
  <c r="X20" i="20"/>
  <c r="AB20" i="20"/>
  <c r="AF20" i="20"/>
  <c r="F21" i="20"/>
  <c r="J21" i="20"/>
  <c r="N21" i="20"/>
  <c r="R21" i="20"/>
  <c r="V21" i="20"/>
  <c r="Z21" i="20"/>
  <c r="AD21" i="20"/>
  <c r="D22" i="20"/>
  <c r="H22" i="20"/>
  <c r="L22" i="20"/>
  <c r="P22" i="20"/>
  <c r="T22" i="20"/>
  <c r="X22" i="20"/>
  <c r="AB22" i="20"/>
  <c r="AF22" i="20"/>
  <c r="F23" i="20"/>
  <c r="J23" i="20"/>
  <c r="N23" i="20"/>
  <c r="R23" i="20"/>
  <c r="V23" i="20"/>
  <c r="Z23" i="20"/>
  <c r="AD23" i="20"/>
  <c r="D24" i="20"/>
  <c r="H24" i="20"/>
  <c r="L24" i="20"/>
  <c r="P24" i="20"/>
  <c r="T24" i="20"/>
  <c r="X24" i="20"/>
  <c r="AB24" i="20"/>
  <c r="AF24" i="20"/>
  <c r="F25" i="20"/>
  <c r="J25" i="20"/>
  <c r="N25" i="20"/>
  <c r="R25" i="20"/>
  <c r="V25" i="20"/>
  <c r="Z25" i="20"/>
  <c r="AD25" i="20"/>
  <c r="D26" i="20"/>
  <c r="H26" i="20"/>
  <c r="L26" i="20"/>
  <c r="P26" i="20"/>
  <c r="T26" i="20"/>
  <c r="X26" i="20"/>
  <c r="AB26" i="20"/>
  <c r="AF26" i="20"/>
  <c r="F27" i="20"/>
  <c r="J27" i="20"/>
  <c r="N27" i="20"/>
  <c r="R27" i="20"/>
  <c r="V27" i="20"/>
  <c r="Z27" i="20"/>
  <c r="AD27" i="20"/>
  <c r="D28" i="20"/>
  <c r="H28" i="20"/>
  <c r="L28" i="20"/>
  <c r="P28" i="20"/>
  <c r="T28" i="20"/>
  <c r="X28" i="20"/>
  <c r="AB28" i="20"/>
  <c r="AF28" i="20"/>
  <c r="F29" i="20"/>
  <c r="J29" i="20"/>
  <c r="N29" i="20"/>
  <c r="R29" i="20"/>
  <c r="V29" i="20"/>
  <c r="Z29" i="20"/>
  <c r="AD29" i="20"/>
  <c r="D30" i="20"/>
  <c r="H30" i="20"/>
  <c r="L30" i="20"/>
  <c r="P30" i="20"/>
  <c r="T30" i="20"/>
  <c r="X30" i="20"/>
  <c r="AB30" i="20"/>
  <c r="AF30" i="20"/>
  <c r="F31" i="20"/>
  <c r="J31" i="20"/>
  <c r="N31" i="20"/>
  <c r="R31" i="20"/>
  <c r="V31" i="20"/>
  <c r="Z31" i="20"/>
  <c r="AD31" i="20"/>
  <c r="D32" i="20"/>
  <c r="H32" i="20"/>
  <c r="L32" i="20"/>
  <c r="P32" i="20"/>
  <c r="T32" i="20"/>
  <c r="X32" i="20"/>
  <c r="AB32" i="20"/>
  <c r="AF32" i="20"/>
  <c r="B6" i="20"/>
  <c r="B10" i="20"/>
  <c r="B14" i="20"/>
  <c r="B18" i="20"/>
  <c r="B22" i="20"/>
  <c r="B26" i="20"/>
  <c r="B30" i="20"/>
  <c r="C3" i="20"/>
  <c r="W5" i="20"/>
  <c r="K7" i="20"/>
  <c r="AA7" i="20"/>
  <c r="AC8" i="20"/>
  <c r="AE9" i="20"/>
  <c r="C11" i="20"/>
  <c r="Y11" i="20"/>
  <c r="J2" i="20"/>
  <c r="Z2" i="20"/>
  <c r="L3" i="20"/>
  <c r="AB3" i="20"/>
  <c r="N4" i="20"/>
  <c r="AD4" i="20"/>
  <c r="P5" i="20"/>
  <c r="AF5" i="20"/>
  <c r="R6" i="20"/>
  <c r="D7" i="20"/>
  <c r="T7" i="20"/>
  <c r="F8" i="20"/>
  <c r="V8" i="20"/>
  <c r="H9" i="20"/>
  <c r="X9" i="20"/>
  <c r="J10" i="20"/>
  <c r="Z10" i="20"/>
  <c r="K11" i="20"/>
  <c r="U11" i="20"/>
  <c r="AF11" i="20"/>
  <c r="M12" i="20"/>
  <c r="W12" i="20"/>
  <c r="D13" i="20"/>
  <c r="N13" i="20"/>
  <c r="V13" i="20"/>
  <c r="AD13" i="20"/>
  <c r="H14" i="20"/>
  <c r="P14" i="20"/>
  <c r="X14" i="20"/>
  <c r="AF14" i="20"/>
  <c r="J15" i="20"/>
  <c r="R15" i="20"/>
  <c r="Z15" i="20"/>
  <c r="D16" i="20"/>
  <c r="L16" i="20"/>
  <c r="T16" i="20"/>
  <c r="AB16" i="20"/>
  <c r="F17" i="20"/>
  <c r="N17" i="20"/>
  <c r="V17" i="20"/>
  <c r="AD17" i="20"/>
  <c r="H18" i="20"/>
  <c r="P18" i="20"/>
  <c r="U18" i="20"/>
  <c r="Y18" i="20"/>
  <c r="AC18" i="20"/>
  <c r="C19" i="20"/>
  <c r="G19" i="20"/>
  <c r="K19" i="20"/>
  <c r="O19" i="20"/>
  <c r="S19" i="20"/>
  <c r="W19" i="20"/>
  <c r="AA19" i="20"/>
  <c r="AE19" i="20"/>
  <c r="E20" i="20"/>
  <c r="I20" i="20"/>
  <c r="M20" i="20"/>
  <c r="Q20" i="20"/>
  <c r="U20" i="20"/>
  <c r="Y20" i="20"/>
  <c r="AC20" i="20"/>
  <c r="C21" i="20"/>
  <c r="G21" i="20"/>
  <c r="K21" i="20"/>
  <c r="O21" i="20"/>
  <c r="S21" i="20"/>
  <c r="W21" i="20"/>
  <c r="AA21" i="20"/>
  <c r="AE21" i="20"/>
  <c r="E22" i="20"/>
  <c r="I22" i="20"/>
  <c r="M22" i="20"/>
  <c r="Q22" i="20"/>
  <c r="U22" i="20"/>
  <c r="Y22" i="20"/>
  <c r="AC22" i="20"/>
  <c r="C23" i="20"/>
  <c r="G23" i="20"/>
  <c r="K23" i="20"/>
  <c r="O23" i="20"/>
  <c r="S23" i="20"/>
  <c r="W23" i="20"/>
  <c r="AA23" i="20"/>
  <c r="AE23" i="20"/>
  <c r="E24" i="20"/>
  <c r="I24" i="20"/>
  <c r="M24" i="20"/>
  <c r="Q24" i="20"/>
  <c r="U24" i="20"/>
  <c r="Y24" i="20"/>
  <c r="AC24" i="20"/>
  <c r="C25" i="20"/>
  <c r="G25" i="20"/>
  <c r="K25" i="20"/>
  <c r="O25" i="20"/>
  <c r="S25" i="20"/>
  <c r="W25" i="20"/>
  <c r="AA25" i="20"/>
  <c r="AE25" i="20"/>
  <c r="E26" i="20"/>
  <c r="I26" i="20"/>
  <c r="M26" i="20"/>
  <c r="Q26" i="20"/>
  <c r="U26" i="20"/>
  <c r="Y26" i="20"/>
  <c r="AC26" i="20"/>
  <c r="C27" i="20"/>
  <c r="G27" i="20"/>
  <c r="K27" i="20"/>
  <c r="O27" i="20"/>
  <c r="S27" i="20"/>
  <c r="W27" i="20"/>
  <c r="AA27" i="20"/>
  <c r="AE27" i="20"/>
  <c r="E28" i="20"/>
  <c r="I28" i="20"/>
  <c r="M28" i="20"/>
  <c r="Q28" i="20"/>
  <c r="U28" i="20"/>
  <c r="Y28" i="20"/>
  <c r="AC28" i="20"/>
  <c r="C29" i="20"/>
  <c r="G29" i="20"/>
  <c r="K29" i="20"/>
  <c r="O29" i="20"/>
  <c r="S29" i="20"/>
  <c r="W29" i="20"/>
  <c r="AA29" i="20"/>
  <c r="AE29" i="20"/>
  <c r="E30" i="20"/>
  <c r="I30" i="20"/>
  <c r="M30" i="20"/>
  <c r="Q30" i="20"/>
  <c r="U30" i="20"/>
  <c r="Y30" i="20"/>
  <c r="AC30" i="20"/>
  <c r="C31" i="20"/>
  <c r="G31" i="20"/>
  <c r="K31" i="20"/>
  <c r="O31" i="20"/>
  <c r="S31" i="20"/>
  <c r="W31" i="20"/>
  <c r="AA31" i="20"/>
  <c r="AE31" i="20"/>
  <c r="E32" i="20"/>
  <c r="I32" i="20"/>
  <c r="M32" i="20"/>
  <c r="Q32" i="20"/>
  <c r="U32" i="20"/>
  <c r="Y32" i="20"/>
  <c r="AC32" i="20"/>
  <c r="B3" i="20"/>
  <c r="B7" i="20"/>
  <c r="B11" i="20"/>
  <c r="B15" i="20"/>
  <c r="B19" i="20"/>
  <c r="B23" i="20"/>
  <c r="B27" i="20"/>
  <c r="B31" i="20"/>
  <c r="Q2" i="20"/>
  <c r="S3" i="20"/>
  <c r="E4" i="20"/>
  <c r="U4" i="20"/>
  <c r="G5" i="20"/>
  <c r="I6" i="20"/>
  <c r="Y6" i="20"/>
  <c r="M8" i="20"/>
  <c r="O9" i="20"/>
  <c r="Q10" i="20"/>
  <c r="O11" i="20"/>
  <c r="R2" i="20"/>
  <c r="V4" i="20"/>
  <c r="Z6" i="20"/>
  <c r="AD8" i="20"/>
  <c r="D11" i="20"/>
  <c r="G12" i="20"/>
  <c r="AC12" i="20"/>
  <c r="R13" i="20"/>
  <c r="D14" i="20"/>
  <c r="T14" i="20"/>
  <c r="F15" i="20"/>
  <c r="V15" i="20"/>
  <c r="H16" i="20"/>
  <c r="X16" i="20"/>
  <c r="J17" i="20"/>
  <c r="Z17" i="20"/>
  <c r="L18" i="20"/>
  <c r="W18" i="20"/>
  <c r="AE18" i="20"/>
  <c r="I19" i="20"/>
  <c r="Q19" i="20"/>
  <c r="Y19" i="20"/>
  <c r="C20" i="20"/>
  <c r="K20" i="20"/>
  <c r="S20" i="20"/>
  <c r="AA20" i="20"/>
  <c r="E21" i="20"/>
  <c r="M21" i="20"/>
  <c r="U21" i="20"/>
  <c r="AC21" i="20"/>
  <c r="G22" i="20"/>
  <c r="O22" i="20"/>
  <c r="W22" i="20"/>
  <c r="AE22" i="20"/>
  <c r="I23" i="20"/>
  <c r="Q23" i="20"/>
  <c r="Y23" i="20"/>
  <c r="C24" i="20"/>
  <c r="K24" i="20"/>
  <c r="S24" i="20"/>
  <c r="AA24" i="20"/>
  <c r="E25" i="20"/>
  <c r="M25" i="20"/>
  <c r="U25" i="20"/>
  <c r="AC25" i="20"/>
  <c r="G26" i="20"/>
  <c r="O26" i="20"/>
  <c r="W26" i="20"/>
  <c r="AE26" i="20"/>
  <c r="I27" i="20"/>
  <c r="Q27" i="20"/>
  <c r="Y27" i="20"/>
  <c r="C28" i="20"/>
  <c r="K28" i="20"/>
  <c r="S28" i="20"/>
  <c r="AA28" i="20"/>
  <c r="E29" i="20"/>
  <c r="M29" i="20"/>
  <c r="U29" i="20"/>
  <c r="AC29" i="20"/>
  <c r="G30" i="20"/>
  <c r="O30" i="20"/>
  <c r="W30" i="20"/>
  <c r="AE30" i="20"/>
  <c r="I31" i="20"/>
  <c r="Q31" i="20"/>
  <c r="Y31" i="20"/>
  <c r="C32" i="20"/>
  <c r="K32" i="20"/>
  <c r="S32" i="20"/>
  <c r="AA32" i="20"/>
  <c r="B13" i="20"/>
  <c r="B21" i="20"/>
  <c r="B29" i="20"/>
  <c r="D3" i="20"/>
  <c r="H5" i="20"/>
  <c r="L7" i="20"/>
  <c r="P9" i="20"/>
  <c r="P11" i="20"/>
  <c r="Q12" i="20"/>
  <c r="H13" i="20"/>
  <c r="Y13" i="20"/>
  <c r="K14" i="20"/>
  <c r="AA14" i="20"/>
  <c r="M15" i="20"/>
  <c r="AC15" i="20"/>
  <c r="O16" i="20"/>
  <c r="AE16" i="20"/>
  <c r="Q17" i="20"/>
  <c r="C18" i="20"/>
  <c r="Q18" i="20"/>
  <c r="Z18" i="20"/>
  <c r="D19" i="20"/>
  <c r="L19" i="20"/>
  <c r="T19" i="20"/>
  <c r="AB19" i="20"/>
  <c r="F20" i="20"/>
  <c r="N20" i="20"/>
  <c r="V20" i="20"/>
  <c r="AD20" i="20"/>
  <c r="H21" i="20"/>
  <c r="P21" i="20"/>
  <c r="X21" i="20"/>
  <c r="AF21" i="20"/>
  <c r="J22" i="20"/>
  <c r="R22" i="20"/>
  <c r="Z22" i="20"/>
  <c r="D23" i="20"/>
  <c r="L23" i="20"/>
  <c r="T23" i="20"/>
  <c r="AB23" i="20"/>
  <c r="F24" i="20"/>
  <c r="N24" i="20"/>
  <c r="V24" i="20"/>
  <c r="AD24" i="20"/>
  <c r="H25" i="20"/>
  <c r="P25" i="20"/>
  <c r="X25" i="20"/>
  <c r="AF25" i="20"/>
  <c r="J26" i="20"/>
  <c r="R26" i="20"/>
  <c r="Z26" i="20"/>
  <c r="D27" i="20"/>
  <c r="L27" i="20"/>
  <c r="T27" i="20"/>
  <c r="AB27" i="20"/>
  <c r="F28" i="20"/>
  <c r="N28" i="20"/>
  <c r="V28" i="20"/>
  <c r="AD28" i="20"/>
  <c r="H29" i="20"/>
  <c r="P29" i="20"/>
  <c r="X29" i="20"/>
  <c r="AF29" i="20"/>
  <c r="J30" i="20"/>
  <c r="R30" i="20"/>
  <c r="Z30" i="20"/>
  <c r="D31" i="20"/>
  <c r="L31" i="20"/>
  <c r="T31" i="20"/>
  <c r="AB31" i="20"/>
  <c r="F32" i="20"/>
  <c r="N32" i="20"/>
  <c r="V32" i="20"/>
  <c r="AD32" i="20"/>
  <c r="B8" i="20"/>
  <c r="B16" i="20"/>
  <c r="B24" i="20"/>
  <c r="B32" i="20"/>
  <c r="T3" i="20"/>
  <c r="X5" i="20"/>
  <c r="AB7" i="20"/>
  <c r="AF9" i="20"/>
  <c r="AA11" i="20"/>
  <c r="R12" i="20"/>
  <c r="I13" i="20"/>
  <c r="Z13" i="20"/>
  <c r="L14" i="20"/>
  <c r="AB14" i="20"/>
  <c r="N15" i="20"/>
  <c r="AD15" i="20"/>
  <c r="P16" i="20"/>
  <c r="AF16" i="20"/>
  <c r="R17" i="20"/>
  <c r="D18" i="20"/>
  <c r="S18" i="20"/>
  <c r="AA18" i="20"/>
  <c r="E19" i="20"/>
  <c r="M19" i="20"/>
  <c r="U19" i="20"/>
  <c r="AC19" i="20"/>
  <c r="G20" i="20"/>
  <c r="O20" i="20"/>
  <c r="W20" i="20"/>
  <c r="AE20" i="20"/>
  <c r="I21" i="20"/>
  <c r="Q21" i="20"/>
  <c r="Y21" i="20"/>
  <c r="C22" i="20"/>
  <c r="K22" i="20"/>
  <c r="S22" i="20"/>
  <c r="AA22" i="20"/>
  <c r="E23" i="20"/>
  <c r="M23" i="20"/>
  <c r="U23" i="20"/>
  <c r="AC23" i="20"/>
  <c r="G24" i="20"/>
  <c r="O24" i="20"/>
  <c r="W24" i="20"/>
  <c r="AE24" i="20"/>
  <c r="I25" i="20"/>
  <c r="Q25" i="20"/>
  <c r="Y25" i="20"/>
  <c r="C26" i="20"/>
  <c r="K26" i="20"/>
  <c r="S26" i="20"/>
  <c r="AA26" i="20"/>
  <c r="E27" i="20"/>
  <c r="M27" i="20"/>
  <c r="U27" i="20"/>
  <c r="AC27" i="20"/>
  <c r="G28" i="20"/>
  <c r="O28" i="20"/>
  <c r="W28" i="20"/>
  <c r="AE28" i="20"/>
  <c r="I29" i="20"/>
  <c r="Q29" i="20"/>
  <c r="Y29" i="20"/>
  <c r="C30" i="20"/>
  <c r="K30" i="20"/>
  <c r="S30" i="20"/>
  <c r="AA30" i="20"/>
  <c r="E31" i="20"/>
  <c r="M31" i="20"/>
  <c r="U31" i="20"/>
  <c r="AC31" i="20"/>
  <c r="G32" i="20"/>
  <c r="O32" i="20"/>
  <c r="W32" i="20"/>
  <c r="AE32" i="20"/>
  <c r="B9" i="20"/>
  <c r="B17" i="20"/>
  <c r="B25" i="20"/>
  <c r="B2" i="20"/>
  <c r="F4" i="20"/>
  <c r="J6" i="20"/>
  <c r="N8" i="20"/>
  <c r="R10" i="20"/>
  <c r="F12" i="20"/>
  <c r="AA12" i="20"/>
  <c r="Q13" i="20"/>
  <c r="C14" i="20"/>
  <c r="S14" i="20"/>
  <c r="E15" i="20"/>
  <c r="U15" i="20"/>
  <c r="G16" i="20"/>
  <c r="W16" i="20"/>
  <c r="I17" i="20"/>
  <c r="Y17" i="20"/>
  <c r="K18" i="20"/>
  <c r="V18" i="20"/>
  <c r="AD18" i="20"/>
  <c r="H19" i="20"/>
  <c r="P19" i="20"/>
  <c r="X19" i="20"/>
  <c r="AF19" i="20"/>
  <c r="J20" i="20"/>
  <c r="R20" i="20"/>
  <c r="Z20" i="20"/>
  <c r="D21" i="20"/>
  <c r="L21" i="20"/>
  <c r="T21" i="20"/>
  <c r="AB21" i="20"/>
  <c r="F22" i="20"/>
  <c r="N22" i="20"/>
  <c r="V22" i="20"/>
  <c r="AD22" i="20"/>
  <c r="H23" i="20"/>
  <c r="P23" i="20"/>
  <c r="X23" i="20"/>
  <c r="AF23" i="20"/>
  <c r="J24" i="20"/>
  <c r="R24" i="20"/>
  <c r="Z24" i="20"/>
  <c r="D25" i="20"/>
  <c r="L25" i="20"/>
  <c r="T25" i="20"/>
  <c r="AB25" i="20"/>
  <c r="F26" i="20"/>
  <c r="N26" i="20"/>
  <c r="V26" i="20"/>
  <c r="AD26" i="20"/>
  <c r="H27" i="20"/>
  <c r="P27" i="20"/>
  <c r="X27" i="20"/>
  <c r="AF27" i="20"/>
  <c r="J28" i="20"/>
  <c r="R28" i="20"/>
  <c r="Z28" i="20"/>
  <c r="D29" i="20"/>
  <c r="L29" i="20"/>
  <c r="T29" i="20"/>
  <c r="AB29" i="20"/>
  <c r="F30" i="20"/>
  <c r="N30" i="20"/>
  <c r="V30" i="20"/>
  <c r="AD30" i="20"/>
  <c r="H31" i="20"/>
  <c r="P31" i="20"/>
  <c r="X31" i="20"/>
  <c r="AF31" i="20"/>
  <c r="J32" i="20"/>
  <c r="R32" i="20"/>
  <c r="Z32" i="20"/>
  <c r="B4" i="20"/>
  <c r="B12" i="20"/>
  <c r="B20" i="20"/>
  <c r="B28" i="20"/>
  <c r="B5" i="20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xl2000="1" url="https://finance.yahoo.com/quote/AAPL/options?p=AAPL&amp;date=1547769600&amp;straddle=true" htmlTables="1" htmlFormat="all">
      <tables count="1">
        <x v="4"/>
      </tables>
    </webPr>
  </connection>
  <connection id="2" name="Connection1" type="4" refreshedVersion="0" background="1">
    <webPr url="https://finance.yahoo.com/quote/AAPL/options?p=AAPL&amp;date=1537488000&amp;straddle=true" htmlTables="1" htmlFormat="all"/>
  </connection>
  <connection id="3" name="Connection13" type="4" refreshedVersion="5" background="1" saveData="1">
    <webPr xl2000="1" url="https://finance.yahoo.com/quote/AAPL/options?p=AAPL&amp;date=1537488000&amp;straddle=true" htmlTables="1" htmlFormat="all">
      <tables count="1">
        <x v="4"/>
      </tables>
    </webPr>
  </connection>
  <connection id="4" name="Connection2" type="4" refreshedVersion="5" background="1" saveData="1">
    <webPr xl2000="1" url="https://finance.yahoo.com/quote/MSFT/options?p=MSFT&amp;date=1537488000&amp;straddle=true" htmlTables="1" htmlFormat="all">
      <tables count="1">
        <x v="4"/>
      </tables>
    </webPr>
  </connection>
  <connection id="5" name="Connection3" type="4" refreshedVersion="5" background="1" saveData="1">
    <webPr xl2000="1" url="https://www.marketwatch.com/investing/bond/tmubmusd10y?countrycode=bx" htmlTables="1">
      <tables count="1">
        <x v="2"/>
      </tables>
    </webPr>
  </connection>
  <connection id="6" name="historical?q=MSFT&amp;startdate=Nov+30,+2012&amp;enddate=Jan+31,+2018&amp;num=30&amp;ei=7oATWvn-HM_DsAH45LHAAQ&amp;output=csv" type="6" refreshedVersion="5" background="1" saveData="1">
    <textPr prompt="0" codePage="65001" sourceFile="http://finance.google.com/finance/historical?q=MSFT&amp;startdate=Nov+30,+2012&amp;enddate=Jan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  <connection id="7" name="historical?q=MSFT&amp;startdate=Nov+30,+2012&amp;enddate=Jul+31,+2018&amp;num=30&amp;ei=7oATWvn-HM_DsAH45LHAAQ&amp;output=csv" type="6" refreshedVersion="5" background="1" saveData="1">
    <textPr prompt="0" codePage="65001" sourceFile="http://finance.google.com/finance/historical?q=MSFT&amp;startdate=Nov+30,+2012&amp;enddate=Jul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  <connection id="8" name="historical?q=MSFT&amp;startdate=Nov+30,+2012&amp;enddate=Jul+31,+2018&amp;num=30&amp;ei=7oATWvn-HM_DsAH45LHAAQ&amp;output=csv1" type="6" refreshedVersion="5" background="1" saveData="1">
    <textPr prompt="0" codePage="65001" sourceFile="http://finance.google.com/finance/historical?q=MSFT&amp;startdate=Nov+30,+2012&amp;enddate=Jul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  <connection id="9" name="historical?q=MSFT&amp;startdate=Nov+30,+2012&amp;enddate=Jul+31,+2018&amp;num=30&amp;ei=7oATWvn-HM_DsAH45LHAAQ&amp;output=csv2" type="6" refreshedVersion="5" background="1" saveData="1">
    <textPr prompt="0" codePage="65001" sourceFile="http://finance.google.com/finance/historical?q=MSFT&amp;startdate=Nov+30,+2012&amp;enddate=Jul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  <connection id="10" name="historical?q=MSFT&amp;startdate=Nov+30,+2012&amp;enddate=Jul+31,+2018&amp;num=30&amp;ei=7oATWvn-HM_DsAH45LHAAQ&amp;output=csv3" type="6" refreshedVersion="5" background="1" saveData="1">
    <textPr prompt="0" codePage="65001" sourceFile="http://finance.google.com/finance/historical?q=MSFT&amp;startdate=Nov+30,+2012&amp;enddate=Jul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  <connection id="11" name="historical?q=MSFT&amp;startdate=Nov+30,+2012&amp;enddate=Jul+31,+2018&amp;num=30&amp;ei=7oATWvn-HM_DsAH45LHAAQ&amp;output=csv4" type="6" refreshedVersion="5" background="1" saveData="1">
    <textPr prompt="0" codePage="65001" sourceFile="http://finance.google.com/finance/historical?q=MSFT&amp;startdate=Nov+30,+2012&amp;enddate=Jul+31,+2018&amp;num=30&amp;ei=7oATWvn-HM_DsAH45LHAAQ&amp;output=csv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<sst xmlns="http://schemas.openxmlformats.org/spreadsheetml/2006/main" count="1341" uniqueCount="1024">
  <si>
    <t>TICKER</t>
  </si>
  <si>
    <t>CALLS</t>
  </si>
  <si>
    <t>PUTS</t>
  </si>
  <si>
    <t>MATURITY DATE</t>
  </si>
  <si>
    <t>Average Daily Return</t>
  </si>
  <si>
    <t>Average Annual Return</t>
  </si>
  <si>
    <t>Daily Volatility</t>
  </si>
  <si>
    <t>Annualized Volatility</t>
  </si>
  <si>
    <t>Parameters</t>
  </si>
  <si>
    <t>Strike price of the option (K)</t>
  </si>
  <si>
    <t>Volatility (sigma)</t>
  </si>
  <si>
    <t>Time to maturity (in years, T)</t>
  </si>
  <si>
    <t>Annual risk-free interest rate (r)</t>
  </si>
  <si>
    <t>Option Type</t>
  </si>
  <si>
    <t>BS CLOSED FORMULA</t>
  </si>
  <si>
    <t>STANDARD MONTE CARLO</t>
  </si>
  <si>
    <t>MONTE CARLO WITH JD</t>
  </si>
  <si>
    <t>Time Steps</t>
  </si>
  <si>
    <t>Number of iterations</t>
  </si>
  <si>
    <t>"Jump intensity" Lambda</t>
  </si>
  <si>
    <t>JD SEMI-CLOSED FORMULA</t>
  </si>
  <si>
    <t>LOOKBACK MONTE CARLO</t>
  </si>
  <si>
    <t>LOOKBACK CLOSED FORMULA</t>
  </si>
  <si>
    <t>c</t>
  </si>
  <si>
    <t>Daily Returns</t>
  </si>
  <si>
    <t>MSFT</t>
  </si>
  <si>
    <t>"Mean of jump size" Gamma (a)</t>
  </si>
  <si>
    <t>Last Price</t>
  </si>
  <si>
    <t>Change</t>
  </si>
  <si>
    <t>% Change</t>
  </si>
  <si>
    <t>Volume</t>
  </si>
  <si>
    <t>Open Interest</t>
  </si>
  <si>
    <t>Strike</t>
  </si>
  <si>
    <t>-</t>
  </si>
  <si>
    <t>Previous Close</t>
  </si>
  <si>
    <t>Date</t>
  </si>
  <si>
    <t>Open</t>
  </si>
  <si>
    <t>High</t>
  </si>
  <si>
    <t>Low</t>
  </si>
  <si>
    <t>Close</t>
  </si>
  <si>
    <t>31-Oct-17</t>
  </si>
  <si>
    <t>30-Oct-17</t>
  </si>
  <si>
    <t>27-Oct-17</t>
  </si>
  <si>
    <t>26-Oct-17</t>
  </si>
  <si>
    <t>25-Oct-17</t>
  </si>
  <si>
    <t>24-Oct-17</t>
  </si>
  <si>
    <t>23-Oct-17</t>
  </si>
  <si>
    <t>20-Oct-17</t>
  </si>
  <si>
    <t>19-Oct-17</t>
  </si>
  <si>
    <t>18-Oct-17</t>
  </si>
  <si>
    <t>17-Oct-17</t>
  </si>
  <si>
    <t>16-Oct-17</t>
  </si>
  <si>
    <t>13-Oct-17</t>
  </si>
  <si>
    <t>12-Oct-17</t>
  </si>
  <si>
    <t>11-Oct-17</t>
  </si>
  <si>
    <t>10-Oct-17</t>
  </si>
  <si>
    <t>9-Oct-17</t>
  </si>
  <si>
    <t>6-Oct-17</t>
  </si>
  <si>
    <t>5-Oct-17</t>
  </si>
  <si>
    <t>4-Oct-17</t>
  </si>
  <si>
    <t>3-Oct-17</t>
  </si>
  <si>
    <t>2-Oct-17</t>
  </si>
  <si>
    <t>29-Sep-17</t>
  </si>
  <si>
    <t>28-Sep-17</t>
  </si>
  <si>
    <t>27-Sep-17</t>
  </si>
  <si>
    <t>26-Sep-17</t>
  </si>
  <si>
    <t>25-Sep-17</t>
  </si>
  <si>
    <t>22-Sep-17</t>
  </si>
  <si>
    <t>21-Sep-17</t>
  </si>
  <si>
    <t>20-Sep-17</t>
  </si>
  <si>
    <t>19-Sep-17</t>
  </si>
  <si>
    <t>18-Sep-17</t>
  </si>
  <si>
    <t>15-Sep-17</t>
  </si>
  <si>
    <t>14-Sep-17</t>
  </si>
  <si>
    <t>13-Sep-17</t>
  </si>
  <si>
    <t>12-Sep-17</t>
  </si>
  <si>
    <t>11-Sep-17</t>
  </si>
  <si>
    <t>8-Sep-17</t>
  </si>
  <si>
    <t>7-Sep-17</t>
  </si>
  <si>
    <t>6-Sep-17</t>
  </si>
  <si>
    <t>5-Sep-17</t>
  </si>
  <si>
    <t>1-Sep-17</t>
  </si>
  <si>
    <t>31-Aug-17</t>
  </si>
  <si>
    <t>30-Aug-17</t>
  </si>
  <si>
    <t>29-Aug-17</t>
  </si>
  <si>
    <t>28-Aug-17</t>
  </si>
  <si>
    <t>25-Aug-17</t>
  </si>
  <si>
    <t>24-Aug-17</t>
  </si>
  <si>
    <t>23-Aug-17</t>
  </si>
  <si>
    <t>22-Aug-17</t>
  </si>
  <si>
    <t>21-Aug-17</t>
  </si>
  <si>
    <t>18-Aug-17</t>
  </si>
  <si>
    <t>17-Aug-17</t>
  </si>
  <si>
    <t>16-Aug-17</t>
  </si>
  <si>
    <t>15-Aug-17</t>
  </si>
  <si>
    <t>14-Aug-17</t>
  </si>
  <si>
    <t>11-Aug-17</t>
  </si>
  <si>
    <t>10-Aug-17</t>
  </si>
  <si>
    <t>9-Aug-17</t>
  </si>
  <si>
    <t>8-Aug-17</t>
  </si>
  <si>
    <t>7-Aug-17</t>
  </si>
  <si>
    <t>4-Aug-17</t>
  </si>
  <si>
    <t>3-Aug-17</t>
  </si>
  <si>
    <t>2-Aug-17</t>
  </si>
  <si>
    <t>1-Aug-17</t>
  </si>
  <si>
    <t>31-Jul-17</t>
  </si>
  <si>
    <t>28-Jul-17</t>
  </si>
  <si>
    <t>27-Jul-17</t>
  </si>
  <si>
    <t>26-Jul-17</t>
  </si>
  <si>
    <t>25-Jul-17</t>
  </si>
  <si>
    <t>24-Jul-17</t>
  </si>
  <si>
    <t>21-Jul-17</t>
  </si>
  <si>
    <t>20-Jul-17</t>
  </si>
  <si>
    <t>19-Jul-17</t>
  </si>
  <si>
    <t>18-Jul-17</t>
  </si>
  <si>
    <t>17-Jul-17</t>
  </si>
  <si>
    <t>14-Jul-17</t>
  </si>
  <si>
    <t>13-Jul-17</t>
  </si>
  <si>
    <t>12-Jul-17</t>
  </si>
  <si>
    <t>11-Jul-17</t>
  </si>
  <si>
    <t>10-Jul-17</t>
  </si>
  <si>
    <t>7-Jul-17</t>
  </si>
  <si>
    <t>6-Jul-17</t>
  </si>
  <si>
    <t>5-Jul-17</t>
  </si>
  <si>
    <t>3-Jul-17</t>
  </si>
  <si>
    <t>30-Jun-17</t>
  </si>
  <si>
    <t>29-Jun-17</t>
  </si>
  <si>
    <t>28-Jun-17</t>
  </si>
  <si>
    <t>27-Jun-17</t>
  </si>
  <si>
    <t>26-Jun-17</t>
  </si>
  <si>
    <t>23-Jun-17</t>
  </si>
  <si>
    <t>22-Jun-17</t>
  </si>
  <si>
    <t>21-Jun-17</t>
  </si>
  <si>
    <t>20-Jun-17</t>
  </si>
  <si>
    <t>19-Jun-17</t>
  </si>
  <si>
    <t>16-Jun-17</t>
  </si>
  <si>
    <t>15-Jun-17</t>
  </si>
  <si>
    <t>14-Jun-17</t>
  </si>
  <si>
    <t>13-Jun-17</t>
  </si>
  <si>
    <t>12-Jun-17</t>
  </si>
  <si>
    <t>9-Jun-17</t>
  </si>
  <si>
    <t>8-Jun-17</t>
  </si>
  <si>
    <t>7-Jun-17</t>
  </si>
  <si>
    <t>6-Jun-17</t>
  </si>
  <si>
    <t>5-Jun-17</t>
  </si>
  <si>
    <t>2-Jun-17</t>
  </si>
  <si>
    <t>1-Jun-17</t>
  </si>
  <si>
    <t>31-May-17</t>
  </si>
  <si>
    <t>30-May-17</t>
  </si>
  <si>
    <t>26-May-17</t>
  </si>
  <si>
    <t>25-May-17</t>
  </si>
  <si>
    <t>24-May-17</t>
  </si>
  <si>
    <t>23-May-17</t>
  </si>
  <si>
    <t>22-May-17</t>
  </si>
  <si>
    <t>19-May-17</t>
  </si>
  <si>
    <t>18-May-17</t>
  </si>
  <si>
    <t>17-May-17</t>
  </si>
  <si>
    <t>16-May-17</t>
  </si>
  <si>
    <t>15-May-17</t>
  </si>
  <si>
    <t>12-May-17</t>
  </si>
  <si>
    <t>11-May-17</t>
  </si>
  <si>
    <t>10-May-17</t>
  </si>
  <si>
    <t>9-May-17</t>
  </si>
  <si>
    <t>8-May-17</t>
  </si>
  <si>
    <t>5-May-17</t>
  </si>
  <si>
    <t>4-May-17</t>
  </si>
  <si>
    <t>3-May-17</t>
  </si>
  <si>
    <t>2-May-17</t>
  </si>
  <si>
    <t>1-May-17</t>
  </si>
  <si>
    <t>31-Jan-17</t>
  </si>
  <si>
    <t>30-Jan-17</t>
  </si>
  <si>
    <t>27-Jan-17</t>
  </si>
  <si>
    <t>26-Jan-17</t>
  </si>
  <si>
    <t>25-Jan-17</t>
  </si>
  <si>
    <t>24-Jan-17</t>
  </si>
  <si>
    <t>23-Jan-17</t>
  </si>
  <si>
    <t>20-Jan-17</t>
  </si>
  <si>
    <t>19-Jan-17</t>
  </si>
  <si>
    <t>18-Jan-17</t>
  </si>
  <si>
    <t>17-Jan-17</t>
  </si>
  <si>
    <t>13-Jan-17</t>
  </si>
  <si>
    <t>12-Jan-17</t>
  </si>
  <si>
    <t>11-Jan-17</t>
  </si>
  <si>
    <t>10-Jan-17</t>
  </si>
  <si>
    <t>9-Jan-17</t>
  </si>
  <si>
    <t>6-Jan-17</t>
  </si>
  <si>
    <t>5-Jan-17</t>
  </si>
  <si>
    <t>4-Jan-17</t>
  </si>
  <si>
    <t>3-Jan-17</t>
  </si>
  <si>
    <t>30-Dec-16</t>
  </si>
  <si>
    <t>29-Dec-16</t>
  </si>
  <si>
    <t>28-Dec-16</t>
  </si>
  <si>
    <t>27-Dec-16</t>
  </si>
  <si>
    <t>23-Dec-16</t>
  </si>
  <si>
    <t>22-Dec-16</t>
  </si>
  <si>
    <t>21-Dec-16</t>
  </si>
  <si>
    <t>20-Dec-16</t>
  </si>
  <si>
    <t>19-Dec-16</t>
  </si>
  <si>
    <t>16-Dec-16</t>
  </si>
  <si>
    <t>15-Dec-16</t>
  </si>
  <si>
    <t>14-Dec-16</t>
  </si>
  <si>
    <t>13-Dec-16</t>
  </si>
  <si>
    <t>12-Dec-16</t>
  </si>
  <si>
    <t>9-Dec-16</t>
  </si>
  <si>
    <t>8-Dec-16</t>
  </si>
  <si>
    <t>7-Dec-16</t>
  </si>
  <si>
    <t>6-Dec-16</t>
  </si>
  <si>
    <t>5-Dec-16</t>
  </si>
  <si>
    <t>2-Dec-16</t>
  </si>
  <si>
    <t>1-Dec-16</t>
  </si>
  <si>
    <t>31-Oct-16</t>
  </si>
  <si>
    <t>28-Oct-16</t>
  </si>
  <si>
    <t>27-Oct-16</t>
  </si>
  <si>
    <t>26-Oct-16</t>
  </si>
  <si>
    <t>25-Oct-16</t>
  </si>
  <si>
    <t>24-Oct-16</t>
  </si>
  <si>
    <t>21-Oct-16</t>
  </si>
  <si>
    <t>20-Oct-16</t>
  </si>
  <si>
    <t>19-Oct-16</t>
  </si>
  <si>
    <t>18-Oct-16</t>
  </si>
  <si>
    <t>17-Oct-16</t>
  </si>
  <si>
    <t>14-Oct-16</t>
  </si>
  <si>
    <t>13-Oct-16</t>
  </si>
  <si>
    <t>12-Oct-16</t>
  </si>
  <si>
    <t>11-Oct-16</t>
  </si>
  <si>
    <t>10-Oct-16</t>
  </si>
  <si>
    <t>7-Oct-16</t>
  </si>
  <si>
    <t>6-Oct-16</t>
  </si>
  <si>
    <t>5-Oct-16</t>
  </si>
  <si>
    <t>4-Oct-16</t>
  </si>
  <si>
    <t>3-Oct-16</t>
  </si>
  <si>
    <t>30-Sep-16</t>
  </si>
  <si>
    <t>29-Sep-16</t>
  </si>
  <si>
    <t>28-Sep-16</t>
  </si>
  <si>
    <t>27-Sep-16</t>
  </si>
  <si>
    <t>26-Sep-16</t>
  </si>
  <si>
    <t>23-Sep-16</t>
  </si>
  <si>
    <t>22-Sep-16</t>
  </si>
  <si>
    <t>21-Sep-16</t>
  </si>
  <si>
    <t>20-Sep-16</t>
  </si>
  <si>
    <t>19-Sep-16</t>
  </si>
  <si>
    <t>16-Sep-16</t>
  </si>
  <si>
    <t>15-Sep-16</t>
  </si>
  <si>
    <t>14-Sep-16</t>
  </si>
  <si>
    <t>13-Sep-16</t>
  </si>
  <si>
    <t>12-Sep-16</t>
  </si>
  <si>
    <t>9-Sep-16</t>
  </si>
  <si>
    <t>8-Sep-16</t>
  </si>
  <si>
    <t>7-Sep-16</t>
  </si>
  <si>
    <t>6-Sep-16</t>
  </si>
  <si>
    <t>2-Sep-16</t>
  </si>
  <si>
    <t>1-Sep-16</t>
  </si>
  <si>
    <t>31-Aug-16</t>
  </si>
  <si>
    <t>30-Aug-16</t>
  </si>
  <si>
    <t>29-Aug-16</t>
  </si>
  <si>
    <t>26-Aug-16</t>
  </si>
  <si>
    <t>25-Aug-16</t>
  </si>
  <si>
    <t>24-Aug-16</t>
  </si>
  <si>
    <t>23-Aug-16</t>
  </si>
  <si>
    <t>22-Aug-16</t>
  </si>
  <si>
    <t>19-Aug-16</t>
  </si>
  <si>
    <t>18-Aug-16</t>
  </si>
  <si>
    <t>17-Aug-16</t>
  </si>
  <si>
    <t>16-Aug-16</t>
  </si>
  <si>
    <t>15-Aug-16</t>
  </si>
  <si>
    <t>12-Aug-16</t>
  </si>
  <si>
    <t>11-Aug-16</t>
  </si>
  <si>
    <t>10-Aug-16</t>
  </si>
  <si>
    <t>9-Aug-16</t>
  </si>
  <si>
    <t>8-Aug-16</t>
  </si>
  <si>
    <t>5-Aug-16</t>
  </si>
  <si>
    <t>4-Aug-16</t>
  </si>
  <si>
    <t>3-Aug-16</t>
  </si>
  <si>
    <t>2-Aug-16</t>
  </si>
  <si>
    <t>1-Aug-16</t>
  </si>
  <si>
    <t>29-Jul-16</t>
  </si>
  <si>
    <t>28-Jul-16</t>
  </si>
  <si>
    <t>27-Jul-16</t>
  </si>
  <si>
    <t>26-Jul-16</t>
  </si>
  <si>
    <t>25-Jul-16</t>
  </si>
  <si>
    <t>22-Jul-16</t>
  </si>
  <si>
    <t>21-Jul-16</t>
  </si>
  <si>
    <t>20-Jul-16</t>
  </si>
  <si>
    <t>19-Jul-16</t>
  </si>
  <si>
    <t>18-Jul-16</t>
  </si>
  <si>
    <t>15-Jul-16</t>
  </si>
  <si>
    <t>14-Jul-16</t>
  </si>
  <si>
    <t>13-Jul-16</t>
  </si>
  <si>
    <t>12-Jul-16</t>
  </si>
  <si>
    <t>11-Jul-16</t>
  </si>
  <si>
    <t>8-Jul-16</t>
  </si>
  <si>
    <t>7-Jul-16</t>
  </si>
  <si>
    <t>6-Jul-16</t>
  </si>
  <si>
    <t>5-Jul-16</t>
  </si>
  <si>
    <t>1-Jul-16</t>
  </si>
  <si>
    <t>30-Jun-16</t>
  </si>
  <si>
    <t>29-Jun-16</t>
  </si>
  <si>
    <t>28-Jun-16</t>
  </si>
  <si>
    <t>27-Jun-16</t>
  </si>
  <si>
    <t>24-Jun-16</t>
  </si>
  <si>
    <t>23-Jun-16</t>
  </si>
  <si>
    <t>22-Jun-16</t>
  </si>
  <si>
    <t>21-Jun-16</t>
  </si>
  <si>
    <t>20-Jun-16</t>
  </si>
  <si>
    <t>17-Jun-16</t>
  </si>
  <si>
    <t>16-Jun-16</t>
  </si>
  <si>
    <t>15-Jun-16</t>
  </si>
  <si>
    <t>14-Jun-16</t>
  </si>
  <si>
    <t>13-Jun-16</t>
  </si>
  <si>
    <t>10-Jun-16</t>
  </si>
  <si>
    <t>9-Jun-16</t>
  </si>
  <si>
    <t>8-Jun-16</t>
  </si>
  <si>
    <t>7-Jun-16</t>
  </si>
  <si>
    <t>6-Jun-16</t>
  </si>
  <si>
    <t>3-Jun-16</t>
  </si>
  <si>
    <t>2-Jun-16</t>
  </si>
  <si>
    <t>1-Jun-16</t>
  </si>
  <si>
    <t>31-May-16</t>
  </si>
  <si>
    <t>27-May-16</t>
  </si>
  <si>
    <t>26-May-16</t>
  </si>
  <si>
    <t>25-May-16</t>
  </si>
  <si>
    <t>24-May-16</t>
  </si>
  <si>
    <t>23-May-16</t>
  </si>
  <si>
    <t>20-May-16</t>
  </si>
  <si>
    <t>19-May-16</t>
  </si>
  <si>
    <t>18-May-16</t>
  </si>
  <si>
    <t>17-May-16</t>
  </si>
  <si>
    <t>16-May-16</t>
  </si>
  <si>
    <t>13-May-16</t>
  </si>
  <si>
    <t>12-May-16</t>
  </si>
  <si>
    <t>11-May-16</t>
  </si>
  <si>
    <t>10-May-16</t>
  </si>
  <si>
    <t>9-May-16</t>
  </si>
  <si>
    <t>6-May-16</t>
  </si>
  <si>
    <t>5-May-16</t>
  </si>
  <si>
    <t>4-May-16</t>
  </si>
  <si>
    <t>3-May-16</t>
  </si>
  <si>
    <t>2-May-16</t>
  </si>
  <si>
    <t>29-Jan-16</t>
  </si>
  <si>
    <t>28-Jan-16</t>
  </si>
  <si>
    <t>27-Jan-16</t>
  </si>
  <si>
    <t>26-Jan-16</t>
  </si>
  <si>
    <t>25-Jan-16</t>
  </si>
  <si>
    <t>22-Jan-16</t>
  </si>
  <si>
    <t>21-Jan-16</t>
  </si>
  <si>
    <t>20-Jan-16</t>
  </si>
  <si>
    <t>19-Jan-16</t>
  </si>
  <si>
    <t>15-Jan-16</t>
  </si>
  <si>
    <t>14-Jan-16</t>
  </si>
  <si>
    <t>13-Jan-16</t>
  </si>
  <si>
    <t>12-Jan-16</t>
  </si>
  <si>
    <t>11-Jan-16</t>
  </si>
  <si>
    <t>8-Jan-16</t>
  </si>
  <si>
    <t>7-Jan-16</t>
  </si>
  <si>
    <t>6-Jan-16</t>
  </si>
  <si>
    <t>5-Jan-16</t>
  </si>
  <si>
    <t>4-Jan-16</t>
  </si>
  <si>
    <t>31-Dec-15</t>
  </si>
  <si>
    <t>30-Dec-15</t>
  </si>
  <si>
    <t>29-Dec-15</t>
  </si>
  <si>
    <t>28-Dec-15</t>
  </si>
  <si>
    <t>24-Dec-15</t>
  </si>
  <si>
    <t>23-Dec-15</t>
  </si>
  <si>
    <t>22-Dec-15</t>
  </si>
  <si>
    <t>21-Dec-15</t>
  </si>
  <si>
    <t>18-Dec-15</t>
  </si>
  <si>
    <t>17-Dec-15</t>
  </si>
  <si>
    <t>16-Dec-15</t>
  </si>
  <si>
    <t>15-Dec-15</t>
  </si>
  <si>
    <t>14-Dec-15</t>
  </si>
  <si>
    <t>11-Dec-15</t>
  </si>
  <si>
    <t>10-Dec-15</t>
  </si>
  <si>
    <t>9-Dec-15</t>
  </si>
  <si>
    <t>8-Dec-15</t>
  </si>
  <si>
    <t>7-Dec-15</t>
  </si>
  <si>
    <t>4-Dec-15</t>
  </si>
  <si>
    <t>3-Dec-15</t>
  </si>
  <si>
    <t>2-Dec-15</t>
  </si>
  <si>
    <t>1-Dec-15</t>
  </si>
  <si>
    <t>30-Oct-15</t>
  </si>
  <si>
    <t>29-Oct-15</t>
  </si>
  <si>
    <t>28-Oct-15</t>
  </si>
  <si>
    <t>27-Oct-15</t>
  </si>
  <si>
    <t>26-Oct-15</t>
  </si>
  <si>
    <t>23-Oct-15</t>
  </si>
  <si>
    <t>22-Oct-15</t>
  </si>
  <si>
    <t>21-Oct-15</t>
  </si>
  <si>
    <t>20-Oct-15</t>
  </si>
  <si>
    <t>19-Oct-15</t>
  </si>
  <si>
    <t>16-Oct-15</t>
  </si>
  <si>
    <t>15-Oct-15</t>
  </si>
  <si>
    <t>14-Oct-15</t>
  </si>
  <si>
    <t>13-Oct-15</t>
  </si>
  <si>
    <t>12-Oct-15</t>
  </si>
  <si>
    <t>9-Oct-15</t>
  </si>
  <si>
    <t>8-Oct-15</t>
  </si>
  <si>
    <t>7-Oct-15</t>
  </si>
  <si>
    <t>6-Oct-15</t>
  </si>
  <si>
    <t>5-Oct-15</t>
  </si>
  <si>
    <t>2-Oct-15</t>
  </si>
  <si>
    <t>1-Oct-15</t>
  </si>
  <si>
    <t>30-Sep-15</t>
  </si>
  <si>
    <t>29-Sep-15</t>
  </si>
  <si>
    <t>28-Sep-15</t>
  </si>
  <si>
    <t>25-Sep-15</t>
  </si>
  <si>
    <t>24-Sep-15</t>
  </si>
  <si>
    <t>23-Sep-15</t>
  </si>
  <si>
    <t>22-Sep-15</t>
  </si>
  <si>
    <t>21-Sep-15</t>
  </si>
  <si>
    <t>18-Sep-15</t>
  </si>
  <si>
    <t>17-Sep-15</t>
  </si>
  <si>
    <t>16-Sep-15</t>
  </si>
  <si>
    <t>15-Sep-15</t>
  </si>
  <si>
    <t>14-Sep-15</t>
  </si>
  <si>
    <t>11-Sep-15</t>
  </si>
  <si>
    <t>10-Sep-15</t>
  </si>
  <si>
    <t>9-Sep-15</t>
  </si>
  <si>
    <t>8-Sep-15</t>
  </si>
  <si>
    <t>4-Sep-15</t>
  </si>
  <si>
    <t>3-Sep-15</t>
  </si>
  <si>
    <t>2-Sep-15</t>
  </si>
  <si>
    <t>1-Sep-15</t>
  </si>
  <si>
    <t>31-Aug-15</t>
  </si>
  <si>
    <t>28-Aug-15</t>
  </si>
  <si>
    <t>27-Aug-15</t>
  </si>
  <si>
    <t>26-Aug-15</t>
  </si>
  <si>
    <t>25-Aug-15</t>
  </si>
  <si>
    <t>24-Aug-15</t>
  </si>
  <si>
    <t>21-Aug-15</t>
  </si>
  <si>
    <t>20-Aug-15</t>
  </si>
  <si>
    <t>19-Aug-15</t>
  </si>
  <si>
    <t>18-Aug-15</t>
  </si>
  <si>
    <t>17-Aug-15</t>
  </si>
  <si>
    <t>14-Aug-15</t>
  </si>
  <si>
    <t>13-Aug-15</t>
  </si>
  <si>
    <t>12-Aug-15</t>
  </si>
  <si>
    <t>11-Aug-15</t>
  </si>
  <si>
    <t>10-Aug-15</t>
  </si>
  <si>
    <t>7-Aug-15</t>
  </si>
  <si>
    <t>6-Aug-15</t>
  </si>
  <si>
    <t>5-Aug-15</t>
  </si>
  <si>
    <t>4-Aug-15</t>
  </si>
  <si>
    <t>3-Aug-15</t>
  </si>
  <si>
    <t>31-Jul-15</t>
  </si>
  <si>
    <t>30-Jul-15</t>
  </si>
  <si>
    <t>29-Jul-15</t>
  </si>
  <si>
    <t>28-Jul-15</t>
  </si>
  <si>
    <t>27-Jul-15</t>
  </si>
  <si>
    <t>24-Jul-15</t>
  </si>
  <si>
    <t>23-Jul-15</t>
  </si>
  <si>
    <t>22-Jul-15</t>
  </si>
  <si>
    <t>21-Jul-15</t>
  </si>
  <si>
    <t>20-Jul-15</t>
  </si>
  <si>
    <t>17-Jul-15</t>
  </si>
  <si>
    <t>16-Jul-15</t>
  </si>
  <si>
    <t>15-Jul-15</t>
  </si>
  <si>
    <t>14-Jul-15</t>
  </si>
  <si>
    <t>13-Jul-15</t>
  </si>
  <si>
    <t>10-Jul-15</t>
  </si>
  <si>
    <t>9-Jul-15</t>
  </si>
  <si>
    <t>8-Jul-15</t>
  </si>
  <si>
    <t>7-Jul-15</t>
  </si>
  <si>
    <t>6-Jul-15</t>
  </si>
  <si>
    <t>2-Jul-15</t>
  </si>
  <si>
    <t>1-Jul-15</t>
  </si>
  <si>
    <t>30-Jun-15</t>
  </si>
  <si>
    <t>29-Jun-15</t>
  </si>
  <si>
    <t>26-Jun-15</t>
  </si>
  <si>
    <t>25-Jun-15</t>
  </si>
  <si>
    <t>24-Jun-15</t>
  </si>
  <si>
    <t>23-Jun-15</t>
  </si>
  <si>
    <t>22-Jun-15</t>
  </si>
  <si>
    <t>19-Jun-15</t>
  </si>
  <si>
    <t>18-Jun-15</t>
  </si>
  <si>
    <t>17-Jun-15</t>
  </si>
  <si>
    <t>16-Jun-15</t>
  </si>
  <si>
    <t>15-Jun-15</t>
  </si>
  <si>
    <t>12-Jun-15</t>
  </si>
  <si>
    <t>11-Jun-15</t>
  </si>
  <si>
    <t>10-Jun-15</t>
  </si>
  <si>
    <t>9-Jun-15</t>
  </si>
  <si>
    <t>8-Jun-15</t>
  </si>
  <si>
    <t>5-Jun-15</t>
  </si>
  <si>
    <t>4-Jun-15</t>
  </si>
  <si>
    <t>3-Jun-15</t>
  </si>
  <si>
    <t>2-Jun-15</t>
  </si>
  <si>
    <t>1-Jun-15</t>
  </si>
  <si>
    <t>29-May-15</t>
  </si>
  <si>
    <t>28-May-15</t>
  </si>
  <si>
    <t>27-May-15</t>
  </si>
  <si>
    <t>26-May-15</t>
  </si>
  <si>
    <t>22-May-15</t>
  </si>
  <si>
    <t>21-May-15</t>
  </si>
  <si>
    <t>20-May-15</t>
  </si>
  <si>
    <t>19-May-15</t>
  </si>
  <si>
    <t>18-May-15</t>
  </si>
  <si>
    <t>15-May-15</t>
  </si>
  <si>
    <t>14-May-15</t>
  </si>
  <si>
    <t>13-May-15</t>
  </si>
  <si>
    <t>12-May-15</t>
  </si>
  <si>
    <t>11-May-15</t>
  </si>
  <si>
    <t>8-May-15</t>
  </si>
  <si>
    <t>7-May-15</t>
  </si>
  <si>
    <t>6-May-15</t>
  </si>
  <si>
    <t>5-May-15</t>
  </si>
  <si>
    <t>4-May-15</t>
  </si>
  <si>
    <t>1-May-15</t>
  </si>
  <si>
    <t>30-Jan-15</t>
  </si>
  <si>
    <t>29-Jan-15</t>
  </si>
  <si>
    <t>28-Jan-15</t>
  </si>
  <si>
    <t>27-Jan-15</t>
  </si>
  <si>
    <t>26-Jan-15</t>
  </si>
  <si>
    <t>23-Jan-15</t>
  </si>
  <si>
    <t>22-Jan-15</t>
  </si>
  <si>
    <t>21-Jan-15</t>
  </si>
  <si>
    <t>20-Jan-15</t>
  </si>
  <si>
    <t>16-Jan-15</t>
  </si>
  <si>
    <t>15-Jan-15</t>
  </si>
  <si>
    <t>14-Jan-15</t>
  </si>
  <si>
    <t>13-Jan-15</t>
  </si>
  <si>
    <t>12-Jan-15</t>
  </si>
  <si>
    <t>9-Jan-15</t>
  </si>
  <si>
    <t>8-Jan-15</t>
  </si>
  <si>
    <t>7-Jan-15</t>
  </si>
  <si>
    <t>6-Jan-15</t>
  </si>
  <si>
    <t>5-Jan-15</t>
  </si>
  <si>
    <t>2-Jan-15</t>
  </si>
  <si>
    <t>31-Dec-14</t>
  </si>
  <si>
    <t>30-Dec-14</t>
  </si>
  <si>
    <t>29-Dec-14</t>
  </si>
  <si>
    <t>26-Dec-14</t>
  </si>
  <si>
    <t>24-Dec-14</t>
  </si>
  <si>
    <t>23-Dec-14</t>
  </si>
  <si>
    <t>22-Dec-14</t>
  </si>
  <si>
    <t>19-Dec-14</t>
  </si>
  <si>
    <t>18-Dec-14</t>
  </si>
  <si>
    <t>17-Dec-14</t>
  </si>
  <si>
    <t>16-Dec-14</t>
  </si>
  <si>
    <t>15-Dec-14</t>
  </si>
  <si>
    <t>12-Dec-14</t>
  </si>
  <si>
    <t>11-Dec-14</t>
  </si>
  <si>
    <t>10-Dec-14</t>
  </si>
  <si>
    <t>9-Dec-14</t>
  </si>
  <si>
    <t>8-Dec-14</t>
  </si>
  <si>
    <t>5-Dec-14</t>
  </si>
  <si>
    <t>4-Dec-14</t>
  </si>
  <si>
    <t>3-Dec-14</t>
  </si>
  <si>
    <t>2-Dec-14</t>
  </si>
  <si>
    <t>1-Dec-14</t>
  </si>
  <si>
    <t>31-Oct-14</t>
  </si>
  <si>
    <t>30-Oct-14</t>
  </si>
  <si>
    <t>29-Oct-14</t>
  </si>
  <si>
    <t>28-Oct-14</t>
  </si>
  <si>
    <t>27-Oct-14</t>
  </si>
  <si>
    <t>24-Oct-14</t>
  </si>
  <si>
    <t>23-Oct-14</t>
  </si>
  <si>
    <t>22-Oct-14</t>
  </si>
  <si>
    <t>21-Oct-14</t>
  </si>
  <si>
    <t>20-Oct-14</t>
  </si>
  <si>
    <t>17-Oct-14</t>
  </si>
  <si>
    <t>16-Oct-14</t>
  </si>
  <si>
    <t>15-Oct-14</t>
  </si>
  <si>
    <t>14-Oct-14</t>
  </si>
  <si>
    <t>13-Oct-14</t>
  </si>
  <si>
    <t>10-Oct-14</t>
  </si>
  <si>
    <t>9-Oct-14</t>
  </si>
  <si>
    <t>8-Oct-14</t>
  </si>
  <si>
    <t>7-Oct-14</t>
  </si>
  <si>
    <t>6-Oct-14</t>
  </si>
  <si>
    <t>3-Oct-14</t>
  </si>
  <si>
    <t>2-Oct-14</t>
  </si>
  <si>
    <t>1-Oct-14</t>
  </si>
  <si>
    <t>30-Sep-14</t>
  </si>
  <si>
    <t>29-Sep-14</t>
  </si>
  <si>
    <t>26-Sep-14</t>
  </si>
  <si>
    <t>25-Sep-14</t>
  </si>
  <si>
    <t>24-Sep-14</t>
  </si>
  <si>
    <t>23-Sep-14</t>
  </si>
  <si>
    <t>22-Sep-14</t>
  </si>
  <si>
    <t>19-Sep-14</t>
  </si>
  <si>
    <t>18-Sep-14</t>
  </si>
  <si>
    <t>17-Sep-14</t>
  </si>
  <si>
    <t>16-Sep-14</t>
  </si>
  <si>
    <t>15-Sep-14</t>
  </si>
  <si>
    <t>12-Sep-14</t>
  </si>
  <si>
    <t>11-Sep-14</t>
  </si>
  <si>
    <t>10-Sep-14</t>
  </si>
  <si>
    <t>9-Sep-14</t>
  </si>
  <si>
    <t>8-Sep-14</t>
  </si>
  <si>
    <t>5-Sep-14</t>
  </si>
  <si>
    <t>4-Sep-14</t>
  </si>
  <si>
    <t>3-Sep-14</t>
  </si>
  <si>
    <t>2-Sep-14</t>
  </si>
  <si>
    <t>29-Aug-14</t>
  </si>
  <si>
    <t>28-Aug-14</t>
  </si>
  <si>
    <t>27-Aug-14</t>
  </si>
  <si>
    <t>26-Aug-14</t>
  </si>
  <si>
    <t>25-Aug-14</t>
  </si>
  <si>
    <t>22-Aug-14</t>
  </si>
  <si>
    <t>21-Aug-14</t>
  </si>
  <si>
    <t>20-Aug-14</t>
  </si>
  <si>
    <t>19-Aug-14</t>
  </si>
  <si>
    <t>18-Aug-14</t>
  </si>
  <si>
    <t>15-Aug-14</t>
  </si>
  <si>
    <t>14-Aug-14</t>
  </si>
  <si>
    <t>13-Aug-14</t>
  </si>
  <si>
    <t>12-Aug-14</t>
  </si>
  <si>
    <t>11-Aug-14</t>
  </si>
  <si>
    <t>8-Aug-14</t>
  </si>
  <si>
    <t>7-Aug-14</t>
  </si>
  <si>
    <t>6-Aug-14</t>
  </si>
  <si>
    <t>5-Aug-14</t>
  </si>
  <si>
    <t>4-Aug-14</t>
  </si>
  <si>
    <t>1-Aug-14</t>
  </si>
  <si>
    <t>31-Jul-14</t>
  </si>
  <si>
    <t>30-Jul-14</t>
  </si>
  <si>
    <t>29-Jul-14</t>
  </si>
  <si>
    <t>28-Jul-14</t>
  </si>
  <si>
    <t>25-Jul-14</t>
  </si>
  <si>
    <t>24-Jul-14</t>
  </si>
  <si>
    <t>23-Jul-14</t>
  </si>
  <si>
    <t>22-Jul-14</t>
  </si>
  <si>
    <t>21-Jul-14</t>
  </si>
  <si>
    <t>18-Jul-14</t>
  </si>
  <si>
    <t>17-Jul-14</t>
  </si>
  <si>
    <t>16-Jul-14</t>
  </si>
  <si>
    <t>15-Jul-14</t>
  </si>
  <si>
    <t>14-Jul-14</t>
  </si>
  <si>
    <t>11-Jul-14</t>
  </si>
  <si>
    <t>10-Jul-14</t>
  </si>
  <si>
    <t>9-Jul-14</t>
  </si>
  <si>
    <t>8-Jul-14</t>
  </si>
  <si>
    <t>7-Jul-14</t>
  </si>
  <si>
    <t>3-Jul-14</t>
  </si>
  <si>
    <t>2-Jul-14</t>
  </si>
  <si>
    <t>1-Jul-14</t>
  </si>
  <si>
    <t>30-Jun-14</t>
  </si>
  <si>
    <t>27-Jun-14</t>
  </si>
  <si>
    <t>26-Jun-14</t>
  </si>
  <si>
    <t>25-Jun-14</t>
  </si>
  <si>
    <t>24-Jun-14</t>
  </si>
  <si>
    <t>23-Jun-14</t>
  </si>
  <si>
    <t>20-Jun-14</t>
  </si>
  <si>
    <t>19-Jun-14</t>
  </si>
  <si>
    <t>18-Jun-14</t>
  </si>
  <si>
    <t>17-Jun-14</t>
  </si>
  <si>
    <t>16-Jun-14</t>
  </si>
  <si>
    <t>13-Jun-14</t>
  </si>
  <si>
    <t>12-Jun-14</t>
  </si>
  <si>
    <t>11-Jun-14</t>
  </si>
  <si>
    <t>10-Jun-14</t>
  </si>
  <si>
    <t>9-Jun-14</t>
  </si>
  <si>
    <t>6-Jun-14</t>
  </si>
  <si>
    <t>5-Jun-14</t>
  </si>
  <si>
    <t>4-Jun-14</t>
  </si>
  <si>
    <t>3-Jun-14</t>
  </si>
  <si>
    <t>2-Jun-14</t>
  </si>
  <si>
    <t>30-May-14</t>
  </si>
  <si>
    <t>29-May-14</t>
  </si>
  <si>
    <t>28-May-14</t>
  </si>
  <si>
    <t>27-May-14</t>
  </si>
  <si>
    <t>23-May-14</t>
  </si>
  <si>
    <t>22-May-14</t>
  </si>
  <si>
    <t>21-May-14</t>
  </si>
  <si>
    <t>20-May-14</t>
  </si>
  <si>
    <t>19-May-14</t>
  </si>
  <si>
    <t>16-May-14</t>
  </si>
  <si>
    <t>15-May-14</t>
  </si>
  <si>
    <t>14-May-14</t>
  </si>
  <si>
    <t>13-May-14</t>
  </si>
  <si>
    <t>12-May-14</t>
  </si>
  <si>
    <t>9-May-14</t>
  </si>
  <si>
    <t>8-May-14</t>
  </si>
  <si>
    <t>7-May-14</t>
  </si>
  <si>
    <t>6-May-14</t>
  </si>
  <si>
    <t>5-May-14</t>
  </si>
  <si>
    <t>2-May-14</t>
  </si>
  <si>
    <t>1-May-14</t>
  </si>
  <si>
    <t>31-Jan-14</t>
  </si>
  <si>
    <t>30-Jan-14</t>
  </si>
  <si>
    <t>29-Jan-14</t>
  </si>
  <si>
    <t>28-Jan-14</t>
  </si>
  <si>
    <t>27-Jan-14</t>
  </si>
  <si>
    <t>24-Jan-14</t>
  </si>
  <si>
    <t>23-Jan-14</t>
  </si>
  <si>
    <t>22-Jan-14</t>
  </si>
  <si>
    <t>21-Jan-14</t>
  </si>
  <si>
    <t>17-Jan-14</t>
  </si>
  <si>
    <t>16-Jan-14</t>
  </si>
  <si>
    <t>15-Jan-14</t>
  </si>
  <si>
    <t>14-Jan-14</t>
  </si>
  <si>
    <t>13-Jan-14</t>
  </si>
  <si>
    <t>10-Jan-14</t>
  </si>
  <si>
    <t>9-Jan-14</t>
  </si>
  <si>
    <t>8-Jan-14</t>
  </si>
  <si>
    <t>7-Jan-14</t>
  </si>
  <si>
    <t>6-Jan-14</t>
  </si>
  <si>
    <t>3-Jan-14</t>
  </si>
  <si>
    <t>2-Jan-14</t>
  </si>
  <si>
    <t>31-Dec-13</t>
  </si>
  <si>
    <t>30-Dec-13</t>
  </si>
  <si>
    <t>27-Dec-13</t>
  </si>
  <si>
    <t>26-Dec-13</t>
  </si>
  <si>
    <t>24-Dec-13</t>
  </si>
  <si>
    <t>23-Dec-13</t>
  </si>
  <si>
    <t>20-Dec-13</t>
  </si>
  <si>
    <t>19-Dec-13</t>
  </si>
  <si>
    <t>18-Dec-13</t>
  </si>
  <si>
    <t>17-Dec-13</t>
  </si>
  <si>
    <t>16-Dec-13</t>
  </si>
  <si>
    <t>13-Dec-13</t>
  </si>
  <si>
    <t>12-Dec-13</t>
  </si>
  <si>
    <t>11-Dec-13</t>
  </si>
  <si>
    <t>10-Dec-13</t>
  </si>
  <si>
    <t>9-Dec-13</t>
  </si>
  <si>
    <t>6-Dec-13</t>
  </si>
  <si>
    <t>5-Dec-13</t>
  </si>
  <si>
    <t>4-Dec-13</t>
  </si>
  <si>
    <t>3-Dec-13</t>
  </si>
  <si>
    <t>2-Dec-13</t>
  </si>
  <si>
    <t>31-Oct-13</t>
  </si>
  <si>
    <t>30-Oct-13</t>
  </si>
  <si>
    <t>29-Oct-13</t>
  </si>
  <si>
    <t>28-Oct-13</t>
  </si>
  <si>
    <t>25-Oct-13</t>
  </si>
  <si>
    <t>24-Oct-13</t>
  </si>
  <si>
    <t>23-Oct-13</t>
  </si>
  <si>
    <t>22-Oct-13</t>
  </si>
  <si>
    <t>21-Oct-13</t>
  </si>
  <si>
    <t>18-Oct-13</t>
  </si>
  <si>
    <t>17-Oct-13</t>
  </si>
  <si>
    <t>16-Oct-13</t>
  </si>
  <si>
    <t>15-Oct-13</t>
  </si>
  <si>
    <t>14-Oct-13</t>
  </si>
  <si>
    <t>11-Oct-13</t>
  </si>
  <si>
    <t>10-Oct-13</t>
  </si>
  <si>
    <t>9-Oct-13</t>
  </si>
  <si>
    <t>8-Oct-13</t>
  </si>
  <si>
    <t>7-Oct-13</t>
  </si>
  <si>
    <t>4-Oct-13</t>
  </si>
  <si>
    <t>3-Oct-13</t>
  </si>
  <si>
    <t>2-Oct-13</t>
  </si>
  <si>
    <t>1-Oct-13</t>
  </si>
  <si>
    <t>30-Sep-13</t>
  </si>
  <si>
    <t>27-Sep-13</t>
  </si>
  <si>
    <t>26-Sep-13</t>
  </si>
  <si>
    <t>25-Sep-13</t>
  </si>
  <si>
    <t>24-Sep-13</t>
  </si>
  <si>
    <t>23-Sep-13</t>
  </si>
  <si>
    <t>20-Sep-13</t>
  </si>
  <si>
    <t>19-Sep-13</t>
  </si>
  <si>
    <t>18-Sep-13</t>
  </si>
  <si>
    <t>17-Sep-13</t>
  </si>
  <si>
    <t>16-Sep-13</t>
  </si>
  <si>
    <t>13-Sep-13</t>
  </si>
  <si>
    <t>12-Sep-13</t>
  </si>
  <si>
    <t>11-Sep-13</t>
  </si>
  <si>
    <t>10-Sep-13</t>
  </si>
  <si>
    <t>9-Sep-13</t>
  </si>
  <si>
    <t>6-Sep-13</t>
  </si>
  <si>
    <t>5-Sep-13</t>
  </si>
  <si>
    <t>4-Sep-13</t>
  </si>
  <si>
    <t>3-Sep-13</t>
  </si>
  <si>
    <t>30-Aug-13</t>
  </si>
  <si>
    <t>29-Aug-13</t>
  </si>
  <si>
    <t>28-Aug-13</t>
  </si>
  <si>
    <t>27-Aug-13</t>
  </si>
  <si>
    <t>26-Aug-13</t>
  </si>
  <si>
    <t>23-Aug-13</t>
  </si>
  <si>
    <t>22-Aug-13</t>
  </si>
  <si>
    <t>21-Aug-13</t>
  </si>
  <si>
    <t>20-Aug-13</t>
  </si>
  <si>
    <t>19-Aug-13</t>
  </si>
  <si>
    <t>16-Aug-13</t>
  </si>
  <si>
    <t>15-Aug-13</t>
  </si>
  <si>
    <t>14-Aug-13</t>
  </si>
  <si>
    <t>13-Aug-13</t>
  </si>
  <si>
    <t>12-Aug-13</t>
  </si>
  <si>
    <t>9-Aug-13</t>
  </si>
  <si>
    <t>8-Aug-13</t>
  </si>
  <si>
    <t>7-Aug-13</t>
  </si>
  <si>
    <t>6-Aug-13</t>
  </si>
  <si>
    <t>5-Aug-13</t>
  </si>
  <si>
    <t>2-Aug-13</t>
  </si>
  <si>
    <t>1-Aug-13</t>
  </si>
  <si>
    <t>31-Jul-13</t>
  </si>
  <si>
    <t>30-Jul-13</t>
  </si>
  <si>
    <t>29-Jul-13</t>
  </si>
  <si>
    <t>26-Jul-13</t>
  </si>
  <si>
    <t>25-Jul-13</t>
  </si>
  <si>
    <t>24-Jul-13</t>
  </si>
  <si>
    <t>23-Jul-13</t>
  </si>
  <si>
    <t>22-Jul-13</t>
  </si>
  <si>
    <t>19-Jul-13</t>
  </si>
  <si>
    <t>18-Jul-13</t>
  </si>
  <si>
    <t>17-Jul-13</t>
  </si>
  <si>
    <t>16-Jul-13</t>
  </si>
  <si>
    <t>15-Jul-13</t>
  </si>
  <si>
    <t>12-Jul-13</t>
  </si>
  <si>
    <t>11-Jul-13</t>
  </si>
  <si>
    <t>10-Jul-13</t>
  </si>
  <si>
    <t>9-Jul-13</t>
  </si>
  <si>
    <t>8-Jul-13</t>
  </si>
  <si>
    <t>5-Jul-13</t>
  </si>
  <si>
    <t>3-Jul-13</t>
  </si>
  <si>
    <t>2-Jul-13</t>
  </si>
  <si>
    <t>1-Jul-13</t>
  </si>
  <si>
    <t>28-Jun-13</t>
  </si>
  <si>
    <t>27-Jun-13</t>
  </si>
  <si>
    <t>26-Jun-13</t>
  </si>
  <si>
    <t>25-Jun-13</t>
  </si>
  <si>
    <t>24-Jun-13</t>
  </si>
  <si>
    <t>21-Jun-13</t>
  </si>
  <si>
    <t>20-Jun-13</t>
  </si>
  <si>
    <t>19-Jun-13</t>
  </si>
  <si>
    <t>18-Jun-13</t>
  </si>
  <si>
    <t>17-Jun-13</t>
  </si>
  <si>
    <t>14-Jun-13</t>
  </si>
  <si>
    <t>13-Jun-13</t>
  </si>
  <si>
    <t>12-Jun-13</t>
  </si>
  <si>
    <t>11-Jun-13</t>
  </si>
  <si>
    <t>10-Jun-13</t>
  </si>
  <si>
    <t>7-Jun-13</t>
  </si>
  <si>
    <t>6-Jun-13</t>
  </si>
  <si>
    <t>5-Jun-13</t>
  </si>
  <si>
    <t>4-Jun-13</t>
  </si>
  <si>
    <t>3-Jun-13</t>
  </si>
  <si>
    <t>31-May-13</t>
  </si>
  <si>
    <t>30-May-13</t>
  </si>
  <si>
    <t>29-May-13</t>
  </si>
  <si>
    <t>28-May-13</t>
  </si>
  <si>
    <t>24-May-13</t>
  </si>
  <si>
    <t>23-May-13</t>
  </si>
  <si>
    <t>22-May-13</t>
  </si>
  <si>
    <t>21-May-13</t>
  </si>
  <si>
    <t>20-May-13</t>
  </si>
  <si>
    <t>17-May-13</t>
  </si>
  <si>
    <t>16-May-13</t>
  </si>
  <si>
    <t>15-May-13</t>
  </si>
  <si>
    <t>14-May-13</t>
  </si>
  <si>
    <t>13-May-13</t>
  </si>
  <si>
    <t>10-May-13</t>
  </si>
  <si>
    <t>9-May-13</t>
  </si>
  <si>
    <t>8-May-13</t>
  </si>
  <si>
    <t>7-May-13</t>
  </si>
  <si>
    <t>6-May-13</t>
  </si>
  <si>
    <t>3-May-13</t>
  </si>
  <si>
    <t>2-May-13</t>
  </si>
  <si>
    <t>1-May-13</t>
  </si>
  <si>
    <t>31-Jan-13</t>
  </si>
  <si>
    <t>30-Jan-13</t>
  </si>
  <si>
    <t>29-Jan-13</t>
  </si>
  <si>
    <t>28-Jan-13</t>
  </si>
  <si>
    <t>25-Jan-13</t>
  </si>
  <si>
    <t>24-Jan-13</t>
  </si>
  <si>
    <t>23-Jan-13</t>
  </si>
  <si>
    <t>22-Jan-13</t>
  </si>
  <si>
    <t>18-Jan-13</t>
  </si>
  <si>
    <t>17-Jan-13</t>
  </si>
  <si>
    <t>16-Jan-13</t>
  </si>
  <si>
    <t>15-Jan-13</t>
  </si>
  <si>
    <t>14-Jan-13</t>
  </si>
  <si>
    <t>11-Jan-13</t>
  </si>
  <si>
    <t>10-Jan-13</t>
  </si>
  <si>
    <t>9-Jan-13</t>
  </si>
  <si>
    <t>8-Jan-13</t>
  </si>
  <si>
    <t>7-Jan-13</t>
  </si>
  <si>
    <t>4-Jan-13</t>
  </si>
  <si>
    <t>3-Jan-13</t>
  </si>
  <si>
    <t>2-Jan-13</t>
  </si>
  <si>
    <t>31-Dec-12</t>
  </si>
  <si>
    <t>28-Dec-12</t>
  </si>
  <si>
    <t>27-Dec-12</t>
  </si>
  <si>
    <t>26-Dec-12</t>
  </si>
  <si>
    <t>24-Dec-12</t>
  </si>
  <si>
    <t>21-Dec-12</t>
  </si>
  <si>
    <t>20-Dec-12</t>
  </si>
  <si>
    <t>19-Dec-12</t>
  </si>
  <si>
    <t>18-Dec-12</t>
  </si>
  <si>
    <t>17-Dec-12</t>
  </si>
  <si>
    <t>14-Dec-12</t>
  </si>
  <si>
    <t>13-Dec-12</t>
  </si>
  <si>
    <t>12-Dec-12</t>
  </si>
  <si>
    <t>11-Dec-12</t>
  </si>
  <si>
    <t>10-Dec-12</t>
  </si>
  <si>
    <t>7-Dec-12</t>
  </si>
  <si>
    <t>6-Dec-12</t>
  </si>
  <si>
    <t>5-Dec-12</t>
  </si>
  <si>
    <t>4-Dec-12</t>
  </si>
  <si>
    <t>3-Dec-12</t>
  </si>
  <si>
    <t>19-Dec-17</t>
  </si>
  <si>
    <t>18-Dec-17</t>
  </si>
  <si>
    <t>15-Dec-17</t>
  </si>
  <si>
    <t>14-Dec-17</t>
  </si>
  <si>
    <t>13-Dec-17</t>
  </si>
  <si>
    <t>12-Dec-17</t>
  </si>
  <si>
    <t>11-Dec-17</t>
  </si>
  <si>
    <t>8-Dec-17</t>
  </si>
  <si>
    <t>7-Dec-17</t>
  </si>
  <si>
    <t>6-Dec-17</t>
  </si>
  <si>
    <t>5-Dec-17</t>
  </si>
  <si>
    <t>4-Dec-17</t>
  </si>
  <si>
    <t>1-Dec-17</t>
  </si>
  <si>
    <t>N Iter</t>
  </si>
  <si>
    <t>radius</t>
  </si>
  <si>
    <t>absolute error</t>
  </si>
  <si>
    <t>C++</t>
  </si>
  <si>
    <t>VBA</t>
  </si>
  <si>
    <t>12,9397145529459 &lt; price &lt; 24,7889550755932</t>
  </si>
  <si>
    <t>8,00755303366122 &lt; price &lt; 20,0168438557175</t>
  </si>
  <si>
    <t>7,03319436973456 &lt; price &lt; 15,9148644754728</t>
  </si>
  <si>
    <t>9,23360576612044 &lt; price &lt; 14,1302137608348</t>
  </si>
  <si>
    <t>11,6681341350884 &lt; price &lt; 17,2182274992014</t>
  </si>
  <si>
    <t>9,97712271298676 &lt; price &lt; 14,1832303696531</t>
  </si>
  <si>
    <t>12,3906438252165 &lt; price &lt; 15,2245504428034</t>
  </si>
  <si>
    <t>12,5046288612454 &lt; price &lt; 14,694479181496</t>
  </si>
  <si>
    <t>12,7597873643046 &lt; price &lt; 14,5292419334238</t>
  </si>
  <si>
    <t>13,1175284524414 &lt; price &lt; 14,7237661446932</t>
  </si>
  <si>
    <t>12,9856072158983 &lt; price &lt; 13,9560625360867</t>
  </si>
  <si>
    <t>12,8837890189426 &lt; price &lt; 13,154303243552</t>
  </si>
  <si>
    <t>5,96616337289707 &lt; price &lt; 26,8304904510529</t>
  </si>
  <si>
    <t>13,544063430692 &lt; price &lt; 24,967546885314</t>
  </si>
  <si>
    <t>14,5133921552041 &lt; price &lt; 22,1477730734861</t>
  </si>
  <si>
    <t>15,4115115867684 &lt; price &lt; 21,9954730483459</t>
  </si>
  <si>
    <t>16,559574856954 &lt; price &lt; 22,6330082820462</t>
  </si>
  <si>
    <t>15,8780854665118 &lt; price &lt; 19,8262168354703</t>
  </si>
  <si>
    <t>17,1144033161564 &lt; price &lt; 19,8839124388674</t>
  </si>
  <si>
    <t>16,7775662257626 &lt; price &lt; 18,871267008092</t>
  </si>
  <si>
    <t>17,0287144820951 &lt; price &lt; 18,8781612698264</t>
  </si>
  <si>
    <t>17,6486273210359 &lt; price &lt; 18,856387688838</t>
  </si>
  <si>
    <t>17,8919769937969 &lt; price &lt; 18,713609619941</t>
  </si>
  <si>
    <t>17,5711034308828 &lt; price &lt; 18,2235633252234</t>
  </si>
  <si>
    <t>17,6599207785818 &lt; price &lt; 18,2430953509449</t>
  </si>
  <si>
    <t>17,7845215618711 &lt; price &lt; 18,1676066692378</t>
  </si>
  <si>
    <t>18,0374114663369 &lt; price &lt; 18,3093368962546</t>
  </si>
  <si>
    <t>12,9018224985428 &lt; price &lt; 13,5353070666537</t>
  </si>
  <si>
    <t>12,9134714523869 &lt; price &lt; 13,4263465182155</t>
  </si>
  <si>
    <t>13,4199420626354 &lt; price &lt; 13,8944336122017</t>
  </si>
  <si>
    <t>2.51463 &lt; price &lt; 34.8356</t>
  </si>
  <si>
    <t>16.9204 &lt; price &lt; 27.6493</t>
  </si>
  <si>
    <t>15.1976 &lt; price &lt; 22.5698</t>
  </si>
  <si>
    <t>11.7322 &lt; price &lt; 17.7303</t>
  </si>
  <si>
    <t>16.4508 &lt; price &lt; 23.1887</t>
  </si>
  <si>
    <t>16.6146 &lt; price &lt; 20.8899</t>
  </si>
  <si>
    <t>17.1752 &lt; price &lt; 20.0033</t>
  </si>
  <si>
    <t>16.5718 &lt; price &lt; 18.8582</t>
  </si>
  <si>
    <t>17.5816 &lt; price &lt; 18.8029</t>
  </si>
  <si>
    <t>16.9557 &lt; price &lt; 18.8668</t>
  </si>
  <si>
    <t>17.5588 &lt; price &lt; 18.4197</t>
  </si>
  <si>
    <t>17.6266 &lt; price &lt; 18.3284</t>
  </si>
  <si>
    <t>17.9152 &lt; price &lt; 18.5269</t>
  </si>
  <si>
    <t>17.7256 &lt; price &lt; 18.1116</t>
  </si>
  <si>
    <t>17.8375 &lt; price &lt; 18.1097</t>
  </si>
  <si>
    <t>17.9997 &lt; price &lt; 18.2225</t>
  </si>
  <si>
    <t>18.0021 &lt; price &lt; 18.1944</t>
  </si>
  <si>
    <t>4.61979 &lt; price &lt; 23.5832</t>
  </si>
  <si>
    <t>11.5928 &lt; price &lt; 22.1391</t>
  </si>
  <si>
    <t>17.0406 &lt; price &lt; 26.3028</t>
  </si>
  <si>
    <t>15.3149 &lt; price &lt; 22.0286</t>
  </si>
  <si>
    <t>15.1071 &lt; price &lt; 21.1113</t>
  </si>
  <si>
    <t>16.3039 &lt; price &lt; 20.0001</t>
  </si>
  <si>
    <t>18.7619 &lt; price &lt; 21.426</t>
  </si>
  <si>
    <t>15.7487 &lt; price &lt; 17.7551</t>
  </si>
  <si>
    <t>17.5729 &lt; price &lt; 19.4843</t>
  </si>
  <si>
    <t>17.5351 &lt; price &lt; 18.7201</t>
  </si>
  <si>
    <t>17.6915 &lt; price &lt; 18.5431</t>
  </si>
  <si>
    <t>18.0528 &lt; price &lt; 18.7606</t>
  </si>
  <si>
    <t>17.9289 &lt; price &lt; 18.5486</t>
  </si>
  <si>
    <t>17.7869 &lt; price &lt; 18.1745</t>
  </si>
  <si>
    <t>17.9001 &lt; price &lt; 18.1732</t>
  </si>
  <si>
    <t>17.9512 &lt; price &lt; 18.1738</t>
  </si>
  <si>
    <t>17.9776 &lt; price &lt; 18.1703</t>
  </si>
  <si>
    <t>6.05594 &lt; price &lt; 17.506</t>
  </si>
  <si>
    <t>9.7287 &lt; price &lt; 18.8624</t>
  </si>
  <si>
    <t>7.18089 &lt; price &lt; 12.8195</t>
  </si>
  <si>
    <t>10.6597 &lt; price &lt; 16.0509</t>
  </si>
  <si>
    <t>8.90032 &lt; price &lt; 13.4767</t>
  </si>
  <si>
    <t>10.9563 &lt; price &lt; 13.6252</t>
  </si>
  <si>
    <t>11.9254 &lt; price &lt; 14.0178</t>
  </si>
  <si>
    <t>12.2091 &lt; price &lt; 13.9974</t>
  </si>
  <si>
    <t>11.7694 &lt; price &lt; 13.1167</t>
  </si>
  <si>
    <t>12.2954 &lt; price &lt; 13.189</t>
  </si>
  <si>
    <t>12.3221 &lt; price &lt; 12.9506</t>
  </si>
  <si>
    <t>12.4493 &lt; price &lt; 12.9745</t>
  </si>
  <si>
    <t>12.5572 &lt; price &lt; 13.0134</t>
  </si>
  <si>
    <t>12.5575 &lt; price &lt; 12.8463</t>
  </si>
  <si>
    <t>12.5648 &lt; price &lt; 12.7672</t>
  </si>
  <si>
    <t>12.6402 &lt; price &lt; 12.8062</t>
  </si>
  <si>
    <t>12.6403 &lt; price &lt; 12.783</t>
  </si>
  <si>
    <t>N/A</t>
  </si>
  <si>
    <t>"Std. Dev. of jump size" Delta (b)</t>
  </si>
  <si>
    <t>95% CI</t>
  </si>
  <si>
    <t>Radius of CI</t>
  </si>
  <si>
    <t>elapsed time (seconds)</t>
  </si>
  <si>
    <t>CLOSED FORM SOLUTION / MC ESTIMATE</t>
  </si>
  <si>
    <t>95% CONFIDENCE INTERVAL</t>
  </si>
  <si>
    <t>RADIUS OF CONFIDENCE INTERVAL</t>
  </si>
  <si>
    <t>ELAPSED TIME (SECONDS)</t>
  </si>
  <si>
    <t>LN(N Iter)</t>
  </si>
  <si>
    <t>CF Solution</t>
  </si>
  <si>
    <t>MC Estimate</t>
  </si>
  <si>
    <t>LN(|absolute error|)</t>
  </si>
  <si>
    <t>LN(radius)</t>
  </si>
  <si>
    <t>MC estimate</t>
  </si>
  <si>
    <t>Code</t>
  </si>
  <si>
    <t>6,80025023326506 &lt; price &lt; 24,3228755043001</t>
  </si>
  <si>
    <t>17,8977423787876 &lt; price &lt; 27,9240189764935</t>
  </si>
  <si>
    <t>13,0861141429138 &lt; price &lt; 21,1142749645468</t>
  </si>
  <si>
    <t>17,5678399771691 &lt; price &lt; 23,6470825895827</t>
  </si>
  <si>
    <t>16,3377276529717 &lt; price &lt; 20,1072105646774</t>
  </si>
  <si>
    <t>Some graphical representations…</t>
  </si>
  <si>
    <r>
      <t>Stock price at time 0 (S</t>
    </r>
    <r>
      <rPr>
        <b/>
        <sz val="16"/>
        <color theme="1"/>
        <rFont val="Calibri"/>
        <family val="2"/>
        <scheme val="minor"/>
      </rPr>
      <t>0</t>
    </r>
    <r>
      <rPr>
        <b/>
        <sz val="20"/>
        <color theme="1"/>
        <rFont val="Calibri"/>
        <family val="2"/>
        <scheme val="minor"/>
      </rPr>
      <t>)</t>
    </r>
  </si>
  <si>
    <t>9,53888944005097 &lt; price &lt; 34,505585980863</t>
  </si>
  <si>
    <t>9,74798876349424 &lt; price &lt; 31,8826114048077</t>
  </si>
  <si>
    <t>9,68151867469457 &lt; price &lt; 20,4895628413514</t>
  </si>
  <si>
    <t>22-Dec-17</t>
  </si>
  <si>
    <t>21-Dec-17</t>
  </si>
  <si>
    <t>20-Dec-17</t>
  </si>
  <si>
    <t>RISK-FREE RATE (US 10-YEAR TREASURY NOTE)</t>
  </si>
  <si>
    <t>INSTRUCTIONS</t>
  </si>
  <si>
    <t>CONFIGURE THE DOT (.) AS DECIMAL SEPARATOR</t>
  </si>
  <si>
    <t>YOU MUST HAVE THE "ANALYSIS TOOLPACK-VBA" ADD-IN INSTALLED AND ACTIVATED IN YOUR EXCEL SOFTWARE</t>
  </si>
  <si>
    <t>THE FUNCTIONS "STDEV.S", "NORM.S.DIST", "NORM.INV" AND "NORM.S.INV" ARE ONLY AVAILABLE FOR THE FOLLOWING VERSIONS OF EXCEL: Excel 2016, Excel 2013, Excel 2010, Excel 2016 for Mac, Excel 2011 for Mac</t>
  </si>
  <si>
    <t>Comparison between Closed formulas and Monte Carlo 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</si>
</sst>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43" fontId="14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0" xfId="0" applyNumberFormat="1"/>
    <xf numFmtId="0" fontId="5" fillId="0" borderId="0" xfId="0" applyFont="1" applyAlignment="1">
      <alignment horizontal="right"/>
    </xf>
    <xf numFmtId="0" fontId="5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0" fontId="3" fillId="0" borderId="0" xfId="0" applyNumberFormat="1" applyFont="1" applyAlignment="1">
      <alignment horizontal="center"/>
    </xf>
    <xf numFmtId="14" fontId="6" fillId="0" borderId="0" xfId="0" applyNumberFormat="1" applyFont="1"/>
    <xf numFmtId="0" fontId="6" fillId="0" borderId="0" xfId="0" applyFont="1"/>
    <xf numFmtId="0" fontId="3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 wrapText="1"/>
    </xf>
    <xf numFmtId="0" fontId="13" fillId="0" borderId="0" xfId="1" applyAlignment="1">
      <alignment vertical="center" wrapText="1"/>
    </xf>
    <xf numFmtId="10" fontId="0" fillId="0" borderId="0" xfId="0" applyNumberFormat="1"/>
    <xf numFmtId="10" fontId="12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15" fontId="0" fillId="0" borderId="0" xfId="0" applyNumberFormat="1"/>
    <xf numFmtId="0" fontId="12" fillId="2" borderId="0" xfId="0" applyFont="1" applyFill="1" applyAlignment="1">
      <alignment vertical="center" wrapText="1"/>
    </xf>
    <xf numFmtId="3" fontId="12" fillId="2" borderId="0" xfId="0" applyNumberFormat="1" applyFont="1" applyFill="1" applyAlignment="1">
      <alignment vertical="center" wrapText="1"/>
    </xf>
    <xf numFmtId="0" fontId="13" fillId="2" borderId="0" xfId="1" applyFill="1" applyAlignment="1">
      <alignment vertical="center" wrapText="1"/>
    </xf>
    <xf numFmtId="165" fontId="0" fillId="0" borderId="0" xfId="2" applyNumberFormat="1" applyFont="1" applyAlignment="1">
      <alignment horizontal="center"/>
    </xf>
    <xf numFmtId="0" fontId="0" fillId="0" borderId="4" xfId="0" applyBorder="1"/>
    <xf numFmtId="0" fontId="8" fillId="0" borderId="5" xfId="0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0" fontId="0" fillId="0" borderId="6" xfId="0" applyBorder="1"/>
    <xf numFmtId="2" fontId="8" fillId="0" borderId="0" xfId="0" applyNumberFormat="1" applyFont="1" applyBorder="1"/>
    <xf numFmtId="0" fontId="8" fillId="0" borderId="0" xfId="0" applyFont="1" applyBorder="1"/>
    <xf numFmtId="10" fontId="8" fillId="0" borderId="0" xfId="0" applyNumberFormat="1" applyFont="1" applyBorder="1"/>
    <xf numFmtId="0" fontId="0" fillId="0" borderId="5" xfId="0" applyBorder="1"/>
    <xf numFmtId="0" fontId="0" fillId="0" borderId="0" xfId="0" applyBorder="1"/>
    <xf numFmtId="164" fontId="8" fillId="0" borderId="0" xfId="0" applyNumberFormat="1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7" fillId="0" borderId="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10" fillId="0" borderId="11" xfId="0" applyFont="1" applyBorder="1" applyAlignment="1">
      <alignment horizontal="center"/>
    </xf>
    <xf numFmtId="0" fontId="0" fillId="0" borderId="12" xfId="0" applyBorder="1"/>
    <xf numFmtId="0" fontId="10" fillId="0" borderId="11" xfId="0" applyFont="1" applyBorder="1"/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/>
    <xf numFmtId="0" fontId="0" fillId="0" borderId="15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0" fillId="0" borderId="2" xfId="0" applyBorder="1"/>
    <xf numFmtId="0" fontId="0" fillId="0" borderId="10" xfId="0" applyBorder="1"/>
    <xf numFmtId="0" fontId="8" fillId="0" borderId="1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/>
    <xf numFmtId="0" fontId="8" fillId="0" borderId="6" xfId="0" applyFont="1" applyBorder="1" applyAlignment="1"/>
    <xf numFmtId="14" fontId="0" fillId="0" borderId="0" xfId="0" applyNumberFormat="1"/>
    <xf numFmtId="0" fontId="0" fillId="0" borderId="0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16" fillId="0" borderId="0" xfId="0" applyFont="1" applyAlignment="1">
      <alignment vertical="center"/>
    </xf>
    <xf numFmtId="0" fontId="17" fillId="0" borderId="0" xfId="0" applyFont="1"/>
    <xf numFmtId="0" fontId="15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vertical="center"/>
    </xf>
    <xf numFmtId="0" fontId="16" fillId="0" borderId="6" xfId="0" applyFont="1" applyBorder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GBM Price Convergence (1/2)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Analytical Solution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MC'!$A$24:$A$40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'STD GBM MC'!$C$24:$C$40</c:f>
              <c:numCache>
                <c:formatCode>General</c:formatCode>
                <c:ptCount val="17"/>
                <c:pt idx="0">
                  <c:v>18.042456679663324</c:v>
                </c:pt>
                <c:pt idx="1">
                  <c:v>18.042456679663324</c:v>
                </c:pt>
                <c:pt idx="2">
                  <c:v>18.042456679663324</c:v>
                </c:pt>
                <c:pt idx="3">
                  <c:v>18.042456679663324</c:v>
                </c:pt>
                <c:pt idx="4">
                  <c:v>18.042456679663324</c:v>
                </c:pt>
                <c:pt idx="5">
                  <c:v>18.042456679663324</c:v>
                </c:pt>
                <c:pt idx="6">
                  <c:v>18.042456679663324</c:v>
                </c:pt>
                <c:pt idx="7">
                  <c:v>18.042456679663324</c:v>
                </c:pt>
                <c:pt idx="8">
                  <c:v>18.042456679663324</c:v>
                </c:pt>
                <c:pt idx="9">
                  <c:v>18.042456679663324</c:v>
                </c:pt>
                <c:pt idx="10">
                  <c:v>18.042456679663324</c:v>
                </c:pt>
                <c:pt idx="11">
                  <c:v>18.042456679663324</c:v>
                </c:pt>
                <c:pt idx="12">
                  <c:v>18.042456679663324</c:v>
                </c:pt>
                <c:pt idx="13">
                  <c:v>18.042456679663324</c:v>
                </c:pt>
                <c:pt idx="14">
                  <c:v>18.042456679663324</c:v>
                </c:pt>
                <c:pt idx="15">
                  <c:v>18.042456679663324</c:v>
                </c:pt>
                <c:pt idx="16">
                  <c:v>18.042456679663324</c:v>
                </c:pt>
              </c:numCache>
            </c:numRef>
          </c:val>
          <c:smooth val="0"/>
        </c:ser>
        <c:ser>
          <c:idx val="1"/>
          <c:order val="1"/>
          <c:tx>
            <c:v>MC estimate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MC'!$A$24:$A$40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'STD GBM MC'!$D$24:$D$40</c:f>
              <c:numCache>
                <c:formatCode>General</c:formatCode>
                <c:ptCount val="17"/>
                <c:pt idx="0">
                  <c:v>18.6751</c:v>
                </c:pt>
                <c:pt idx="1">
                  <c:v>22.2849</c:v>
                </c:pt>
                <c:pt idx="2">
                  <c:v>18.883700000000001</c:v>
                </c:pt>
                <c:pt idx="3">
                  <c:v>14.731299999999999</c:v>
                </c:pt>
                <c:pt idx="4">
                  <c:v>19.819700000000001</c:v>
                </c:pt>
                <c:pt idx="5">
                  <c:v>18.752300000000002</c:v>
                </c:pt>
                <c:pt idx="6">
                  <c:v>18.589200000000002</c:v>
                </c:pt>
                <c:pt idx="7">
                  <c:v>17.715</c:v>
                </c:pt>
                <c:pt idx="8">
                  <c:v>17.911300000000001</c:v>
                </c:pt>
                <c:pt idx="9">
                  <c:v>18.1922</c:v>
                </c:pt>
                <c:pt idx="10">
                  <c:v>17.9892</c:v>
                </c:pt>
                <c:pt idx="11">
                  <c:v>17.977499999999999</c:v>
                </c:pt>
                <c:pt idx="12">
                  <c:v>18.221</c:v>
                </c:pt>
                <c:pt idx="13">
                  <c:v>17.918600000000001</c:v>
                </c:pt>
                <c:pt idx="14">
                  <c:v>17.973600000000001</c:v>
                </c:pt>
                <c:pt idx="15">
                  <c:v>18.1111</c:v>
                </c:pt>
                <c:pt idx="16">
                  <c:v>18.098199999999999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92440"/>
        <c:axId val="729292832"/>
      </c:lineChart>
      <c:catAx>
        <c:axId val="729292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92832"/>
        <c:crosses val="autoZero"/>
        <c:auto val="1"/>
        <c:lblAlgn val="ctr"/>
        <c:lblOffset val="100"/>
        <c:noMultiLvlLbl val="0"/>
      </c:catAx>
      <c:valAx>
        <c:axId val="729292832"/>
        <c:scaling>
          <c:orientation val="minMax"/>
          <c:max val="22.5"/>
          <c:min val="14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924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GBM Price Convergence (2/2)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ln( |absolute error| 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MC'!$B$24:$B$40</c:f>
              <c:numCache>
                <c:formatCode>0.00</c:formatCode>
                <c:ptCount val="17"/>
                <c:pt idx="0">
                  <c:v>2.3025850929940459</c:v>
                </c:pt>
                <c:pt idx="1">
                  <c:v>3.2188758248682006</c:v>
                </c:pt>
                <c:pt idx="2">
                  <c:v>3.912023005428146</c:v>
                </c:pt>
                <c:pt idx="3">
                  <c:v>4.3174881135363101</c:v>
                </c:pt>
                <c:pt idx="4">
                  <c:v>4.6051701859880918</c:v>
                </c:pt>
                <c:pt idx="5">
                  <c:v>5.521460917862246</c:v>
                </c:pt>
                <c:pt idx="6">
                  <c:v>6.2146080984221914</c:v>
                </c:pt>
                <c:pt idx="7">
                  <c:v>6.620073206530356</c:v>
                </c:pt>
                <c:pt idx="8">
                  <c:v>6.9077552789821368</c:v>
                </c:pt>
                <c:pt idx="9">
                  <c:v>7.8240460108562919</c:v>
                </c:pt>
                <c:pt idx="10">
                  <c:v>8.5171931914162382</c:v>
                </c:pt>
                <c:pt idx="11">
                  <c:v>8.9226582995244019</c:v>
                </c:pt>
                <c:pt idx="12">
                  <c:v>9.2103403719761836</c:v>
                </c:pt>
                <c:pt idx="13">
                  <c:v>10.126631103850338</c:v>
                </c:pt>
                <c:pt idx="14">
                  <c:v>10.819778284410283</c:v>
                </c:pt>
                <c:pt idx="15">
                  <c:v>11.225243392518447</c:v>
                </c:pt>
                <c:pt idx="16">
                  <c:v>11.512925464970229</c:v>
                </c:pt>
              </c:numCache>
            </c:numRef>
          </c:cat>
          <c:val>
            <c:numRef>
              <c:f>'STD GBM MC'!$F$24:$F$40</c:f>
              <c:numCache>
                <c:formatCode>General</c:formatCode>
                <c:ptCount val="17"/>
                <c:pt idx="0">
                  <c:v>-0.45784849063120298</c:v>
                </c:pt>
                <c:pt idx="1">
                  <c:v>1.4451393580692151</c:v>
                </c:pt>
                <c:pt idx="2">
                  <c:v>-0.17287433821914869</c:v>
                </c:pt>
                <c:pt idx="3">
                  <c:v>1.1972975783948667</c:v>
                </c:pt>
                <c:pt idx="4">
                  <c:v>0.57506346739399028</c:v>
                </c:pt>
                <c:pt idx="5">
                  <c:v>-0.34271100888135947</c:v>
                </c:pt>
                <c:pt idx="6">
                  <c:v>-0.60377583653385747</c:v>
                </c:pt>
                <c:pt idx="7">
                  <c:v>-1.1163995084932277</c:v>
                </c:pt>
                <c:pt idx="8">
                  <c:v>-2.0313626424883404</c:v>
                </c:pt>
                <c:pt idx="9">
                  <c:v>-1.8988326484126463</c:v>
                </c:pt>
                <c:pt idx="10">
                  <c:v>-2.9326320425726657</c:v>
                </c:pt>
                <c:pt idx="11">
                  <c:v>-2.734034697992243</c:v>
                </c:pt>
                <c:pt idx="12">
                  <c:v>-1.7229240162453621</c:v>
                </c:pt>
                <c:pt idx="13">
                  <c:v>-2.0886301910063922</c:v>
                </c:pt>
                <c:pt idx="14">
                  <c:v>-2.6757280408906738</c:v>
                </c:pt>
                <c:pt idx="15">
                  <c:v>-2.678831451769053</c:v>
                </c:pt>
                <c:pt idx="16">
                  <c:v>-2.8869976904090544</c:v>
                </c:pt>
              </c:numCache>
            </c:numRef>
          </c:val>
          <c:smooth val="0"/>
        </c:ser>
        <c:ser>
          <c:idx val="1"/>
          <c:order val="1"/>
          <c:tx>
            <c:v>ln(Radius of CI)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MC'!$B$24:$B$40</c:f>
              <c:numCache>
                <c:formatCode>0.00</c:formatCode>
                <c:ptCount val="17"/>
                <c:pt idx="0">
                  <c:v>2.3025850929940459</c:v>
                </c:pt>
                <c:pt idx="1">
                  <c:v>3.2188758248682006</c:v>
                </c:pt>
                <c:pt idx="2">
                  <c:v>3.912023005428146</c:v>
                </c:pt>
                <c:pt idx="3">
                  <c:v>4.3174881135363101</c:v>
                </c:pt>
                <c:pt idx="4">
                  <c:v>4.6051701859880918</c:v>
                </c:pt>
                <c:pt idx="5">
                  <c:v>5.521460917862246</c:v>
                </c:pt>
                <c:pt idx="6">
                  <c:v>6.2146080984221914</c:v>
                </c:pt>
                <c:pt idx="7">
                  <c:v>6.620073206530356</c:v>
                </c:pt>
                <c:pt idx="8">
                  <c:v>6.9077552789821368</c:v>
                </c:pt>
                <c:pt idx="9">
                  <c:v>7.8240460108562919</c:v>
                </c:pt>
                <c:pt idx="10">
                  <c:v>8.5171931914162382</c:v>
                </c:pt>
                <c:pt idx="11">
                  <c:v>8.9226582995244019</c:v>
                </c:pt>
                <c:pt idx="12">
                  <c:v>9.2103403719761836</c:v>
                </c:pt>
                <c:pt idx="13">
                  <c:v>10.126631103850338</c:v>
                </c:pt>
                <c:pt idx="14">
                  <c:v>10.819778284410283</c:v>
                </c:pt>
                <c:pt idx="15">
                  <c:v>11.225243392518447</c:v>
                </c:pt>
                <c:pt idx="16">
                  <c:v>11.512925464970229</c:v>
                </c:pt>
              </c:numCache>
            </c:numRef>
          </c:cat>
          <c:val>
            <c:numRef>
              <c:f>'STD GBM MC'!$H$24:$H$40</c:f>
              <c:numCache>
                <c:formatCode>General</c:formatCode>
                <c:ptCount val="17"/>
                <c:pt idx="0">
                  <c:v>2.7825699932083583</c:v>
                </c:pt>
                <c:pt idx="1">
                  <c:v>1.6797938545180928</c:v>
                </c:pt>
                <c:pt idx="2">
                  <c:v>1.3045635627560046</c:v>
                </c:pt>
                <c:pt idx="3">
                  <c:v>1.0982889030512837</c:v>
                </c:pt>
                <c:pt idx="4">
                  <c:v>1.2145951865297204</c:v>
                </c:pt>
                <c:pt idx="5">
                  <c:v>0.75971177282854174</c:v>
                </c:pt>
                <c:pt idx="6">
                  <c:v>0.34647914296023807</c:v>
                </c:pt>
                <c:pt idx="7">
                  <c:v>0.13384884223206367</c:v>
                </c:pt>
                <c:pt idx="8">
                  <c:v>-4.5432607077938385E-2</c:v>
                </c:pt>
                <c:pt idx="9">
                  <c:v>-0.49327061852010534</c:v>
                </c:pt>
                <c:pt idx="10">
                  <c:v>-0.84297056996144548</c:v>
                </c:pt>
                <c:pt idx="11">
                  <c:v>-1.0472454469852277</c:v>
                </c:pt>
                <c:pt idx="12">
                  <c:v>-1.1847062684134857</c:v>
                </c:pt>
                <c:pt idx="13">
                  <c:v>-1.6451220865201708</c:v>
                </c:pt>
                <c:pt idx="14">
                  <c:v>-1.9942772027486084</c:v>
                </c:pt>
                <c:pt idx="15">
                  <c:v>-2.1945561407819461</c:v>
                </c:pt>
                <c:pt idx="16">
                  <c:v>-2.3414257183898313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99888"/>
        <c:axId val="729300672"/>
      </c:lineChart>
      <c:catAx>
        <c:axId val="72929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ln(n)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>
                <a:alpha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00672"/>
        <c:crosses val="autoZero"/>
        <c:auto val="1"/>
        <c:lblAlgn val="ctr"/>
        <c:lblOffset val="100"/>
        <c:noMultiLvlLbl val="0"/>
      </c:catAx>
      <c:valAx>
        <c:axId val="72930067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9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Time elapsed after n iterations (Standard GBM MC)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VBA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MC'!$A$2:$A$16</c:f>
              <c:numCache>
                <c:formatCode>_-* #,##0_-;\-* #,##0_-;_-* "-"??_-;_-@_-</c:formatCode>
                <c:ptCount val="15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</c:numCache>
            </c:numRef>
          </c:cat>
          <c:val>
            <c:numRef>
              <c:f>'STD GBM MC'!$G$2:$G$16</c:f>
              <c:numCache>
                <c:formatCode>General</c:formatCode>
                <c:ptCount val="15"/>
                <c:pt idx="0">
                  <c:v>2.93E-2</c:v>
                </c:pt>
                <c:pt idx="1">
                  <c:v>5.7619999999999998E-2</c:v>
                </c:pt>
                <c:pt idx="2">
                  <c:v>9.0329999999999994E-2</c:v>
                </c:pt>
                <c:pt idx="3">
                  <c:v>0.13378999999999999</c:v>
                </c:pt>
                <c:pt idx="4">
                  <c:v>0.16406000000000001</c:v>
                </c:pt>
                <c:pt idx="5">
                  <c:v>0.39893000000000001</c:v>
                </c:pt>
                <c:pt idx="6">
                  <c:v>0.75780999999999998</c:v>
                </c:pt>
                <c:pt idx="7">
                  <c:v>1.12012</c:v>
                </c:pt>
                <c:pt idx="8">
                  <c:v>1.5122100000000001</c:v>
                </c:pt>
                <c:pt idx="9">
                  <c:v>3.93506</c:v>
                </c:pt>
                <c:pt idx="10">
                  <c:v>8.0493199999999998</c:v>
                </c:pt>
                <c:pt idx="11">
                  <c:v>11.31006</c:v>
                </c:pt>
                <c:pt idx="12">
                  <c:v>15.101559999999999</c:v>
                </c:pt>
                <c:pt idx="13">
                  <c:v>39.248049999999999</c:v>
                </c:pt>
                <c:pt idx="14">
                  <c:v>90.875979999999998</c:v>
                </c:pt>
              </c:numCache>
            </c:numRef>
          </c:val>
          <c:smooth val="0"/>
        </c:ser>
        <c:ser>
          <c:idx val="1"/>
          <c:order val="1"/>
          <c:tx>
            <c:v>C++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'STD GBM MC'!$A$2:$A$16</c:f>
              <c:numCache>
                <c:formatCode>_-* #,##0_-;\-* #,##0_-;_-* "-"??_-;_-@_-</c:formatCode>
                <c:ptCount val="15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</c:numCache>
            </c:numRef>
          </c:cat>
          <c:val>
            <c:numRef>
              <c:f>'STD GBM MC'!$P$2:$P$16</c:f>
              <c:numCache>
                <c:formatCode>General</c:formatCode>
                <c:ptCount val="15"/>
                <c:pt idx="0">
                  <c:v>8.6999999999999994E-2</c:v>
                </c:pt>
                <c:pt idx="1">
                  <c:v>0.121</c:v>
                </c:pt>
                <c:pt idx="2">
                  <c:v>0.23599999999999999</c:v>
                </c:pt>
                <c:pt idx="3">
                  <c:v>0.33900000000000002</c:v>
                </c:pt>
                <c:pt idx="4">
                  <c:v>0.44600000000000001</c:v>
                </c:pt>
                <c:pt idx="5">
                  <c:v>1.1359999999999999</c:v>
                </c:pt>
                <c:pt idx="6">
                  <c:v>2.3149999999999999</c:v>
                </c:pt>
                <c:pt idx="7">
                  <c:v>3.4169999999999998</c:v>
                </c:pt>
                <c:pt idx="8">
                  <c:v>4.4870000000000001</c:v>
                </c:pt>
                <c:pt idx="9">
                  <c:v>11.366</c:v>
                </c:pt>
                <c:pt idx="10">
                  <c:v>22.651</c:v>
                </c:pt>
                <c:pt idx="11">
                  <c:v>34.506999999999998</c:v>
                </c:pt>
                <c:pt idx="12">
                  <c:v>48.686</c:v>
                </c:pt>
                <c:pt idx="13">
                  <c:v>117.64700000000001</c:v>
                </c:pt>
                <c:pt idx="14">
                  <c:v>226.38499999999999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94008"/>
        <c:axId val="729306944"/>
      </c:lineChart>
      <c:catAx>
        <c:axId val="729294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06944"/>
        <c:crosses val="autoZero"/>
        <c:auto val="1"/>
        <c:lblAlgn val="ctr"/>
        <c:lblOffset val="100"/>
        <c:noMultiLvlLbl val="0"/>
      </c:catAx>
      <c:valAx>
        <c:axId val="729306944"/>
        <c:scaling>
          <c:orientation val="minMax"/>
          <c:max val="23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94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Jump-Diffusion Price Convergence (1/2)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Analytical Solution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MC'!$A$24:$A$40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'JD MC'!$C$24:$C$40</c:f>
              <c:numCache>
                <c:formatCode>General</c:formatCode>
                <c:ptCount val="17"/>
                <c:pt idx="0">
                  <c:v>18.048394597082769</c:v>
                </c:pt>
                <c:pt idx="1">
                  <c:v>18.048394597082769</c:v>
                </c:pt>
                <c:pt idx="2">
                  <c:v>18.048394597082769</c:v>
                </c:pt>
                <c:pt idx="3">
                  <c:v>18.048394597082769</c:v>
                </c:pt>
                <c:pt idx="4">
                  <c:v>18.048394597082769</c:v>
                </c:pt>
                <c:pt idx="5">
                  <c:v>18.048394597082769</c:v>
                </c:pt>
                <c:pt idx="6">
                  <c:v>18.048394597082769</c:v>
                </c:pt>
                <c:pt idx="7">
                  <c:v>18.048394597082769</c:v>
                </c:pt>
                <c:pt idx="8">
                  <c:v>18.048394597082769</c:v>
                </c:pt>
                <c:pt idx="9">
                  <c:v>18.048394597082769</c:v>
                </c:pt>
                <c:pt idx="10">
                  <c:v>18.048394597082769</c:v>
                </c:pt>
                <c:pt idx="11">
                  <c:v>18.048394597082769</c:v>
                </c:pt>
                <c:pt idx="12">
                  <c:v>18.048394597082769</c:v>
                </c:pt>
                <c:pt idx="13">
                  <c:v>18.048394597082769</c:v>
                </c:pt>
                <c:pt idx="14">
                  <c:v>18.048394597082769</c:v>
                </c:pt>
                <c:pt idx="15">
                  <c:v>18.048394597082769</c:v>
                </c:pt>
                <c:pt idx="16">
                  <c:v>18.048394597082769</c:v>
                </c:pt>
              </c:numCache>
            </c:numRef>
          </c:val>
          <c:smooth val="0"/>
        </c:ser>
        <c:ser>
          <c:idx val="1"/>
          <c:order val="1"/>
          <c:tx>
            <c:v>MC estimate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MC'!$A$24:$A$40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'JD MC'!$D$24:$D$40</c:f>
              <c:numCache>
                <c:formatCode>General</c:formatCode>
                <c:ptCount val="17"/>
                <c:pt idx="0">
                  <c:v>14.1015</c:v>
                </c:pt>
                <c:pt idx="1">
                  <c:v>16.866</c:v>
                </c:pt>
                <c:pt idx="2">
                  <c:v>21.671700000000001</c:v>
                </c:pt>
                <c:pt idx="3">
                  <c:v>18.671800000000001</c:v>
                </c:pt>
                <c:pt idx="4">
                  <c:v>18.109200000000001</c:v>
                </c:pt>
                <c:pt idx="5">
                  <c:v>18.152000000000001</c:v>
                </c:pt>
                <c:pt idx="6">
                  <c:v>20.094000000000001</c:v>
                </c:pt>
                <c:pt idx="7">
                  <c:v>16.751899999999999</c:v>
                </c:pt>
                <c:pt idx="8">
                  <c:v>18.528600000000001</c:v>
                </c:pt>
                <c:pt idx="9">
                  <c:v>18.127600000000001</c:v>
                </c:pt>
                <c:pt idx="10">
                  <c:v>18.1173</c:v>
                </c:pt>
                <c:pt idx="11">
                  <c:v>18.406700000000001</c:v>
                </c:pt>
                <c:pt idx="12">
                  <c:v>18.238700000000001</c:v>
                </c:pt>
                <c:pt idx="13">
                  <c:v>17.980699999999999</c:v>
                </c:pt>
                <c:pt idx="14">
                  <c:v>18.0366</c:v>
                </c:pt>
                <c:pt idx="15">
                  <c:v>18.0625</c:v>
                </c:pt>
                <c:pt idx="16">
                  <c:v>18.074000000000002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310472"/>
        <c:axId val="729309688"/>
      </c:lineChart>
      <c:catAx>
        <c:axId val="729310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09688"/>
        <c:crosses val="autoZero"/>
        <c:auto val="1"/>
        <c:lblAlgn val="ctr"/>
        <c:lblOffset val="100"/>
        <c:noMultiLvlLbl val="0"/>
      </c:catAx>
      <c:valAx>
        <c:axId val="729309688"/>
        <c:scaling>
          <c:orientation val="minMax"/>
          <c:max val="22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Jump-Diffusion Price Convergence (2/2)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ln( |absolute error| 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MC'!$B$24:$B$40</c:f>
              <c:numCache>
                <c:formatCode>0.00</c:formatCode>
                <c:ptCount val="17"/>
                <c:pt idx="0">
                  <c:v>2.3025850929940459</c:v>
                </c:pt>
                <c:pt idx="1">
                  <c:v>3.2188758248682006</c:v>
                </c:pt>
                <c:pt idx="2">
                  <c:v>3.912023005428146</c:v>
                </c:pt>
                <c:pt idx="3">
                  <c:v>4.3174881135363101</c:v>
                </c:pt>
                <c:pt idx="4">
                  <c:v>4.6051701859880918</c:v>
                </c:pt>
                <c:pt idx="5">
                  <c:v>5.521460917862246</c:v>
                </c:pt>
                <c:pt idx="6">
                  <c:v>6.2146080984221914</c:v>
                </c:pt>
                <c:pt idx="7">
                  <c:v>6.620073206530356</c:v>
                </c:pt>
                <c:pt idx="8">
                  <c:v>6.9077552789821368</c:v>
                </c:pt>
                <c:pt idx="9">
                  <c:v>7.8240460108562919</c:v>
                </c:pt>
                <c:pt idx="10">
                  <c:v>8.5171931914162382</c:v>
                </c:pt>
                <c:pt idx="11">
                  <c:v>8.9226582995244019</c:v>
                </c:pt>
                <c:pt idx="12">
                  <c:v>9.2103403719761836</c:v>
                </c:pt>
                <c:pt idx="13">
                  <c:v>10.126631103850338</c:v>
                </c:pt>
                <c:pt idx="14">
                  <c:v>10.819778284410283</c:v>
                </c:pt>
                <c:pt idx="15">
                  <c:v>11.225243392518447</c:v>
                </c:pt>
                <c:pt idx="16">
                  <c:v>11.512925464970229</c:v>
                </c:pt>
              </c:numCache>
            </c:numRef>
          </c:cat>
          <c:val>
            <c:numRef>
              <c:f>'JD MC'!$F$24:$F$40</c:f>
              <c:numCache>
                <c:formatCode>General</c:formatCode>
                <c:ptCount val="17"/>
                <c:pt idx="0">
                  <c:v>1.3729290917593457</c:v>
                </c:pt>
                <c:pt idx="1">
                  <c:v>0.16754170175174038</c:v>
                </c:pt>
                <c:pt idx="2">
                  <c:v>1.2873867039487934</c:v>
                </c:pt>
                <c:pt idx="3">
                  <c:v>-0.47255824483173803</c:v>
                </c:pt>
                <c:pt idx="4">
                  <c:v>-2.8000766301878994</c:v>
                </c:pt>
                <c:pt idx="5">
                  <c:v>-2.2671657988058742</c:v>
                </c:pt>
                <c:pt idx="6">
                  <c:v>0.71569378622973279</c:v>
                </c:pt>
                <c:pt idx="7">
                  <c:v>0.25966415867804138</c:v>
                </c:pt>
                <c:pt idx="8">
                  <c:v>-0.73354134386879333</c:v>
                </c:pt>
                <c:pt idx="9">
                  <c:v>-2.5357107638366241</c:v>
                </c:pt>
                <c:pt idx="10">
                  <c:v>-2.6750206872411528</c:v>
                </c:pt>
                <c:pt idx="11">
                  <c:v>-1.0263695754736404</c:v>
                </c:pt>
                <c:pt idx="12">
                  <c:v>-1.6591251135053868</c:v>
                </c:pt>
                <c:pt idx="13">
                  <c:v>-2.692748909002399</c:v>
                </c:pt>
                <c:pt idx="14">
                  <c:v>-4.440113726708586</c:v>
                </c:pt>
                <c:pt idx="15">
                  <c:v>-4.2611973693756582</c:v>
                </c:pt>
                <c:pt idx="16">
                  <c:v>-3.6649518983104481</c:v>
                </c:pt>
              </c:numCache>
            </c:numRef>
          </c:val>
          <c:smooth val="0"/>
        </c:ser>
        <c:ser>
          <c:idx val="1"/>
          <c:order val="1"/>
          <c:tx>
            <c:v>ln(Radius of CI)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MC'!$B$24:$B$40</c:f>
              <c:numCache>
                <c:formatCode>0.00</c:formatCode>
                <c:ptCount val="17"/>
                <c:pt idx="0">
                  <c:v>2.3025850929940459</c:v>
                </c:pt>
                <c:pt idx="1">
                  <c:v>3.2188758248682006</c:v>
                </c:pt>
                <c:pt idx="2">
                  <c:v>3.912023005428146</c:v>
                </c:pt>
                <c:pt idx="3">
                  <c:v>4.3174881135363101</c:v>
                </c:pt>
                <c:pt idx="4">
                  <c:v>4.6051701859880918</c:v>
                </c:pt>
                <c:pt idx="5">
                  <c:v>5.521460917862246</c:v>
                </c:pt>
                <c:pt idx="6">
                  <c:v>6.2146080984221914</c:v>
                </c:pt>
                <c:pt idx="7">
                  <c:v>6.620073206530356</c:v>
                </c:pt>
                <c:pt idx="8">
                  <c:v>6.9077552789821368</c:v>
                </c:pt>
                <c:pt idx="9">
                  <c:v>7.8240460108562919</c:v>
                </c:pt>
                <c:pt idx="10">
                  <c:v>8.5171931914162382</c:v>
                </c:pt>
                <c:pt idx="11">
                  <c:v>8.9226582995244019</c:v>
                </c:pt>
                <c:pt idx="12">
                  <c:v>9.2103403719761836</c:v>
                </c:pt>
                <c:pt idx="13">
                  <c:v>10.126631103850338</c:v>
                </c:pt>
                <c:pt idx="14">
                  <c:v>10.819778284410283</c:v>
                </c:pt>
                <c:pt idx="15">
                  <c:v>11.225243392518447</c:v>
                </c:pt>
                <c:pt idx="16">
                  <c:v>11.512925464970229</c:v>
                </c:pt>
              </c:numCache>
            </c:numRef>
          </c:cat>
          <c:val>
            <c:numRef>
              <c:f>'JD MC'!$H$24:$H$40</c:f>
              <c:numCache>
                <c:formatCode>General</c:formatCode>
                <c:ptCount val="17"/>
                <c:pt idx="0">
                  <c:v>2.24936573440882</c:v>
                </c:pt>
                <c:pt idx="1">
                  <c:v>1.6626335961310779</c:v>
                </c:pt>
                <c:pt idx="2">
                  <c:v>1.5327857835796597</c:v>
                </c:pt>
                <c:pt idx="3">
                  <c:v>1.2110149501092342</c:v>
                </c:pt>
                <c:pt idx="4">
                  <c:v>1.0993120437823831</c:v>
                </c:pt>
                <c:pt idx="5">
                  <c:v>0.61415808430957353</c:v>
                </c:pt>
                <c:pt idx="6">
                  <c:v>0.28674163037472422</c:v>
                </c:pt>
                <c:pt idx="7">
                  <c:v>3.1948908965192886E-3</c:v>
                </c:pt>
                <c:pt idx="8">
                  <c:v>-4.5264137912890655E-2</c:v>
                </c:pt>
                <c:pt idx="9">
                  <c:v>-0.52339765494078672</c:v>
                </c:pt>
                <c:pt idx="10">
                  <c:v>-0.85383014940655444</c:v>
                </c:pt>
                <c:pt idx="11">
                  <c:v>-1.0387098098871441</c:v>
                </c:pt>
                <c:pt idx="12">
                  <c:v>-1.1715443371065986</c:v>
                </c:pt>
                <c:pt idx="13">
                  <c:v>-1.6409234195800635</c:v>
                </c:pt>
                <c:pt idx="14">
                  <c:v>-1.991064431062423</c:v>
                </c:pt>
                <c:pt idx="15">
                  <c:v>-2.1957057313669495</c:v>
                </c:pt>
                <c:pt idx="16">
                  <c:v>-2.3399235786494135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311648"/>
        <c:axId val="729312040"/>
      </c:lineChart>
      <c:catAx>
        <c:axId val="72931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ln(n)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>
                <a:alpha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2040"/>
        <c:crosses val="autoZero"/>
        <c:auto val="1"/>
        <c:lblAlgn val="ctr"/>
        <c:lblOffset val="100"/>
        <c:noMultiLvlLbl val="0"/>
      </c:catAx>
      <c:valAx>
        <c:axId val="729312040"/>
        <c:scaling>
          <c:orientation val="minMax"/>
          <c:max val="2.5"/>
          <c:min val="-4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Time elapsed after n iterations (jump-diffusion</a:t>
            </a:r>
            <a:r>
              <a:rPr lang="en-US" baseline="0"/>
              <a:t> MC)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VBA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MC'!$A$2:$A$18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'JD MC'!$G$2:$G$7</c:f>
              <c:numCache>
                <c:formatCode>General</c:formatCode>
                <c:ptCount val="6"/>
                <c:pt idx="0">
                  <c:v>96.234380000000002</c:v>
                </c:pt>
                <c:pt idx="1">
                  <c:v>260.88281000000001</c:v>
                </c:pt>
                <c:pt idx="2">
                  <c:v>340.77343999999999</c:v>
                </c:pt>
                <c:pt idx="3">
                  <c:v>542.23828000000003</c:v>
                </c:pt>
                <c:pt idx="4">
                  <c:v>665.56641000000002</c:v>
                </c:pt>
                <c:pt idx="5">
                  <c:v>1606.7773400000001</c:v>
                </c:pt>
              </c:numCache>
            </c:numRef>
          </c:val>
          <c:smooth val="0"/>
        </c:ser>
        <c:ser>
          <c:idx val="1"/>
          <c:order val="1"/>
          <c:tx>
            <c:v>C++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'JD MC'!$A$2:$A$18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'JD MC'!$P$2:$P$18</c:f>
              <c:numCache>
                <c:formatCode>General</c:formatCode>
                <c:ptCount val="17"/>
                <c:pt idx="0">
                  <c:v>9.4E-2</c:v>
                </c:pt>
                <c:pt idx="1">
                  <c:v>0.219</c:v>
                </c:pt>
                <c:pt idx="2">
                  <c:v>0.42199999999999999</c:v>
                </c:pt>
                <c:pt idx="3">
                  <c:v>0.63500000000000001</c:v>
                </c:pt>
                <c:pt idx="4">
                  <c:v>0.84399999999999997</c:v>
                </c:pt>
                <c:pt idx="5">
                  <c:v>2.306</c:v>
                </c:pt>
                <c:pt idx="6">
                  <c:v>4.1619999999999999</c:v>
                </c:pt>
                <c:pt idx="7">
                  <c:v>6.2480000000000002</c:v>
                </c:pt>
                <c:pt idx="8">
                  <c:v>8.3460000000000001</c:v>
                </c:pt>
                <c:pt idx="9">
                  <c:v>22.492000000000001</c:v>
                </c:pt>
                <c:pt idx="10">
                  <c:v>41.764000000000003</c:v>
                </c:pt>
                <c:pt idx="11">
                  <c:v>62.566000000000003</c:v>
                </c:pt>
                <c:pt idx="12">
                  <c:v>93.503</c:v>
                </c:pt>
                <c:pt idx="13">
                  <c:v>219.078</c:v>
                </c:pt>
                <c:pt idx="14">
                  <c:v>425.43700000000001</c:v>
                </c:pt>
                <c:pt idx="15">
                  <c:v>643.01199999999994</c:v>
                </c:pt>
                <c:pt idx="16">
                  <c:v>837.33799999999997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313608"/>
        <c:axId val="729312824"/>
      </c:lineChart>
      <c:catAx>
        <c:axId val="729313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2824"/>
        <c:crosses val="autoZero"/>
        <c:auto val="1"/>
        <c:lblAlgn val="ctr"/>
        <c:lblOffset val="100"/>
        <c:noMultiLvlLbl val="0"/>
      </c:catAx>
      <c:valAx>
        <c:axId val="729312824"/>
        <c:scaling>
          <c:orientation val="minMax"/>
          <c:max val="161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Time elapsed after n iterations (MC for Lookback opt.)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VBA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'LB MC'!$A$2:$A$18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'LB MC'!$G$2:$G$15</c:f>
              <c:numCache>
                <c:formatCode>General</c:formatCode>
                <c:ptCount val="14"/>
                <c:pt idx="0">
                  <c:v>0.1875</c:v>
                </c:pt>
                <c:pt idx="1">
                  <c:v>0.58594000000000002</c:v>
                </c:pt>
                <c:pt idx="2">
                  <c:v>0.84399000000000002</c:v>
                </c:pt>
                <c:pt idx="3">
                  <c:v>1.28101</c:v>
                </c:pt>
                <c:pt idx="4">
                  <c:v>1.6610100000000001</c:v>
                </c:pt>
                <c:pt idx="5">
                  <c:v>4.1309800000000001</c:v>
                </c:pt>
                <c:pt idx="6">
                  <c:v>8.2288800000000002</c:v>
                </c:pt>
                <c:pt idx="7">
                  <c:v>12.30688</c:v>
                </c:pt>
                <c:pt idx="8">
                  <c:v>16.567869999999999</c:v>
                </c:pt>
                <c:pt idx="9">
                  <c:v>41.570070000000001</c:v>
                </c:pt>
                <c:pt idx="10">
                  <c:v>90.3125</c:v>
                </c:pt>
                <c:pt idx="11">
                  <c:v>134.46093999999999</c:v>
                </c:pt>
                <c:pt idx="12">
                  <c:v>166.5127</c:v>
                </c:pt>
                <c:pt idx="13">
                  <c:v>452.46190999999999</c:v>
                </c:pt>
              </c:numCache>
            </c:numRef>
          </c:val>
          <c:smooth val="0"/>
        </c:ser>
        <c:ser>
          <c:idx val="1"/>
          <c:order val="1"/>
          <c:tx>
            <c:v>C++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'LB MC'!$A$2:$A$18</c:f>
              <c:numCache>
                <c:formatCode>_-* #,##0_-;\-* #,##0_-;_-* "-"??_-;_-@_-</c:formatCode>
                <c:ptCount val="17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250</c:v>
                </c:pt>
                <c:pt idx="6">
                  <c:v>500</c:v>
                </c:pt>
                <c:pt idx="7">
                  <c:v>750</c:v>
                </c:pt>
                <c:pt idx="8">
                  <c:v>1000</c:v>
                </c:pt>
                <c:pt idx="9">
                  <c:v>2500</c:v>
                </c:pt>
                <c:pt idx="10">
                  <c:v>5000</c:v>
                </c:pt>
                <c:pt idx="11">
                  <c:v>7500</c:v>
                </c:pt>
                <c:pt idx="12">
                  <c:v>10000</c:v>
                </c:pt>
                <c:pt idx="13">
                  <c:v>25000</c:v>
                </c:pt>
                <c:pt idx="14">
                  <c:v>50000</c:v>
                </c:pt>
                <c:pt idx="15">
                  <c:v>75000</c:v>
                </c:pt>
                <c:pt idx="16">
                  <c:v>100000</c:v>
                </c:pt>
              </c:numCache>
            </c:numRef>
          </c:cat>
          <c:val>
            <c:numRef>
              <c:f>'LB MC'!$P$2:$P$18</c:f>
              <c:numCache>
                <c:formatCode>General</c:formatCode>
                <c:ptCount val="17"/>
                <c:pt idx="0">
                  <c:v>4.7E-2</c:v>
                </c:pt>
                <c:pt idx="1">
                  <c:v>0.11</c:v>
                </c:pt>
                <c:pt idx="2">
                  <c:v>0.214</c:v>
                </c:pt>
                <c:pt idx="3">
                  <c:v>0.318</c:v>
                </c:pt>
                <c:pt idx="4">
                  <c:v>0.42199999999999999</c:v>
                </c:pt>
                <c:pt idx="5">
                  <c:v>1.0629999999999999</c:v>
                </c:pt>
                <c:pt idx="6">
                  <c:v>2.1320000000000001</c:v>
                </c:pt>
                <c:pt idx="7">
                  <c:v>3.1850000000000001</c:v>
                </c:pt>
                <c:pt idx="8">
                  <c:v>4.2249999999999996</c:v>
                </c:pt>
                <c:pt idx="9">
                  <c:v>10.664999999999999</c:v>
                </c:pt>
                <c:pt idx="10">
                  <c:v>21.087</c:v>
                </c:pt>
                <c:pt idx="11">
                  <c:v>39.113999999999997</c:v>
                </c:pt>
                <c:pt idx="12">
                  <c:v>47.055999999999997</c:v>
                </c:pt>
                <c:pt idx="13">
                  <c:v>117.614</c:v>
                </c:pt>
                <c:pt idx="14">
                  <c:v>247.20400000000001</c:v>
                </c:pt>
                <c:pt idx="15">
                  <c:v>373.99200000000002</c:v>
                </c:pt>
                <c:pt idx="16">
                  <c:v>460.49700000000001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306552"/>
        <c:axId val="729310864"/>
      </c:lineChart>
      <c:catAx>
        <c:axId val="729306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0864"/>
        <c:crosses val="autoZero"/>
        <c:auto val="1"/>
        <c:lblAlgn val="ctr"/>
        <c:lblOffset val="100"/>
        <c:noMultiLvlLbl val="0"/>
      </c:catAx>
      <c:valAx>
        <c:axId val="729310864"/>
        <c:scaling>
          <c:orientation val="minMax"/>
          <c:max val="46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0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16" fmlaLink="$T$6" fmlaRange="$T$4:$T$5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3</xdr:row>
          <xdr:rowOff>9525</xdr:rowOff>
        </xdr:from>
        <xdr:to>
          <xdr:col>16</xdr:col>
          <xdr:colOff>28575</xdr:colOff>
          <xdr:row>4</xdr:row>
          <xdr:rowOff>9525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390525</xdr:colOff>
          <xdr:row>12</xdr:row>
          <xdr:rowOff>76200</xdr:rowOff>
        </xdr:from>
        <xdr:to>
          <xdr:col>14</xdr:col>
          <xdr:colOff>1562100</xdr:colOff>
          <xdr:row>16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Yahoo options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2238375</xdr:colOff>
          <xdr:row>12</xdr:row>
          <xdr:rowOff>66675</xdr:rowOff>
        </xdr:from>
        <xdr:to>
          <xdr:col>15</xdr:col>
          <xdr:colOff>457200</xdr:colOff>
          <xdr:row>16</xdr:row>
          <xdr:rowOff>28575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risk-free 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704850</xdr:colOff>
          <xdr:row>5</xdr:row>
          <xdr:rowOff>9525</xdr:rowOff>
        </xdr:from>
        <xdr:to>
          <xdr:col>13</xdr:col>
          <xdr:colOff>266700</xdr:colOff>
          <xdr:row>8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Google Finance historical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6</xdr:row>
          <xdr:rowOff>38100</xdr:rowOff>
        </xdr:from>
        <xdr:to>
          <xdr:col>7</xdr:col>
          <xdr:colOff>2333625</xdr:colOff>
          <xdr:row>7</xdr:row>
          <xdr:rowOff>238125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6</xdr:row>
          <xdr:rowOff>38100</xdr:rowOff>
        </xdr:from>
        <xdr:to>
          <xdr:col>5</xdr:col>
          <xdr:colOff>2200275</xdr:colOff>
          <xdr:row>7</xdr:row>
          <xdr:rowOff>238125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6</xdr:row>
          <xdr:rowOff>28575</xdr:rowOff>
        </xdr:from>
        <xdr:to>
          <xdr:col>9</xdr:col>
          <xdr:colOff>2295525</xdr:colOff>
          <xdr:row>7</xdr:row>
          <xdr:rowOff>228600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6</xdr:row>
          <xdr:rowOff>47625</xdr:rowOff>
        </xdr:from>
        <xdr:to>
          <xdr:col>13</xdr:col>
          <xdr:colOff>1914525</xdr:colOff>
          <xdr:row>7</xdr:row>
          <xdr:rowOff>247650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6</xdr:row>
          <xdr:rowOff>47625</xdr:rowOff>
        </xdr:from>
        <xdr:to>
          <xdr:col>18</xdr:col>
          <xdr:colOff>285750</xdr:colOff>
          <xdr:row>7</xdr:row>
          <xdr:rowOff>247650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6</xdr:row>
          <xdr:rowOff>38100</xdr:rowOff>
        </xdr:from>
        <xdr:to>
          <xdr:col>23</xdr:col>
          <xdr:colOff>2143125</xdr:colOff>
          <xdr:row>7</xdr:row>
          <xdr:rowOff>238125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43</xdr:row>
      <xdr:rowOff>147636</xdr:rowOff>
    </xdr:from>
    <xdr:to>
      <xdr:col>5</xdr:col>
      <xdr:colOff>1066800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43</xdr:row>
      <xdr:rowOff>152400</xdr:rowOff>
    </xdr:from>
    <xdr:to>
      <xdr:col>12</xdr:col>
      <xdr:colOff>742950</xdr:colOff>
      <xdr:row>63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1057275</xdr:colOff>
      <xdr:row>43</xdr:row>
      <xdr:rowOff>171450</xdr:rowOff>
    </xdr:from>
    <xdr:to>
      <xdr:col>18</xdr:col>
      <xdr:colOff>9525</xdr:colOff>
      <xdr:row>65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623886</xdr:colOff>
      <xdr:row>44</xdr:row>
      <xdr:rowOff>33336</xdr:rowOff>
    </xdr:from>
    <xdr:to>
      <xdr:col>5</xdr:col>
      <xdr:colOff>733424</xdr:colOff>
      <xdr:row>60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252411</xdr:colOff>
      <xdr:row>43</xdr:row>
      <xdr:rowOff>185737</xdr:rowOff>
    </xdr:from>
    <xdr:to>
      <xdr:col>12</xdr:col>
      <xdr:colOff>152399</xdr:colOff>
      <xdr:row>60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847724</xdr:colOff>
      <xdr:row>43</xdr:row>
      <xdr:rowOff>180975</xdr:rowOff>
    </xdr:from>
    <xdr:to>
      <xdr:col>17</xdr:col>
      <xdr:colOff>361950</xdr:colOff>
      <xdr:row>65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990599</xdr:colOff>
      <xdr:row>23</xdr:row>
      <xdr:rowOff>33336</xdr:rowOff>
    </xdr:from>
    <xdr:to>
      <xdr:col>15</xdr:col>
      <xdr:colOff>685800</xdr:colOff>
      <xdr:row>43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</xdr:row>
          <xdr:rowOff>19050</xdr:rowOff>
        </xdr:from>
        <xdr:to>
          <xdr:col>1</xdr:col>
          <xdr:colOff>2952750</xdr:colOff>
          <xdr:row>3</xdr:row>
          <xdr:rowOff>171450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Delta 3D!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1</xdr:row>
          <xdr:rowOff>9525</xdr:rowOff>
        </xdr:from>
        <xdr:to>
          <xdr:col>3</xdr:col>
          <xdr:colOff>2667000</xdr:colOff>
          <xdr:row>3</xdr:row>
          <xdr:rowOff>161925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Vega 3D!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</xdr:row>
          <xdr:rowOff>19050</xdr:rowOff>
        </xdr:from>
        <xdr:to>
          <xdr:col>5</xdr:col>
          <xdr:colOff>2352675</xdr:colOff>
          <xdr:row>3</xdr:row>
          <xdr:rowOff>171450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Price vs K vs 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19050</xdr:rowOff>
        </xdr:from>
        <xdr:to>
          <xdr:col>9</xdr:col>
          <xdr:colOff>1095375</xdr:colOff>
          <xdr:row>3</xdr:row>
          <xdr:rowOff>171450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Price vs Sigma vs T!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555829</xdr:colOff>
      <xdr:row>5</xdr:row>
      <xdr:rowOff>133351</xdr:rowOff>
    </xdr:from>
    <xdr:to>
      <xdr:col>5</xdr:col>
      <xdr:colOff>3453336</xdr:colOff>
      <xdr:row>18</xdr:row>
      <xdr:rowOff>180975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104" y="1181101"/>
          <a:ext cx="3859532" cy="2524124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323851</xdr:colOff>
      <xdr:row>5</xdr:row>
      <xdr:rowOff>131504</xdr:rowOff>
    </xdr:from>
    <xdr:to>
      <xdr:col>3</xdr:col>
      <xdr:colOff>3590927</xdr:colOff>
      <xdr:row>18</xdr:row>
      <xdr:rowOff>190340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7901" y="1179254"/>
          <a:ext cx="3876676" cy="2535336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5</xdr:row>
      <xdr:rowOff>133350</xdr:rowOff>
    </xdr:from>
    <xdr:to>
      <xdr:col>1</xdr:col>
      <xdr:colOff>4069083</xdr:colOff>
      <xdr:row>18</xdr:row>
      <xdr:rowOff>180975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67350" y="1181100"/>
          <a:ext cx="3859533" cy="2524125"/>
        </a:xfrm>
        <a:prstGeom prst="rect">
          <a:avLst/>
        </a:prstGeom>
      </xdr:spPr>
    </xdr:pic>
    <xdr:clientData/>
  </xdr:twoCellAnchor>
  <xdr:twoCellAnchor editAs="oneCell">
    <xdr:from>
      <xdr:col>6</xdr:col>
      <xdr:colOff>304801</xdr:colOff>
      <xdr:row>5</xdr:row>
      <xdr:rowOff>142875</xdr:rowOff>
    </xdr:from>
    <xdr:to>
      <xdr:col>9</xdr:col>
      <xdr:colOff>2138087</xdr:colOff>
      <xdr:row>18</xdr:row>
      <xdr:rowOff>185956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0851" y="1666875"/>
          <a:ext cx="3852586" cy="251958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0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uote/MSFT/options?strike=55&amp;straddle=true" TargetMode="External"/><Relationship Id="rId13" Type="http://schemas.openxmlformats.org/officeDocument/2006/relationships/hyperlink" Target="https://finance.yahoo.com/quote/MSFT/options?strike=70&amp;straddle=true" TargetMode="External"/><Relationship Id="rId18" Type="http://schemas.openxmlformats.org/officeDocument/2006/relationships/hyperlink" Target="https://finance.yahoo.com/quote/MSFT/options?strike=82.5&amp;straddle=true" TargetMode="External"/><Relationship Id="rId26" Type="http://schemas.openxmlformats.org/officeDocument/2006/relationships/hyperlink" Target="https://finance.yahoo.com/quote/MSFT/options?strike=110&amp;straddle=true" TargetMode="External"/><Relationship Id="rId3" Type="http://schemas.openxmlformats.org/officeDocument/2006/relationships/hyperlink" Target="https://finance.yahoo.com/quote/MSFT/options?strike=40&amp;straddle=true" TargetMode="External"/><Relationship Id="rId21" Type="http://schemas.openxmlformats.org/officeDocument/2006/relationships/hyperlink" Target="https://finance.yahoo.com/quote/MSFT/options?strike=90&amp;straddle=true" TargetMode="External"/><Relationship Id="rId34" Type="http://schemas.openxmlformats.org/officeDocument/2006/relationships/queryTable" Target="../queryTables/queryTable1.xml"/><Relationship Id="rId7" Type="http://schemas.openxmlformats.org/officeDocument/2006/relationships/hyperlink" Target="https://finance.yahoo.com/quote/MSFT/options?strike=50&amp;straddle=true" TargetMode="External"/><Relationship Id="rId12" Type="http://schemas.openxmlformats.org/officeDocument/2006/relationships/hyperlink" Target="https://finance.yahoo.com/quote/MSFT/options?strike=67.5&amp;straddle=true" TargetMode="External"/><Relationship Id="rId17" Type="http://schemas.openxmlformats.org/officeDocument/2006/relationships/hyperlink" Target="https://finance.yahoo.com/quote/MSFT/options?strike=80&amp;straddle=true" TargetMode="External"/><Relationship Id="rId25" Type="http://schemas.openxmlformats.org/officeDocument/2006/relationships/hyperlink" Target="https://finance.yahoo.com/quote/MSFT/options?strike=105&amp;straddle=true" TargetMode="External"/><Relationship Id="rId33" Type="http://schemas.openxmlformats.org/officeDocument/2006/relationships/ctrlProp" Target="../ctrlProps/ctrlProp3.xml"/><Relationship Id="rId2" Type="http://schemas.openxmlformats.org/officeDocument/2006/relationships/hyperlink" Target="https://finance.yahoo.com/quote/MSFT/options?strike=37.5&amp;straddle=true" TargetMode="External"/><Relationship Id="rId16" Type="http://schemas.openxmlformats.org/officeDocument/2006/relationships/hyperlink" Target="https://finance.yahoo.com/quote/MSFT/options?strike=77.5&amp;straddle=true" TargetMode="External"/><Relationship Id="rId20" Type="http://schemas.openxmlformats.org/officeDocument/2006/relationships/hyperlink" Target="https://finance.yahoo.com/quote/MSFT/options?strike=87.5&amp;straddle=true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finance.yahoo.com/quote/MSFT/options?strike=35&amp;straddle=true" TargetMode="External"/><Relationship Id="rId6" Type="http://schemas.openxmlformats.org/officeDocument/2006/relationships/hyperlink" Target="https://finance.yahoo.com/quote/MSFT/options?strike=47.5&amp;straddle=true" TargetMode="External"/><Relationship Id="rId11" Type="http://schemas.openxmlformats.org/officeDocument/2006/relationships/hyperlink" Target="https://finance.yahoo.com/quote/MSFT/options?strike=65&amp;straddle=true" TargetMode="External"/><Relationship Id="rId24" Type="http://schemas.openxmlformats.org/officeDocument/2006/relationships/hyperlink" Target="https://finance.yahoo.com/quote/MSFT/options?strike=100&amp;straddle=true" TargetMode="External"/><Relationship Id="rId32" Type="http://schemas.openxmlformats.org/officeDocument/2006/relationships/ctrlProp" Target="../ctrlProps/ctrlProp2.xml"/><Relationship Id="rId5" Type="http://schemas.openxmlformats.org/officeDocument/2006/relationships/hyperlink" Target="https://finance.yahoo.com/quote/MSFT/options?strike=45&amp;straddle=true" TargetMode="External"/><Relationship Id="rId15" Type="http://schemas.openxmlformats.org/officeDocument/2006/relationships/hyperlink" Target="https://finance.yahoo.com/quote/MSFT/options?strike=75&amp;straddle=true" TargetMode="External"/><Relationship Id="rId23" Type="http://schemas.openxmlformats.org/officeDocument/2006/relationships/hyperlink" Target="https://finance.yahoo.com/quote/MSFT/options?strike=95&amp;straddle=true" TargetMode="External"/><Relationship Id="rId28" Type="http://schemas.openxmlformats.org/officeDocument/2006/relationships/hyperlink" Target="https://finance.yahoo.com/quote/MSFT/options?strike=120&amp;straddle=true" TargetMode="External"/><Relationship Id="rId36" Type="http://schemas.openxmlformats.org/officeDocument/2006/relationships/queryTable" Target="../queryTables/queryTable3.xml"/><Relationship Id="rId10" Type="http://schemas.openxmlformats.org/officeDocument/2006/relationships/hyperlink" Target="https://finance.yahoo.com/quote/MSFT/options?strike=62.5&amp;straddle=true" TargetMode="External"/><Relationship Id="rId19" Type="http://schemas.openxmlformats.org/officeDocument/2006/relationships/hyperlink" Target="https://finance.yahoo.com/quote/MSFT/options?strike=85&amp;straddle=true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https://finance.yahoo.com/quote/MSFT/options?strike=42.5&amp;straddle=true" TargetMode="External"/><Relationship Id="rId9" Type="http://schemas.openxmlformats.org/officeDocument/2006/relationships/hyperlink" Target="https://finance.yahoo.com/quote/MSFT/options?strike=60&amp;straddle=true" TargetMode="External"/><Relationship Id="rId14" Type="http://schemas.openxmlformats.org/officeDocument/2006/relationships/hyperlink" Target="https://finance.yahoo.com/quote/MSFT/options?strike=72.5&amp;straddle=true" TargetMode="External"/><Relationship Id="rId22" Type="http://schemas.openxmlformats.org/officeDocument/2006/relationships/hyperlink" Target="https://finance.yahoo.com/quote/MSFT/options?strike=92.5&amp;straddle=true" TargetMode="External"/><Relationship Id="rId27" Type="http://schemas.openxmlformats.org/officeDocument/2006/relationships/hyperlink" Target="https://finance.yahoo.com/quote/MSFT/options?strike=115&amp;straddle=true" TargetMode="External"/><Relationship Id="rId30" Type="http://schemas.openxmlformats.org/officeDocument/2006/relationships/vmlDrawing" Target="../drawings/vmlDrawing1.vml"/><Relationship Id="rId35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ctrlProp" Target="../ctrlProps/ctrlProp4.xml"/><Relationship Id="rId7" Type="http://schemas.openxmlformats.org/officeDocument/2006/relationships/queryTable" Target="../queryTables/queryTable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30"/>
  <sheetViews>
    <sheetView tabSelected="1" workbookViewId="0">
      <selection sqref="A1:E1"/>
    </sheetView>
  </sheetViews>
  <sheetFormatPr defaultRowHeight="15" x14ac:dyDescent="0.25"/>
  <cols>
    <col min="1" max="1" width="11.140625" customWidth="1"/>
    <col min="2" max="2" width="8.85546875" customWidth="1"/>
    <col min="3" max="3" width="11.28515625" customWidth="1"/>
    <col min="4" max="4" width="8.42578125" bestFit="1" customWidth="1"/>
    <col min="5" max="5" width="15.140625" bestFit="1" customWidth="1"/>
    <col min="6" max="6" width="7" customWidth="1"/>
    <col min="7" max="7" width="11.140625" bestFit="1" customWidth="1"/>
    <col min="8" max="8" width="8.85546875" bestFit="1" customWidth="1"/>
    <col min="9" max="9" width="11.28515625" bestFit="1" customWidth="1"/>
    <col min="10" max="10" width="8.42578125" bestFit="1" customWidth="1"/>
    <col min="11" max="11" width="15.140625" bestFit="1" customWidth="1"/>
    <col min="15" max="15" width="53.42578125" bestFit="1" customWidth="1"/>
    <col min="16" max="16" width="17.7109375" customWidth="1"/>
    <col min="20" max="20" width="10.7109375" bestFit="1" customWidth="1"/>
  </cols>
  <sheetData>
    <row r="1" spans="1:20" ht="23.25" x14ac:dyDescent="0.25">
      <c r="A1" s="80" t="s">
        <v>1</v>
      </c>
      <c r="B1" s="80"/>
      <c r="C1" s="80"/>
      <c r="D1" s="80"/>
      <c r="E1" s="80"/>
      <c r="F1" s="1"/>
      <c r="G1" s="80" t="s">
        <v>2</v>
      </c>
      <c r="H1" s="80"/>
      <c r="I1" s="80"/>
      <c r="J1" s="80"/>
      <c r="K1" s="80"/>
    </row>
    <row r="2" spans="1:20" x14ac:dyDescent="0.25">
      <c r="A2" s="1" t="s">
        <v>27</v>
      </c>
      <c r="B2" s="1" t="s">
        <v>28</v>
      </c>
      <c r="C2" s="1" t="s">
        <v>29</v>
      </c>
      <c r="D2" s="1" t="s">
        <v>30</v>
      </c>
      <c r="E2" s="1" t="s">
        <v>31</v>
      </c>
      <c r="F2" s="1" t="s">
        <v>32</v>
      </c>
      <c r="G2" s="1" t="s">
        <v>27</v>
      </c>
      <c r="H2" s="1" t="s">
        <v>28</v>
      </c>
      <c r="I2" s="1" t="s">
        <v>29</v>
      </c>
      <c r="J2" s="1" t="s">
        <v>30</v>
      </c>
      <c r="K2" s="1" t="s">
        <v>31</v>
      </c>
    </row>
    <row r="3" spans="1:20" x14ac:dyDescent="0.25">
      <c r="A3" s="17" t="s">
        <v>33</v>
      </c>
      <c r="B3" s="17" t="s">
        <v>33</v>
      </c>
      <c r="C3" s="17" t="s">
        <v>33</v>
      </c>
      <c r="D3" s="17" t="s">
        <v>33</v>
      </c>
      <c r="E3" s="17" t="s">
        <v>33</v>
      </c>
      <c r="F3" s="18">
        <v>35</v>
      </c>
      <c r="G3" s="17">
        <v>0.11</v>
      </c>
      <c r="H3" s="17">
        <v>-0.01</v>
      </c>
      <c r="I3" s="20">
        <v>-8.3299999999999999E-2</v>
      </c>
      <c r="J3" s="17">
        <v>1</v>
      </c>
      <c r="K3" s="17">
        <v>557</v>
      </c>
    </row>
    <row r="4" spans="1:20" ht="18.75" x14ac:dyDescent="0.3">
      <c r="A4" s="17" t="s">
        <v>33</v>
      </c>
      <c r="B4" s="17" t="s">
        <v>33</v>
      </c>
      <c r="C4" s="17" t="s">
        <v>33</v>
      </c>
      <c r="D4" s="17" t="s">
        <v>33</v>
      </c>
      <c r="E4" s="17" t="s">
        <v>33</v>
      </c>
      <c r="F4" s="18">
        <v>37.5</v>
      </c>
      <c r="G4" s="17">
        <v>0.14000000000000001</v>
      </c>
      <c r="H4" s="17">
        <v>0.02</v>
      </c>
      <c r="I4" s="20">
        <v>0.16669999999999999</v>
      </c>
      <c r="J4" s="17">
        <v>1</v>
      </c>
      <c r="K4" s="17">
        <v>489</v>
      </c>
      <c r="O4" s="4" t="s">
        <v>3</v>
      </c>
      <c r="P4" s="8"/>
      <c r="Q4" s="12"/>
      <c r="T4" s="10">
        <v>43364</v>
      </c>
    </row>
    <row r="5" spans="1:20" ht="18.75" x14ac:dyDescent="0.3">
      <c r="A5" s="17">
        <v>30.41</v>
      </c>
      <c r="B5" s="17">
        <v>0</v>
      </c>
      <c r="C5" s="17" t="s">
        <v>33</v>
      </c>
      <c r="D5" s="17">
        <v>1</v>
      </c>
      <c r="E5" s="17">
        <v>0</v>
      </c>
      <c r="F5" s="18">
        <v>40</v>
      </c>
      <c r="G5" s="17">
        <v>0.17</v>
      </c>
      <c r="H5" s="17">
        <v>0.02</v>
      </c>
      <c r="I5" s="20">
        <v>0.1333</v>
      </c>
      <c r="J5" s="17">
        <v>1</v>
      </c>
      <c r="K5" s="17">
        <v>211</v>
      </c>
      <c r="O5" s="5"/>
      <c r="P5" s="2"/>
      <c r="Q5" s="2"/>
      <c r="T5" s="10">
        <v>43483</v>
      </c>
    </row>
    <row r="6" spans="1:20" ht="18.75" x14ac:dyDescent="0.3">
      <c r="A6" s="17" t="s">
        <v>33</v>
      </c>
      <c r="B6" s="17" t="s">
        <v>33</v>
      </c>
      <c r="C6" s="17" t="s">
        <v>33</v>
      </c>
      <c r="D6" s="17" t="s">
        <v>33</v>
      </c>
      <c r="E6" s="17" t="s">
        <v>33</v>
      </c>
      <c r="F6" s="18">
        <v>42.5</v>
      </c>
      <c r="G6" s="17">
        <v>0.12</v>
      </c>
      <c r="H6" s="17">
        <v>0</v>
      </c>
      <c r="I6" s="17" t="s">
        <v>33</v>
      </c>
      <c r="J6" s="17">
        <v>4</v>
      </c>
      <c r="K6" s="17">
        <v>11</v>
      </c>
      <c r="O6" s="4" t="s">
        <v>1018</v>
      </c>
      <c r="P6" s="9">
        <f>risk_free_rate!A2</f>
        <v>2.4680000000000001E-2</v>
      </c>
      <c r="Q6" s="12"/>
      <c r="T6" s="11">
        <v>1</v>
      </c>
    </row>
    <row r="7" spans="1:20" x14ac:dyDescent="0.25">
      <c r="A7" s="17" t="s">
        <v>33</v>
      </c>
      <c r="B7" s="17" t="s">
        <v>33</v>
      </c>
      <c r="C7" s="17" t="s">
        <v>33</v>
      </c>
      <c r="D7" s="17" t="s">
        <v>33</v>
      </c>
      <c r="E7" s="17" t="s">
        <v>33</v>
      </c>
      <c r="F7" s="18">
        <v>45</v>
      </c>
      <c r="G7" s="17">
        <v>0.14000000000000001</v>
      </c>
      <c r="H7" s="17">
        <v>0</v>
      </c>
      <c r="I7" s="17" t="s">
        <v>33</v>
      </c>
      <c r="J7" s="17">
        <v>1</v>
      </c>
      <c r="K7" s="17">
        <v>240</v>
      </c>
    </row>
    <row r="8" spans="1:20" ht="18.75" x14ac:dyDescent="0.3">
      <c r="A8" s="17" t="s">
        <v>33</v>
      </c>
      <c r="B8" s="17" t="s">
        <v>33</v>
      </c>
      <c r="C8" s="17" t="s">
        <v>33</v>
      </c>
      <c r="D8" s="17" t="s">
        <v>33</v>
      </c>
      <c r="E8" s="17" t="s">
        <v>33</v>
      </c>
      <c r="F8" s="18">
        <v>47.5</v>
      </c>
      <c r="G8" s="17">
        <v>0.26</v>
      </c>
      <c r="H8" s="17">
        <v>0.05</v>
      </c>
      <c r="I8" s="20">
        <v>0.23810000000000001</v>
      </c>
      <c r="J8" s="17">
        <v>54</v>
      </c>
      <c r="K8" s="17">
        <v>109</v>
      </c>
      <c r="O8" s="4" t="s">
        <v>0</v>
      </c>
      <c r="P8" s="8" t="s">
        <v>25</v>
      </c>
      <c r="Q8" s="12"/>
    </row>
    <row r="9" spans="1:20" x14ac:dyDescent="0.25">
      <c r="A9" s="17">
        <v>33.9</v>
      </c>
      <c r="B9" s="17">
        <v>0</v>
      </c>
      <c r="C9" s="17" t="s">
        <v>33</v>
      </c>
      <c r="D9" s="17">
        <v>1</v>
      </c>
      <c r="E9" s="17">
        <v>10</v>
      </c>
      <c r="F9" s="18">
        <v>50</v>
      </c>
      <c r="G9" s="17">
        <v>0.21</v>
      </c>
      <c r="H9" s="17">
        <v>0</v>
      </c>
      <c r="I9" s="17" t="s">
        <v>33</v>
      </c>
      <c r="J9" s="17">
        <v>50</v>
      </c>
      <c r="K9" s="17">
        <v>603</v>
      </c>
    </row>
    <row r="10" spans="1:20" x14ac:dyDescent="0.25">
      <c r="A10" s="17">
        <v>28.06</v>
      </c>
      <c r="B10" s="17">
        <v>-1.1599999999999999</v>
      </c>
      <c r="C10" s="20">
        <v>-3.9699999999999999E-2</v>
      </c>
      <c r="D10" s="17">
        <v>2</v>
      </c>
      <c r="E10" s="17">
        <v>30</v>
      </c>
      <c r="F10" s="18">
        <v>55</v>
      </c>
      <c r="G10" s="17">
        <v>0.33</v>
      </c>
      <c r="H10" s="17">
        <v>0</v>
      </c>
      <c r="I10" s="17" t="s">
        <v>33</v>
      </c>
      <c r="J10" s="17">
        <v>1</v>
      </c>
      <c r="K10" s="17">
        <v>611</v>
      </c>
    </row>
    <row r="11" spans="1:20" x14ac:dyDescent="0.25">
      <c r="A11" s="17">
        <v>25.59</v>
      </c>
      <c r="B11" s="17">
        <v>0</v>
      </c>
      <c r="C11" s="17" t="s">
        <v>33</v>
      </c>
      <c r="D11" s="17">
        <v>1</v>
      </c>
      <c r="E11" s="17">
        <v>94</v>
      </c>
      <c r="F11" s="18">
        <v>60</v>
      </c>
      <c r="G11" s="17">
        <v>0.45</v>
      </c>
      <c r="H11" s="17">
        <v>0</v>
      </c>
      <c r="I11" s="17" t="s">
        <v>33</v>
      </c>
      <c r="J11" s="17">
        <v>8</v>
      </c>
      <c r="K11" s="21">
        <v>3731</v>
      </c>
      <c r="P11" s="3"/>
    </row>
    <row r="12" spans="1:20" x14ac:dyDescent="0.25">
      <c r="A12" s="17">
        <v>22.09</v>
      </c>
      <c r="B12" s="17">
        <v>0.74</v>
      </c>
      <c r="C12" s="20">
        <v>3.4700000000000002E-2</v>
      </c>
      <c r="D12" s="17">
        <v>4</v>
      </c>
      <c r="E12" s="17">
        <v>62</v>
      </c>
      <c r="F12" s="18">
        <v>62.5</v>
      </c>
      <c r="G12" s="17">
        <v>0.59</v>
      </c>
      <c r="H12" s="17">
        <v>-0.15</v>
      </c>
      <c r="I12" s="20">
        <v>-0.20269999999999999</v>
      </c>
      <c r="J12" s="17">
        <v>41</v>
      </c>
      <c r="K12" s="21">
        <v>1901</v>
      </c>
    </row>
    <row r="13" spans="1:20" x14ac:dyDescent="0.25">
      <c r="A13" s="17">
        <v>18.05</v>
      </c>
      <c r="B13" s="17">
        <v>-0.95</v>
      </c>
      <c r="C13" s="20">
        <v>-0.05</v>
      </c>
      <c r="D13" s="17">
        <v>26</v>
      </c>
      <c r="E13" s="17">
        <v>264</v>
      </c>
      <c r="F13" s="18">
        <v>65</v>
      </c>
      <c r="G13" s="17">
        <v>0.81</v>
      </c>
      <c r="H13" s="17">
        <v>0</v>
      </c>
      <c r="I13" s="17" t="s">
        <v>33</v>
      </c>
      <c r="J13" s="17">
        <v>1</v>
      </c>
      <c r="K13" s="21">
        <v>4639</v>
      </c>
    </row>
    <row r="14" spans="1:20" x14ac:dyDescent="0.25">
      <c r="A14" s="17">
        <v>18.04</v>
      </c>
      <c r="B14" s="17">
        <v>2.04</v>
      </c>
      <c r="C14" s="20">
        <v>0.1275</v>
      </c>
      <c r="D14" s="17">
        <v>1</v>
      </c>
      <c r="E14" s="17">
        <v>76</v>
      </c>
      <c r="F14" s="18">
        <v>67.5</v>
      </c>
      <c r="G14" s="17">
        <v>1.07</v>
      </c>
      <c r="H14" s="17">
        <v>0</v>
      </c>
      <c r="I14" s="17" t="s">
        <v>33</v>
      </c>
      <c r="J14" s="17">
        <v>5</v>
      </c>
      <c r="K14" s="21">
        <v>1886</v>
      </c>
    </row>
    <row r="15" spans="1:20" x14ac:dyDescent="0.25">
      <c r="A15" s="23">
        <v>18.440000000000001</v>
      </c>
      <c r="B15" s="23">
        <v>0</v>
      </c>
      <c r="C15" s="23" t="s">
        <v>33</v>
      </c>
      <c r="D15" s="23">
        <v>39</v>
      </c>
      <c r="E15" s="24">
        <v>3242</v>
      </c>
      <c r="F15" s="25">
        <v>70</v>
      </c>
      <c r="G15" s="17">
        <v>1.38</v>
      </c>
      <c r="H15" s="17">
        <v>0</v>
      </c>
      <c r="I15" s="17" t="s">
        <v>33</v>
      </c>
      <c r="J15" s="17">
        <v>36</v>
      </c>
      <c r="K15" s="21">
        <v>1577</v>
      </c>
    </row>
    <row r="16" spans="1:20" x14ac:dyDescent="0.25">
      <c r="A16" s="17">
        <v>16.350000000000001</v>
      </c>
      <c r="B16" s="17">
        <v>0</v>
      </c>
      <c r="C16" s="17" t="s">
        <v>33</v>
      </c>
      <c r="D16" s="17">
        <v>39</v>
      </c>
      <c r="E16" s="17">
        <v>434</v>
      </c>
      <c r="F16" s="18">
        <v>72.5</v>
      </c>
      <c r="G16" s="17">
        <v>1.67</v>
      </c>
      <c r="H16" s="17">
        <v>0</v>
      </c>
      <c r="I16" s="17" t="s">
        <v>33</v>
      </c>
      <c r="J16" s="17">
        <v>24</v>
      </c>
      <c r="K16" s="21">
        <v>1551</v>
      </c>
    </row>
    <row r="17" spans="1:11" x14ac:dyDescent="0.25">
      <c r="A17" s="17">
        <v>13.78</v>
      </c>
      <c r="B17" s="17">
        <v>0</v>
      </c>
      <c r="C17" s="17" t="s">
        <v>33</v>
      </c>
      <c r="D17" s="17">
        <v>11</v>
      </c>
      <c r="E17" s="21">
        <v>2165</v>
      </c>
      <c r="F17" s="18">
        <v>75</v>
      </c>
      <c r="G17" s="17">
        <v>2.33</v>
      </c>
      <c r="H17" s="17">
        <v>0</v>
      </c>
      <c r="I17" s="17" t="s">
        <v>33</v>
      </c>
      <c r="J17" s="17">
        <v>2</v>
      </c>
      <c r="K17" s="21">
        <v>1123</v>
      </c>
    </row>
    <row r="18" spans="1:11" x14ac:dyDescent="0.25">
      <c r="A18" s="17">
        <v>11.19</v>
      </c>
      <c r="B18" s="17">
        <v>0</v>
      </c>
      <c r="C18" s="17" t="s">
        <v>33</v>
      </c>
      <c r="D18" s="17">
        <v>31</v>
      </c>
      <c r="E18" s="17">
        <v>818</v>
      </c>
      <c r="F18" s="18">
        <v>77.5</v>
      </c>
      <c r="G18" s="17">
        <v>2.71</v>
      </c>
      <c r="H18" s="17">
        <v>-0.54</v>
      </c>
      <c r="I18" s="20">
        <v>-0.16619999999999999</v>
      </c>
      <c r="J18" s="17">
        <v>110</v>
      </c>
      <c r="K18" s="21">
        <v>3753</v>
      </c>
    </row>
    <row r="19" spans="1:11" x14ac:dyDescent="0.25">
      <c r="A19" s="17">
        <v>9.6</v>
      </c>
      <c r="B19" s="17">
        <v>0</v>
      </c>
      <c r="C19" s="17" t="s">
        <v>33</v>
      </c>
      <c r="D19" s="17">
        <v>2</v>
      </c>
      <c r="E19" s="21">
        <v>1717</v>
      </c>
      <c r="F19" s="18">
        <v>80</v>
      </c>
      <c r="G19" s="17">
        <v>3.73</v>
      </c>
      <c r="H19" s="17">
        <v>0</v>
      </c>
      <c r="I19" s="17" t="s">
        <v>33</v>
      </c>
      <c r="J19" s="17">
        <v>6</v>
      </c>
      <c r="K19" s="17">
        <v>653</v>
      </c>
    </row>
    <row r="20" spans="1:11" x14ac:dyDescent="0.25">
      <c r="A20" s="17">
        <v>9.0299999999999994</v>
      </c>
      <c r="B20" s="17">
        <v>0</v>
      </c>
      <c r="C20" s="17" t="s">
        <v>33</v>
      </c>
      <c r="D20" s="17">
        <v>10</v>
      </c>
      <c r="E20" s="17">
        <v>757</v>
      </c>
      <c r="F20" s="18">
        <v>82.5</v>
      </c>
      <c r="G20" s="17">
        <v>4.71</v>
      </c>
      <c r="H20" s="17">
        <v>0</v>
      </c>
      <c r="I20" s="17" t="s">
        <v>33</v>
      </c>
      <c r="J20" s="17">
        <v>2</v>
      </c>
      <c r="K20" s="17">
        <v>436</v>
      </c>
    </row>
    <row r="21" spans="1:11" x14ac:dyDescent="0.25">
      <c r="A21" s="17">
        <v>6.7</v>
      </c>
      <c r="B21" s="17">
        <v>0</v>
      </c>
      <c r="C21" s="17" t="s">
        <v>33</v>
      </c>
      <c r="D21" s="17">
        <v>28</v>
      </c>
      <c r="E21" s="21">
        <v>3140</v>
      </c>
      <c r="F21" s="18">
        <v>85</v>
      </c>
      <c r="G21" s="17">
        <v>5.8</v>
      </c>
      <c r="H21" s="17">
        <v>0</v>
      </c>
      <c r="I21" s="17" t="s">
        <v>33</v>
      </c>
      <c r="J21" s="17">
        <v>28</v>
      </c>
      <c r="K21" s="17">
        <v>519</v>
      </c>
    </row>
    <row r="22" spans="1:11" x14ac:dyDescent="0.25">
      <c r="A22" s="17">
        <v>5.39</v>
      </c>
      <c r="B22" s="17">
        <v>0</v>
      </c>
      <c r="C22" s="17" t="s">
        <v>33</v>
      </c>
      <c r="D22" s="17">
        <v>24</v>
      </c>
      <c r="E22" s="17">
        <v>859</v>
      </c>
      <c r="F22" s="18">
        <v>87.5</v>
      </c>
      <c r="G22" s="17">
        <v>7.1</v>
      </c>
      <c r="H22" s="17">
        <v>0</v>
      </c>
      <c r="I22" s="17" t="s">
        <v>33</v>
      </c>
      <c r="J22" s="17">
        <v>21</v>
      </c>
      <c r="K22" s="17">
        <v>140</v>
      </c>
    </row>
    <row r="23" spans="1:11" x14ac:dyDescent="0.25">
      <c r="A23" s="17">
        <v>4.3499999999999996</v>
      </c>
      <c r="B23" s="17">
        <v>0</v>
      </c>
      <c r="C23" s="17" t="s">
        <v>33</v>
      </c>
      <c r="D23" s="17">
        <v>75</v>
      </c>
      <c r="E23" s="21">
        <v>2773</v>
      </c>
      <c r="F23" s="18">
        <v>90</v>
      </c>
      <c r="G23" s="17">
        <v>7.75</v>
      </c>
      <c r="H23" s="17">
        <v>0</v>
      </c>
      <c r="I23" s="17" t="s">
        <v>33</v>
      </c>
      <c r="J23" s="17">
        <v>1</v>
      </c>
      <c r="K23" s="17">
        <v>466</v>
      </c>
    </row>
    <row r="24" spans="1:11" x14ac:dyDescent="0.25">
      <c r="A24" s="17">
        <v>3.55</v>
      </c>
      <c r="B24" s="17">
        <v>0</v>
      </c>
      <c r="C24" s="17" t="s">
        <v>33</v>
      </c>
      <c r="D24" s="17">
        <v>5</v>
      </c>
      <c r="E24" s="21">
        <v>2253</v>
      </c>
      <c r="F24" s="18">
        <v>92.5</v>
      </c>
      <c r="G24" s="17">
        <v>9.75</v>
      </c>
      <c r="H24" s="17">
        <v>0</v>
      </c>
      <c r="I24" s="17" t="s">
        <v>33</v>
      </c>
      <c r="J24" s="17">
        <v>10</v>
      </c>
      <c r="K24" s="17">
        <v>51</v>
      </c>
    </row>
    <row r="25" spans="1:11" x14ac:dyDescent="0.25">
      <c r="A25" s="17">
        <v>2.68</v>
      </c>
      <c r="B25" s="17">
        <v>0</v>
      </c>
      <c r="C25" s="17" t="s">
        <v>33</v>
      </c>
      <c r="D25" s="17">
        <v>157</v>
      </c>
      <c r="E25" s="21">
        <v>1124</v>
      </c>
      <c r="F25" s="18">
        <v>95</v>
      </c>
      <c r="G25" s="17">
        <v>10.97</v>
      </c>
      <c r="H25" s="17">
        <v>0</v>
      </c>
      <c r="I25" s="17" t="s">
        <v>33</v>
      </c>
      <c r="J25" s="17">
        <v>12</v>
      </c>
      <c r="K25" s="17">
        <v>798</v>
      </c>
    </row>
    <row r="26" spans="1:11" x14ac:dyDescent="0.25">
      <c r="A26" s="17">
        <v>1.57</v>
      </c>
      <c r="B26" s="17">
        <v>0</v>
      </c>
      <c r="C26" s="17" t="s">
        <v>33</v>
      </c>
      <c r="D26" s="17">
        <v>5</v>
      </c>
      <c r="E26" s="21">
        <v>2109</v>
      </c>
      <c r="F26" s="18">
        <v>100</v>
      </c>
      <c r="G26" s="17">
        <v>15.45</v>
      </c>
      <c r="H26" s="17">
        <v>0</v>
      </c>
      <c r="I26" s="17" t="s">
        <v>33</v>
      </c>
      <c r="J26" s="17">
        <v>5</v>
      </c>
      <c r="K26" s="17">
        <v>315</v>
      </c>
    </row>
    <row r="27" spans="1:11" x14ac:dyDescent="0.25">
      <c r="A27" s="17">
        <v>0.94</v>
      </c>
      <c r="B27" s="17">
        <v>0</v>
      </c>
      <c r="C27" s="17" t="s">
        <v>33</v>
      </c>
      <c r="D27" s="17">
        <v>11</v>
      </c>
      <c r="E27" s="17">
        <v>249</v>
      </c>
      <c r="F27" s="18">
        <v>105</v>
      </c>
      <c r="G27" s="17">
        <v>20.05</v>
      </c>
      <c r="H27" s="17">
        <v>0</v>
      </c>
      <c r="I27" s="17" t="s">
        <v>33</v>
      </c>
      <c r="J27" s="17">
        <v>10</v>
      </c>
      <c r="K27" s="17">
        <v>11</v>
      </c>
    </row>
    <row r="28" spans="1:11" x14ac:dyDescent="0.25">
      <c r="A28" s="17">
        <v>0.64</v>
      </c>
      <c r="B28" s="17">
        <v>0</v>
      </c>
      <c r="C28" s="17" t="s">
        <v>33</v>
      </c>
      <c r="D28" s="17">
        <v>4</v>
      </c>
      <c r="E28" s="17">
        <v>286</v>
      </c>
      <c r="F28" s="18">
        <v>110</v>
      </c>
      <c r="G28" s="17" t="s">
        <v>33</v>
      </c>
      <c r="H28" s="17" t="s">
        <v>33</v>
      </c>
      <c r="I28" s="17" t="s">
        <v>33</v>
      </c>
      <c r="J28" s="17" t="s">
        <v>33</v>
      </c>
      <c r="K28" s="17" t="s">
        <v>33</v>
      </c>
    </row>
    <row r="29" spans="1:11" x14ac:dyDescent="0.25">
      <c r="A29" s="17">
        <v>0.43</v>
      </c>
      <c r="B29" s="17">
        <v>0</v>
      </c>
      <c r="C29" s="17" t="s">
        <v>33</v>
      </c>
      <c r="D29" s="17">
        <v>35</v>
      </c>
      <c r="E29" s="17">
        <v>0</v>
      </c>
      <c r="F29" s="18">
        <v>115</v>
      </c>
      <c r="G29" s="17" t="s">
        <v>33</v>
      </c>
      <c r="H29" s="17" t="s">
        <v>33</v>
      </c>
      <c r="I29" s="17" t="s">
        <v>33</v>
      </c>
      <c r="J29" s="17" t="s">
        <v>33</v>
      </c>
      <c r="K29" s="17" t="s">
        <v>33</v>
      </c>
    </row>
    <row r="30" spans="1:11" x14ac:dyDescent="0.25">
      <c r="A30" s="17">
        <v>0.21</v>
      </c>
      <c r="B30" s="17">
        <v>0</v>
      </c>
      <c r="C30" s="17" t="s">
        <v>33</v>
      </c>
      <c r="D30" s="17">
        <v>5</v>
      </c>
      <c r="E30" s="17">
        <v>22</v>
      </c>
      <c r="F30" s="18">
        <v>120</v>
      </c>
      <c r="G30" s="17" t="s">
        <v>33</v>
      </c>
      <c r="H30" s="17" t="s">
        <v>33</v>
      </c>
      <c r="I30" s="17" t="s">
        <v>33</v>
      </c>
      <c r="J30" s="17" t="s">
        <v>33</v>
      </c>
      <c r="K30" s="17" t="s">
        <v>33</v>
      </c>
    </row>
  </sheetData>
  <mergeCells count="2">
    <mergeCell ref="A1:E1"/>
    <mergeCell ref="G1:K1"/>
  </mergeCells>
  <hyperlinks>
    <hyperlink ref="F3" r:id="rId1" display="https://finance.yahoo.com/quote/MSFT/options?strike=35&amp;straddle=true"/>
    <hyperlink ref="F4" r:id="rId2" display="https://finance.yahoo.com/quote/MSFT/options?strike=37.5&amp;straddle=true"/>
    <hyperlink ref="F5" r:id="rId3" display="https://finance.yahoo.com/quote/MSFT/options?strike=40&amp;straddle=true"/>
    <hyperlink ref="F6" r:id="rId4" display="https://finance.yahoo.com/quote/MSFT/options?strike=42.5&amp;straddle=true"/>
    <hyperlink ref="F7" r:id="rId5" display="https://finance.yahoo.com/quote/MSFT/options?strike=45&amp;straddle=true"/>
    <hyperlink ref="F8" r:id="rId6" display="https://finance.yahoo.com/quote/MSFT/options?strike=47.5&amp;straddle=true"/>
    <hyperlink ref="F9" r:id="rId7" display="https://finance.yahoo.com/quote/MSFT/options?strike=50&amp;straddle=true"/>
    <hyperlink ref="F10" r:id="rId8" display="https://finance.yahoo.com/quote/MSFT/options?strike=55&amp;straddle=true"/>
    <hyperlink ref="F11" r:id="rId9" display="https://finance.yahoo.com/quote/MSFT/options?strike=60&amp;straddle=true"/>
    <hyperlink ref="F12" r:id="rId10" display="https://finance.yahoo.com/quote/MSFT/options?strike=62.5&amp;straddle=true"/>
    <hyperlink ref="F13" r:id="rId11" display="https://finance.yahoo.com/quote/MSFT/options?strike=65&amp;straddle=true"/>
    <hyperlink ref="F14" r:id="rId12" display="https://finance.yahoo.com/quote/MSFT/options?strike=67.5&amp;straddle=true"/>
    <hyperlink ref="F15" r:id="rId13" display="https://finance.yahoo.com/quote/MSFT/options?strike=70&amp;straddle=true"/>
    <hyperlink ref="F16" r:id="rId14" display="https://finance.yahoo.com/quote/MSFT/options?strike=72.5&amp;straddle=true"/>
    <hyperlink ref="F17" r:id="rId15" display="https://finance.yahoo.com/quote/MSFT/options?strike=75&amp;straddle=true"/>
    <hyperlink ref="F18" r:id="rId16" display="https://finance.yahoo.com/quote/MSFT/options?strike=77.5&amp;straddle=true"/>
    <hyperlink ref="F19" r:id="rId17" display="https://finance.yahoo.com/quote/MSFT/options?strike=80&amp;straddle=true"/>
    <hyperlink ref="F20" r:id="rId18" display="https://finance.yahoo.com/quote/MSFT/options?strike=82.5&amp;straddle=true"/>
    <hyperlink ref="F21" r:id="rId19" display="https://finance.yahoo.com/quote/MSFT/options?strike=85&amp;straddle=true"/>
    <hyperlink ref="F22" r:id="rId20" display="https://finance.yahoo.com/quote/MSFT/options?strike=87.5&amp;straddle=true"/>
    <hyperlink ref="F23" r:id="rId21" display="https://finance.yahoo.com/quote/MSFT/options?strike=90&amp;straddle=true"/>
    <hyperlink ref="F24" r:id="rId22" display="https://finance.yahoo.com/quote/MSFT/options?strike=92.5&amp;straddle=true"/>
    <hyperlink ref="F25" r:id="rId23" display="https://finance.yahoo.com/quote/MSFT/options?strike=95&amp;straddle=true"/>
    <hyperlink ref="F26" r:id="rId24" display="https://finance.yahoo.com/quote/MSFT/options?strike=100&amp;straddle=true"/>
    <hyperlink ref="F27" r:id="rId25" display="https://finance.yahoo.com/quote/MSFT/options?strike=105&amp;straddle=true"/>
    <hyperlink ref="F28" r:id="rId26" display="https://finance.yahoo.com/quote/MSFT/options?strike=110&amp;straddle=true"/>
    <hyperlink ref="F29" r:id="rId27" display="https://finance.yahoo.com/quote/MSFT/options?strike=115&amp;straddle=true"/>
    <hyperlink ref="F30" r:id="rId28" display="https://finance.yahoo.com/quote/MSFT/options?strike=120&amp;straddle=true"/>
  </hyperlinks>
  <pageMargins left="0.7" right="0.7" top="0.75" bottom="0.75" header="0.3" footer="0.3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1" name="Drop Down 1">
              <controlPr defaultSize="0" autoLine="0" autoPict="0">
                <anchor>
                  <from>
                    <xdr:col>15</xdr:col>
                    <xdr:colOff>123825</xdr:colOff>
                    <xdr:row>3</xdr:row>
                    <xdr:rowOff>9525</xdr:rowOff>
                  </from>
                  <to>
                    <xdr:col>16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32" name="Button 2">
              <controlPr defaultSize="0" print="0" autoFill="0" autoPict="0" macro="[0]!yahoo_options">
                <anchor moveWithCells="1" sizeWithCells="1">
                  <from>
                    <xdr:col>13</xdr:col>
                    <xdr:colOff>390525</xdr:colOff>
                    <xdr:row>12</xdr:row>
                    <xdr:rowOff>76200</xdr:rowOff>
                  </from>
                  <to>
                    <xdr:col>14</xdr:col>
                    <xdr:colOff>1562100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33" name="Button 4">
              <controlPr defaultSize="0" print="0" autoFill="0" autoPict="0" macro="[0]!risk_free_rate">
                <anchor moveWithCells="1" sizeWithCells="1">
                  <from>
                    <xdr:col>14</xdr:col>
                    <xdr:colOff>2238375</xdr:colOff>
                    <xdr:row>12</xdr:row>
                    <xdr:rowOff>66675</xdr:rowOff>
                  </from>
                  <to>
                    <xdr:col>15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000"/>
  <sheetViews>
    <sheetView workbookViewId="0"/>
  </sheetViews>
  <sheetFormatPr defaultRowHeight="15" x14ac:dyDescent="0.25"/>
  <cols>
    <col min="1" max="1" width="10.140625" bestFit="1" customWidth="1"/>
    <col min="2" max="5" width="6" bestFit="1" customWidth="1"/>
    <col min="6" max="6" width="10" bestFit="1" customWidth="1"/>
    <col min="7" max="7" width="12.7109375" bestFit="1" customWidth="1"/>
    <col min="8" max="8" width="15.140625" customWidth="1"/>
    <col min="11" max="11" width="14" customWidth="1"/>
    <col min="18" max="18" width="21.85546875" bestFit="1" customWidth="1"/>
    <col min="19" max="19" width="12.85546875" customWidth="1"/>
  </cols>
  <sheetData>
    <row r="1" spans="1:19" x14ac:dyDescent="0.2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30</v>
      </c>
      <c r="H1" s="16" t="s">
        <v>24</v>
      </c>
    </row>
    <row r="2" spans="1:19" x14ac:dyDescent="0.25">
      <c r="A2" t="s">
        <v>1015</v>
      </c>
      <c r="B2">
        <v>85.4</v>
      </c>
      <c r="C2">
        <v>85.63</v>
      </c>
      <c r="D2">
        <v>84.92</v>
      </c>
      <c r="E2">
        <v>85.51</v>
      </c>
      <c r="F2">
        <v>14145841</v>
      </c>
      <c r="H2">
        <f>IFERROR(LN(E2/E3),"")</f>
        <v>1.1695222514941521E-4</v>
      </c>
    </row>
    <row r="3" spans="1:19" x14ac:dyDescent="0.25">
      <c r="A3" t="s">
        <v>1016</v>
      </c>
      <c r="B3">
        <v>86.05</v>
      </c>
      <c r="C3">
        <v>86.1</v>
      </c>
      <c r="D3">
        <v>85.4</v>
      </c>
      <c r="E3">
        <v>85.5</v>
      </c>
      <c r="F3">
        <v>17990745</v>
      </c>
      <c r="H3">
        <f t="shared" ref="H3:H66" si="0">IFERROR(LN(E3/E4),"")</f>
        <v>-2.3389077407525593E-4</v>
      </c>
    </row>
    <row r="4" spans="1:19" ht="20.25" x14ac:dyDescent="0.3">
      <c r="A4" t="s">
        <v>1017</v>
      </c>
      <c r="B4">
        <v>86.2</v>
      </c>
      <c r="C4">
        <v>86.3</v>
      </c>
      <c r="D4">
        <v>84.71</v>
      </c>
      <c r="E4">
        <v>85.52</v>
      </c>
      <c r="F4">
        <v>23674931</v>
      </c>
      <c r="H4">
        <f t="shared" si="0"/>
        <v>-3.6183290133387871E-3</v>
      </c>
      <c r="R4" s="6" t="s">
        <v>0</v>
      </c>
      <c r="S4" s="7" t="s">
        <v>25</v>
      </c>
    </row>
    <row r="5" spans="1:19" x14ac:dyDescent="0.25">
      <c r="A5" t="s">
        <v>890</v>
      </c>
      <c r="B5">
        <v>86.35</v>
      </c>
      <c r="C5">
        <v>86.35</v>
      </c>
      <c r="D5">
        <v>85.27</v>
      </c>
      <c r="E5">
        <v>85.83</v>
      </c>
      <c r="F5">
        <v>23524787</v>
      </c>
      <c r="H5">
        <f t="shared" si="0"/>
        <v>-6.3875718024263908E-3</v>
      </c>
    </row>
    <row r="6" spans="1:19" x14ac:dyDescent="0.25">
      <c r="A6" t="s">
        <v>891</v>
      </c>
      <c r="B6">
        <v>87.12</v>
      </c>
      <c r="C6">
        <v>87.5</v>
      </c>
      <c r="D6">
        <v>86.23</v>
      </c>
      <c r="E6">
        <v>86.38</v>
      </c>
      <c r="F6">
        <v>22283752</v>
      </c>
      <c r="H6">
        <f t="shared" si="0"/>
        <v>-5.42632515455891E-3</v>
      </c>
      <c r="R6" t="s">
        <v>4</v>
      </c>
      <c r="S6">
        <f>IFERROR(AVERAGE(H2:H2000),"")</f>
        <v>9.1527099231442826E-4</v>
      </c>
    </row>
    <row r="7" spans="1:19" x14ac:dyDescent="0.25">
      <c r="A7" t="s">
        <v>892</v>
      </c>
      <c r="B7">
        <v>85.26</v>
      </c>
      <c r="C7">
        <v>87.09</v>
      </c>
      <c r="D7">
        <v>84.88</v>
      </c>
      <c r="E7">
        <v>86.85</v>
      </c>
      <c r="F7">
        <v>53936687</v>
      </c>
      <c r="H7">
        <f t="shared" si="0"/>
        <v>2.5184961753606322E-2</v>
      </c>
      <c r="R7" t="s">
        <v>5</v>
      </c>
      <c r="S7">
        <f>IFERROR((1+S6)^365-1,"")</f>
        <v>0.39643299046311409</v>
      </c>
    </row>
    <row r="8" spans="1:19" x14ac:dyDescent="0.25">
      <c r="A8" t="s">
        <v>893</v>
      </c>
      <c r="B8">
        <v>85.43</v>
      </c>
      <c r="C8">
        <v>85.87</v>
      </c>
      <c r="D8">
        <v>84.53</v>
      </c>
      <c r="E8">
        <v>84.69</v>
      </c>
      <c r="F8">
        <v>19305961</v>
      </c>
      <c r="H8">
        <f t="shared" si="0"/>
        <v>-7.7629183069418909E-3</v>
      </c>
      <c r="R8" t="s">
        <v>6</v>
      </c>
      <c r="S8">
        <f>IFERROR(_xlfn.STDEV.S(H2:H2000),"")</f>
        <v>1.4081725031158383E-2</v>
      </c>
    </row>
    <row r="9" spans="1:19" x14ac:dyDescent="0.25">
      <c r="A9" t="s">
        <v>894</v>
      </c>
      <c r="B9">
        <v>85.74</v>
      </c>
      <c r="C9">
        <v>86</v>
      </c>
      <c r="D9">
        <v>85.17</v>
      </c>
      <c r="E9">
        <v>85.35</v>
      </c>
      <c r="F9">
        <v>22062679</v>
      </c>
      <c r="H9">
        <f t="shared" si="0"/>
        <v>-2.6911617482211609E-3</v>
      </c>
      <c r="R9" t="s">
        <v>7</v>
      </c>
      <c r="S9">
        <f>IFERROR(S8*SQRT(252),"")</f>
        <v>0.22354045477943013</v>
      </c>
    </row>
    <row r="10" spans="1:19" x14ac:dyDescent="0.25">
      <c r="A10" t="s">
        <v>895</v>
      </c>
      <c r="B10">
        <v>85.31</v>
      </c>
      <c r="C10">
        <v>86.05</v>
      </c>
      <c r="D10">
        <v>85.08</v>
      </c>
      <c r="E10">
        <v>85.58</v>
      </c>
      <c r="F10">
        <v>23924105</v>
      </c>
      <c r="H10">
        <f t="shared" si="0"/>
        <v>4.0981264544645516E-3</v>
      </c>
    </row>
    <row r="11" spans="1:19" x14ac:dyDescent="0.25">
      <c r="A11" t="s">
        <v>896</v>
      </c>
      <c r="B11">
        <v>84.29</v>
      </c>
      <c r="C11">
        <v>85.37</v>
      </c>
      <c r="D11">
        <v>84.12</v>
      </c>
      <c r="E11">
        <v>85.23</v>
      </c>
      <c r="F11">
        <v>22857854</v>
      </c>
      <c r="H11">
        <f t="shared" si="0"/>
        <v>1.2633735544806551E-2</v>
      </c>
    </row>
    <row r="12" spans="1:19" x14ac:dyDescent="0.25">
      <c r="A12" t="s">
        <v>897</v>
      </c>
      <c r="B12">
        <v>83.63</v>
      </c>
      <c r="C12">
        <v>84.58</v>
      </c>
      <c r="D12">
        <v>83.33</v>
      </c>
      <c r="E12">
        <v>84.16</v>
      </c>
      <c r="F12">
        <v>24489106</v>
      </c>
      <c r="H12">
        <f t="shared" si="0"/>
        <v>2.0042675116759411E-2</v>
      </c>
    </row>
    <row r="13" spans="1:19" x14ac:dyDescent="0.25">
      <c r="A13" t="s">
        <v>898</v>
      </c>
      <c r="B13">
        <v>82.54</v>
      </c>
      <c r="C13">
        <v>82.8</v>
      </c>
      <c r="D13">
        <v>82</v>
      </c>
      <c r="E13">
        <v>82.49</v>
      </c>
      <c r="F13">
        <v>23184547</v>
      </c>
      <c r="H13">
        <f t="shared" si="0"/>
        <v>-3.5094124479460669E-3</v>
      </c>
    </row>
    <row r="14" spans="1:19" x14ac:dyDescent="0.25">
      <c r="A14" t="s">
        <v>899</v>
      </c>
      <c r="B14">
        <v>81.55</v>
      </c>
      <c r="C14">
        <v>83.14</v>
      </c>
      <c r="D14">
        <v>81.430000000000007</v>
      </c>
      <c r="E14">
        <v>82.78</v>
      </c>
      <c r="F14">
        <v>26162054</v>
      </c>
      <c r="H14">
        <f t="shared" si="0"/>
        <v>1.4479780879877557E-2</v>
      </c>
    </row>
    <row r="15" spans="1:19" x14ac:dyDescent="0.25">
      <c r="A15" t="s">
        <v>900</v>
      </c>
      <c r="B15">
        <v>81.34</v>
      </c>
      <c r="C15">
        <v>82.68</v>
      </c>
      <c r="D15">
        <v>80.98</v>
      </c>
      <c r="E15">
        <v>81.59</v>
      </c>
      <c r="F15">
        <v>26152261</v>
      </c>
      <c r="H15">
        <f t="shared" si="0"/>
        <v>6.2703838569097073E-3</v>
      </c>
    </row>
    <row r="16" spans="1:19" x14ac:dyDescent="0.25">
      <c r="A16" t="s">
        <v>901</v>
      </c>
      <c r="B16">
        <v>84.42</v>
      </c>
      <c r="C16">
        <v>84.43</v>
      </c>
      <c r="D16">
        <v>80.7</v>
      </c>
      <c r="E16">
        <v>81.08</v>
      </c>
      <c r="F16">
        <v>39094880</v>
      </c>
      <c r="H16">
        <f t="shared" si="0"/>
        <v>-3.847093496707122E-2</v>
      </c>
    </row>
    <row r="17" spans="1:8" x14ac:dyDescent="0.25">
      <c r="A17" t="s">
        <v>902</v>
      </c>
      <c r="B17">
        <v>83.6</v>
      </c>
      <c r="C17">
        <v>84.81</v>
      </c>
      <c r="D17">
        <v>83.22</v>
      </c>
      <c r="E17">
        <v>84.26</v>
      </c>
      <c r="F17">
        <v>29532132</v>
      </c>
      <c r="H17">
        <f t="shared" si="0"/>
        <v>1.0686933273857061E-3</v>
      </c>
    </row>
    <row r="18" spans="1:8" x14ac:dyDescent="0.25">
      <c r="A18" s="22">
        <v>43069</v>
      </c>
      <c r="B18">
        <v>83.51</v>
      </c>
      <c r="C18">
        <v>84.52</v>
      </c>
      <c r="D18">
        <v>83.34</v>
      </c>
      <c r="E18">
        <v>84.17</v>
      </c>
      <c r="F18">
        <v>33054647</v>
      </c>
      <c r="H18">
        <f t="shared" si="0"/>
        <v>9.9099372291772125E-3</v>
      </c>
    </row>
    <row r="19" spans="1:8" x14ac:dyDescent="0.25">
      <c r="A19" s="22">
        <v>43068</v>
      </c>
      <c r="B19">
        <v>84.71</v>
      </c>
      <c r="C19">
        <v>84.92</v>
      </c>
      <c r="D19">
        <v>83.18</v>
      </c>
      <c r="E19">
        <v>83.34</v>
      </c>
      <c r="F19">
        <v>27381109</v>
      </c>
      <c r="H19">
        <f t="shared" si="0"/>
        <v>-1.8309868311420199E-2</v>
      </c>
    </row>
    <row r="20" spans="1:8" x14ac:dyDescent="0.25">
      <c r="A20" s="22">
        <v>43067</v>
      </c>
      <c r="B20">
        <v>84.07</v>
      </c>
      <c r="C20">
        <v>85.06</v>
      </c>
      <c r="D20">
        <v>84.02</v>
      </c>
      <c r="E20">
        <v>84.88</v>
      </c>
      <c r="F20">
        <v>21925959</v>
      </c>
      <c r="H20">
        <f t="shared" si="0"/>
        <v>1.1970513309407521E-2</v>
      </c>
    </row>
    <row r="21" spans="1:8" x14ac:dyDescent="0.25">
      <c r="A21" s="22">
        <v>43066</v>
      </c>
      <c r="B21">
        <v>83.31</v>
      </c>
      <c r="C21">
        <v>83.98</v>
      </c>
      <c r="D21">
        <v>83.3</v>
      </c>
      <c r="E21">
        <v>83.87</v>
      </c>
      <c r="F21">
        <v>18265242</v>
      </c>
      <c r="H21">
        <f t="shared" si="0"/>
        <v>7.2997392294907662E-3</v>
      </c>
    </row>
    <row r="22" spans="1:8" x14ac:dyDescent="0.25">
      <c r="A22" s="22">
        <v>43063</v>
      </c>
      <c r="B22">
        <v>83.01</v>
      </c>
      <c r="C22">
        <v>83.43</v>
      </c>
      <c r="D22">
        <v>82.78</v>
      </c>
      <c r="E22">
        <v>83.26</v>
      </c>
      <c r="F22">
        <v>7425603</v>
      </c>
      <c r="H22">
        <f t="shared" si="0"/>
        <v>1.8032102018943931E-3</v>
      </c>
    </row>
    <row r="23" spans="1:8" x14ac:dyDescent="0.25">
      <c r="A23" s="22">
        <v>43061</v>
      </c>
      <c r="B23">
        <v>83.83</v>
      </c>
      <c r="C23">
        <v>83.9</v>
      </c>
      <c r="D23">
        <v>83.04</v>
      </c>
      <c r="E23">
        <v>83.11</v>
      </c>
      <c r="F23">
        <v>20553089</v>
      </c>
      <c r="H23">
        <f t="shared" si="0"/>
        <v>-7.3128660128640071E-3</v>
      </c>
    </row>
    <row r="24" spans="1:8" x14ac:dyDescent="0.25">
      <c r="A24" s="22">
        <v>43060</v>
      </c>
      <c r="B24">
        <v>82.74</v>
      </c>
      <c r="C24">
        <v>83.84</v>
      </c>
      <c r="D24">
        <v>82.74</v>
      </c>
      <c r="E24">
        <v>83.72</v>
      </c>
      <c r="F24">
        <v>21237454</v>
      </c>
      <c r="H24">
        <f t="shared" si="0"/>
        <v>1.4316033973206082E-2</v>
      </c>
    </row>
    <row r="25" spans="1:8" x14ac:dyDescent="0.25">
      <c r="A25" s="22">
        <v>43059</v>
      </c>
      <c r="B25">
        <v>82.4</v>
      </c>
      <c r="C25">
        <v>82.59</v>
      </c>
      <c r="D25">
        <v>82.25</v>
      </c>
      <c r="E25">
        <v>82.53</v>
      </c>
      <c r="F25">
        <v>16314978</v>
      </c>
      <c r="H25">
        <f t="shared" si="0"/>
        <v>1.576426689166865E-3</v>
      </c>
    </row>
    <row r="26" spans="1:8" x14ac:dyDescent="0.25">
      <c r="A26" s="22">
        <v>43056</v>
      </c>
      <c r="B26">
        <v>83.12</v>
      </c>
      <c r="C26">
        <v>83.12</v>
      </c>
      <c r="D26">
        <v>82.24</v>
      </c>
      <c r="E26">
        <v>82.4</v>
      </c>
      <c r="F26">
        <v>22078993</v>
      </c>
      <c r="H26">
        <f t="shared" si="0"/>
        <v>-9.6619109117368589E-3</v>
      </c>
    </row>
    <row r="27" spans="1:8" x14ac:dyDescent="0.25">
      <c r="A27" s="22">
        <v>43055</v>
      </c>
      <c r="B27">
        <v>83.1</v>
      </c>
      <c r="C27">
        <v>83.42</v>
      </c>
      <c r="D27">
        <v>82.94</v>
      </c>
      <c r="E27">
        <v>83.2</v>
      </c>
      <c r="F27">
        <v>20962750</v>
      </c>
      <c r="H27">
        <f t="shared" si="0"/>
        <v>2.6477329224410436E-3</v>
      </c>
    </row>
    <row r="28" spans="1:8" x14ac:dyDescent="0.25">
      <c r="A28" s="22">
        <v>43054</v>
      </c>
      <c r="B28">
        <v>83.47</v>
      </c>
      <c r="C28">
        <v>83.69</v>
      </c>
      <c r="D28">
        <v>82.69</v>
      </c>
      <c r="E28">
        <v>82.98</v>
      </c>
      <c r="F28">
        <v>19383102</v>
      </c>
      <c r="H28">
        <f t="shared" si="0"/>
        <v>-1.2812244949902676E-2</v>
      </c>
    </row>
    <row r="29" spans="1:8" x14ac:dyDescent="0.25">
      <c r="A29" s="22">
        <v>43053</v>
      </c>
      <c r="B29">
        <v>83.5</v>
      </c>
      <c r="C29">
        <v>84.1</v>
      </c>
      <c r="D29">
        <v>82.98</v>
      </c>
      <c r="E29">
        <v>84.05</v>
      </c>
      <c r="F29">
        <v>18801280</v>
      </c>
      <c r="H29">
        <f t="shared" si="0"/>
        <v>1.428741759888358E-3</v>
      </c>
    </row>
    <row r="30" spans="1:8" x14ac:dyDescent="0.25">
      <c r="A30" s="22">
        <v>43052</v>
      </c>
      <c r="B30">
        <v>83.66</v>
      </c>
      <c r="C30">
        <v>83.94</v>
      </c>
      <c r="D30">
        <v>83.46</v>
      </c>
      <c r="E30">
        <v>83.93</v>
      </c>
      <c r="F30">
        <v>14196896</v>
      </c>
      <c r="H30">
        <f t="shared" si="0"/>
        <v>7.1513709841603532E-4</v>
      </c>
    </row>
    <row r="31" spans="1:8" x14ac:dyDescent="0.25">
      <c r="A31" s="22">
        <v>43049</v>
      </c>
      <c r="B31">
        <v>83.79</v>
      </c>
      <c r="C31">
        <v>84.1</v>
      </c>
      <c r="D31">
        <v>83.23</v>
      </c>
      <c r="E31">
        <v>83.87</v>
      </c>
      <c r="F31">
        <v>19397793</v>
      </c>
      <c r="H31">
        <f t="shared" si="0"/>
        <v>-2.6196728484864946E-3</v>
      </c>
    </row>
    <row r="32" spans="1:8" x14ac:dyDescent="0.25">
      <c r="A32" s="22">
        <v>43048</v>
      </c>
      <c r="B32">
        <v>84.11</v>
      </c>
      <c r="C32">
        <v>84.27</v>
      </c>
      <c r="D32">
        <v>82.9</v>
      </c>
      <c r="E32">
        <v>84.09</v>
      </c>
      <c r="F32">
        <v>21178356</v>
      </c>
      <c r="H32">
        <f t="shared" si="0"/>
        <v>-5.5736877171755446E-3</v>
      </c>
    </row>
    <row r="33" spans="1:8" x14ac:dyDescent="0.25">
      <c r="A33" s="22">
        <v>43047</v>
      </c>
      <c r="B33">
        <v>84.14</v>
      </c>
      <c r="C33">
        <v>84.61</v>
      </c>
      <c r="D33">
        <v>83.83</v>
      </c>
      <c r="E33">
        <v>84.56</v>
      </c>
      <c r="F33">
        <v>18034170</v>
      </c>
      <c r="H33">
        <f t="shared" si="0"/>
        <v>3.4354117777202976E-3</v>
      </c>
    </row>
    <row r="34" spans="1:8" x14ac:dyDescent="0.25">
      <c r="A34" s="22">
        <v>43046</v>
      </c>
      <c r="B34">
        <v>84.77</v>
      </c>
      <c r="C34">
        <v>84.9</v>
      </c>
      <c r="D34">
        <v>83.93</v>
      </c>
      <c r="E34">
        <v>84.27</v>
      </c>
      <c r="F34">
        <v>17939727</v>
      </c>
      <c r="H34">
        <f t="shared" si="0"/>
        <v>-2.3705119551432809E-3</v>
      </c>
    </row>
    <row r="35" spans="1:8" x14ac:dyDescent="0.25">
      <c r="A35" s="22">
        <v>43045</v>
      </c>
      <c r="B35">
        <v>84.2</v>
      </c>
      <c r="C35">
        <v>84.7</v>
      </c>
      <c r="D35">
        <v>84.08</v>
      </c>
      <c r="E35">
        <v>84.47</v>
      </c>
      <c r="F35">
        <v>19860852</v>
      </c>
      <c r="H35">
        <f t="shared" si="0"/>
        <v>3.9143635770305238E-3</v>
      </c>
    </row>
    <row r="36" spans="1:8" x14ac:dyDescent="0.25">
      <c r="A36" s="22">
        <v>43042</v>
      </c>
      <c r="B36">
        <v>84.08</v>
      </c>
      <c r="C36">
        <v>84.54</v>
      </c>
      <c r="D36">
        <v>83.4</v>
      </c>
      <c r="E36">
        <v>84.14</v>
      </c>
      <c r="F36">
        <v>17633543</v>
      </c>
      <c r="H36">
        <f t="shared" si="0"/>
        <v>1.0702183077502233E-3</v>
      </c>
    </row>
    <row r="37" spans="1:8" x14ac:dyDescent="0.25">
      <c r="A37" s="22">
        <v>43041</v>
      </c>
      <c r="B37">
        <v>83.35</v>
      </c>
      <c r="C37">
        <v>84.46</v>
      </c>
      <c r="D37">
        <v>83.12</v>
      </c>
      <c r="E37">
        <v>84.05</v>
      </c>
      <c r="F37">
        <v>23992945</v>
      </c>
      <c r="H37">
        <f t="shared" si="0"/>
        <v>1.0404925539858945E-2</v>
      </c>
    </row>
    <row r="38" spans="1:8" x14ac:dyDescent="0.25">
      <c r="A38" s="22">
        <v>43040</v>
      </c>
      <c r="B38">
        <v>83.68</v>
      </c>
      <c r="C38">
        <v>83.76</v>
      </c>
      <c r="D38">
        <v>82.88</v>
      </c>
      <c r="E38">
        <v>83.18</v>
      </c>
      <c r="F38">
        <v>22307371</v>
      </c>
      <c r="H38">
        <f t="shared" si="0"/>
        <v>0</v>
      </c>
    </row>
    <row r="39" spans="1:8" x14ac:dyDescent="0.25">
      <c r="A39" t="s">
        <v>40</v>
      </c>
      <c r="B39">
        <v>84.36</v>
      </c>
      <c r="C39">
        <v>84.36</v>
      </c>
      <c r="D39">
        <v>83.11</v>
      </c>
      <c r="E39">
        <v>83.18</v>
      </c>
      <c r="F39">
        <v>27086575</v>
      </c>
      <c r="H39">
        <f t="shared" si="0"/>
        <v>-8.4994825434375251E-3</v>
      </c>
    </row>
    <row r="40" spans="1:8" x14ac:dyDescent="0.25">
      <c r="A40" t="s">
        <v>41</v>
      </c>
      <c r="B40">
        <v>83.7</v>
      </c>
      <c r="C40">
        <v>84.32</v>
      </c>
      <c r="D40">
        <v>83.1</v>
      </c>
      <c r="E40">
        <v>83.89</v>
      </c>
      <c r="F40">
        <v>31756653</v>
      </c>
      <c r="H40">
        <f t="shared" si="0"/>
        <v>9.5408474738832235E-4</v>
      </c>
    </row>
    <row r="41" spans="1:8" x14ac:dyDescent="0.25">
      <c r="A41" t="s">
        <v>42</v>
      </c>
      <c r="B41">
        <v>84.37</v>
      </c>
      <c r="C41">
        <v>86.2</v>
      </c>
      <c r="D41">
        <v>83.61</v>
      </c>
      <c r="E41">
        <v>83.81</v>
      </c>
      <c r="F41">
        <v>71066729</v>
      </c>
      <c r="H41">
        <f t="shared" si="0"/>
        <v>6.2147078339889937E-2</v>
      </c>
    </row>
    <row r="42" spans="1:8" x14ac:dyDescent="0.25">
      <c r="A42" t="s">
        <v>43</v>
      </c>
      <c r="B42">
        <v>79.2</v>
      </c>
      <c r="C42">
        <v>79.42</v>
      </c>
      <c r="D42">
        <v>78.75</v>
      </c>
      <c r="E42">
        <v>78.760000000000005</v>
      </c>
      <c r="F42">
        <v>32120717</v>
      </c>
      <c r="H42">
        <f t="shared" si="0"/>
        <v>1.6519477675002278E-3</v>
      </c>
    </row>
    <row r="43" spans="1:8" x14ac:dyDescent="0.25">
      <c r="A43" t="s">
        <v>44</v>
      </c>
      <c r="B43">
        <v>78.58</v>
      </c>
      <c r="C43">
        <v>79.099999999999994</v>
      </c>
      <c r="D43">
        <v>78.010000000000005</v>
      </c>
      <c r="E43">
        <v>78.63</v>
      </c>
      <c r="F43">
        <v>20410808</v>
      </c>
      <c r="H43">
        <f t="shared" si="0"/>
        <v>-2.9208224460565047E-3</v>
      </c>
    </row>
    <row r="44" spans="1:8" x14ac:dyDescent="0.25">
      <c r="A44" t="s">
        <v>45</v>
      </c>
      <c r="B44">
        <v>78.900000000000006</v>
      </c>
      <c r="C44">
        <v>79.2</v>
      </c>
      <c r="D44">
        <v>78.459999999999994</v>
      </c>
      <c r="E44">
        <v>78.86</v>
      </c>
      <c r="F44">
        <v>17517182</v>
      </c>
      <c r="H44">
        <f t="shared" si="0"/>
        <v>3.8049337766423775E-4</v>
      </c>
    </row>
    <row r="45" spans="1:8" x14ac:dyDescent="0.25">
      <c r="A45" t="s">
        <v>46</v>
      </c>
      <c r="B45">
        <v>78.989999999999995</v>
      </c>
      <c r="C45">
        <v>79.34</v>
      </c>
      <c r="D45">
        <v>78.760000000000005</v>
      </c>
      <c r="E45">
        <v>78.83</v>
      </c>
      <c r="F45">
        <v>20627173</v>
      </c>
      <c r="H45">
        <f t="shared" si="0"/>
        <v>2.5374270625868082E-4</v>
      </c>
    </row>
    <row r="46" spans="1:8" x14ac:dyDescent="0.25">
      <c r="A46" t="s">
        <v>47</v>
      </c>
      <c r="B46">
        <v>78.319999999999993</v>
      </c>
      <c r="C46">
        <v>78.97</v>
      </c>
      <c r="D46">
        <v>78.22</v>
      </c>
      <c r="E46">
        <v>78.81</v>
      </c>
      <c r="F46">
        <v>22866426</v>
      </c>
      <c r="H46">
        <f t="shared" si="0"/>
        <v>1.14855780227914E-2</v>
      </c>
    </row>
    <row r="47" spans="1:8" x14ac:dyDescent="0.25">
      <c r="A47" t="s">
        <v>48</v>
      </c>
      <c r="B47">
        <v>77.569999999999993</v>
      </c>
      <c r="C47">
        <v>77.930000000000007</v>
      </c>
      <c r="D47">
        <v>77.349999999999994</v>
      </c>
      <c r="E47">
        <v>77.91</v>
      </c>
      <c r="F47">
        <v>15092758</v>
      </c>
      <c r="H47">
        <f t="shared" si="0"/>
        <v>3.8580294767193127E-3</v>
      </c>
    </row>
    <row r="48" spans="1:8" x14ac:dyDescent="0.25">
      <c r="A48" t="s">
        <v>49</v>
      </c>
      <c r="B48">
        <v>77.67</v>
      </c>
      <c r="C48">
        <v>77.849999999999994</v>
      </c>
      <c r="D48">
        <v>77.37</v>
      </c>
      <c r="E48">
        <v>77.61</v>
      </c>
      <c r="F48">
        <v>13300701</v>
      </c>
      <c r="H48">
        <f t="shared" si="0"/>
        <v>2.5773196018939786E-4</v>
      </c>
    </row>
    <row r="49" spans="1:8" x14ac:dyDescent="0.25">
      <c r="A49" t="s">
        <v>50</v>
      </c>
      <c r="B49">
        <v>77.47</v>
      </c>
      <c r="C49">
        <v>77.62</v>
      </c>
      <c r="D49">
        <v>77.25</v>
      </c>
      <c r="E49">
        <v>77.59</v>
      </c>
      <c r="F49">
        <v>16823989</v>
      </c>
      <c r="H49">
        <f t="shared" si="0"/>
        <v>-7.729966888381692E-4</v>
      </c>
    </row>
    <row r="50" spans="1:8" x14ac:dyDescent="0.25">
      <c r="A50" t="s">
        <v>51</v>
      </c>
      <c r="B50">
        <v>77.42</v>
      </c>
      <c r="C50">
        <v>77.81</v>
      </c>
      <c r="D50">
        <v>77.349999999999994</v>
      </c>
      <c r="E50">
        <v>77.650000000000006</v>
      </c>
      <c r="F50">
        <v>12380093</v>
      </c>
      <c r="H50">
        <f t="shared" si="0"/>
        <v>2.0626538188372933E-3</v>
      </c>
    </row>
    <row r="51" spans="1:8" x14ac:dyDescent="0.25">
      <c r="A51" t="s">
        <v>52</v>
      </c>
      <c r="B51">
        <v>77.59</v>
      </c>
      <c r="C51">
        <v>77.87</v>
      </c>
      <c r="D51">
        <v>77.290000000000006</v>
      </c>
      <c r="E51">
        <v>77.489999999999995</v>
      </c>
      <c r="F51">
        <v>15335742</v>
      </c>
      <c r="H51">
        <f t="shared" si="0"/>
        <v>4.7862454735685131E-3</v>
      </c>
    </row>
    <row r="52" spans="1:8" x14ac:dyDescent="0.25">
      <c r="A52" t="s">
        <v>53</v>
      </c>
      <c r="B52">
        <v>76.489999999999995</v>
      </c>
      <c r="C52">
        <v>77.290000000000006</v>
      </c>
      <c r="D52">
        <v>76.37</v>
      </c>
      <c r="E52">
        <v>77.12</v>
      </c>
      <c r="F52">
        <v>16876538</v>
      </c>
      <c r="H52">
        <f t="shared" si="0"/>
        <v>9.1182082835363637E-3</v>
      </c>
    </row>
    <row r="53" spans="1:8" x14ac:dyDescent="0.25">
      <c r="A53" t="s">
        <v>54</v>
      </c>
      <c r="B53">
        <v>76.36</v>
      </c>
      <c r="C53">
        <v>76.459999999999994</v>
      </c>
      <c r="D53">
        <v>75.95</v>
      </c>
      <c r="E53">
        <v>76.42</v>
      </c>
      <c r="F53">
        <v>15388898</v>
      </c>
      <c r="H53">
        <f t="shared" si="0"/>
        <v>1.7025739166158457E-3</v>
      </c>
    </row>
    <row r="54" spans="1:8" x14ac:dyDescent="0.25">
      <c r="A54" t="s">
        <v>55</v>
      </c>
      <c r="B54">
        <v>76.33</v>
      </c>
      <c r="C54">
        <v>76.63</v>
      </c>
      <c r="D54">
        <v>76.14</v>
      </c>
      <c r="E54">
        <v>76.290000000000006</v>
      </c>
      <c r="F54">
        <v>13944545</v>
      </c>
      <c r="H54">
        <f t="shared" si="0"/>
        <v>0</v>
      </c>
    </row>
    <row r="55" spans="1:8" x14ac:dyDescent="0.25">
      <c r="A55" t="s">
        <v>56</v>
      </c>
      <c r="B55">
        <v>75.97</v>
      </c>
      <c r="C55">
        <v>76.55</v>
      </c>
      <c r="D55">
        <v>75.86</v>
      </c>
      <c r="E55">
        <v>76.290000000000006</v>
      </c>
      <c r="F55">
        <v>11386502</v>
      </c>
      <c r="H55">
        <f t="shared" si="0"/>
        <v>3.8085278158069974E-3</v>
      </c>
    </row>
    <row r="56" spans="1:8" x14ac:dyDescent="0.25">
      <c r="A56" t="s">
        <v>57</v>
      </c>
      <c r="B56">
        <v>75.67</v>
      </c>
      <c r="C56">
        <v>76.03</v>
      </c>
      <c r="D56">
        <v>75.540000000000006</v>
      </c>
      <c r="E56">
        <v>76</v>
      </c>
      <c r="F56">
        <v>13959814</v>
      </c>
      <c r="H56">
        <f t="shared" si="0"/>
        <v>3.9481477120084136E-4</v>
      </c>
    </row>
    <row r="57" spans="1:8" x14ac:dyDescent="0.25">
      <c r="A57" t="s">
        <v>58</v>
      </c>
      <c r="B57">
        <v>75.22</v>
      </c>
      <c r="C57">
        <v>76.12</v>
      </c>
      <c r="D57">
        <v>74.959999999999994</v>
      </c>
      <c r="E57">
        <v>75.97</v>
      </c>
      <c r="F57">
        <v>21195261</v>
      </c>
      <c r="H57">
        <f t="shared" si="0"/>
        <v>1.6992311146154963E-2</v>
      </c>
    </row>
    <row r="58" spans="1:8" x14ac:dyDescent="0.25">
      <c r="A58" t="s">
        <v>59</v>
      </c>
      <c r="B58">
        <v>74.09</v>
      </c>
      <c r="C58">
        <v>74.72</v>
      </c>
      <c r="D58">
        <v>73.709999999999994</v>
      </c>
      <c r="E58">
        <v>74.69</v>
      </c>
      <c r="F58">
        <v>13317681</v>
      </c>
      <c r="H58">
        <f t="shared" si="0"/>
        <v>5.7737656200412268E-3</v>
      </c>
    </row>
    <row r="59" spans="1:8" x14ac:dyDescent="0.25">
      <c r="A59" t="s">
        <v>60</v>
      </c>
      <c r="B59">
        <v>74.67</v>
      </c>
      <c r="C59">
        <v>74.88</v>
      </c>
      <c r="D59">
        <v>74.2</v>
      </c>
      <c r="E59">
        <v>74.260000000000005</v>
      </c>
      <c r="F59">
        <v>12190403</v>
      </c>
      <c r="H59">
        <f t="shared" si="0"/>
        <v>-4.7020977344889026E-3</v>
      </c>
    </row>
    <row r="60" spans="1:8" x14ac:dyDescent="0.25">
      <c r="A60" t="s">
        <v>61</v>
      </c>
      <c r="B60">
        <v>74.709999999999994</v>
      </c>
      <c r="C60">
        <v>75.010000000000005</v>
      </c>
      <c r="D60">
        <v>74.3</v>
      </c>
      <c r="E60">
        <v>74.61</v>
      </c>
      <c r="F60">
        <v>15304762</v>
      </c>
      <c r="H60">
        <f t="shared" si="0"/>
        <v>1.6096582952380247E-3</v>
      </c>
    </row>
    <row r="61" spans="1:8" x14ac:dyDescent="0.25">
      <c r="A61" t="s">
        <v>62</v>
      </c>
      <c r="B61">
        <v>73.94</v>
      </c>
      <c r="C61">
        <v>74.540000000000006</v>
      </c>
      <c r="D61">
        <v>73.88</v>
      </c>
      <c r="E61">
        <v>74.489999999999995</v>
      </c>
      <c r="F61">
        <v>17079114</v>
      </c>
      <c r="H61">
        <f t="shared" si="0"/>
        <v>8.3580966475384714E-3</v>
      </c>
    </row>
    <row r="62" spans="1:8" x14ac:dyDescent="0.25">
      <c r="A62" t="s">
        <v>63</v>
      </c>
      <c r="B62">
        <v>73.540000000000006</v>
      </c>
      <c r="C62">
        <v>73.97</v>
      </c>
      <c r="D62">
        <v>73.31</v>
      </c>
      <c r="E62">
        <v>73.87</v>
      </c>
      <c r="F62">
        <v>10883787</v>
      </c>
      <c r="H62">
        <f t="shared" si="0"/>
        <v>2.7078256325768427E-4</v>
      </c>
    </row>
    <row r="63" spans="1:8" x14ac:dyDescent="0.25">
      <c r="A63" t="s">
        <v>64</v>
      </c>
      <c r="B63">
        <v>73.55</v>
      </c>
      <c r="C63">
        <v>74.17</v>
      </c>
      <c r="D63">
        <v>73.17</v>
      </c>
      <c r="E63">
        <v>73.849999999999994</v>
      </c>
      <c r="F63">
        <v>19375099</v>
      </c>
      <c r="H63">
        <f t="shared" si="0"/>
        <v>8.02125162672024E-3</v>
      </c>
    </row>
    <row r="64" spans="1:8" x14ac:dyDescent="0.25">
      <c r="A64" t="s">
        <v>65</v>
      </c>
      <c r="B64">
        <v>73.67</v>
      </c>
      <c r="C64">
        <v>73.81</v>
      </c>
      <c r="D64">
        <v>72.989999999999995</v>
      </c>
      <c r="E64">
        <v>73.260000000000005</v>
      </c>
      <c r="F64">
        <v>18019577</v>
      </c>
      <c r="H64">
        <f t="shared" si="0"/>
        <v>0</v>
      </c>
    </row>
    <row r="65" spans="1:8" x14ac:dyDescent="0.25">
      <c r="A65" t="s">
        <v>66</v>
      </c>
      <c r="B65">
        <v>74.09</v>
      </c>
      <c r="C65">
        <v>74.25</v>
      </c>
      <c r="D65">
        <v>72.92</v>
      </c>
      <c r="E65">
        <v>73.260000000000005</v>
      </c>
      <c r="F65">
        <v>24149163</v>
      </c>
      <c r="H65">
        <f t="shared" si="0"/>
        <v>-1.557558405850144E-2</v>
      </c>
    </row>
    <row r="66" spans="1:8" x14ac:dyDescent="0.25">
      <c r="A66" t="s">
        <v>67</v>
      </c>
      <c r="B66">
        <v>73.989999999999995</v>
      </c>
      <c r="C66">
        <v>74.510000000000005</v>
      </c>
      <c r="D66">
        <v>73.849999999999994</v>
      </c>
      <c r="E66">
        <v>74.41</v>
      </c>
      <c r="F66">
        <v>14111365</v>
      </c>
      <c r="H66">
        <f t="shared" si="0"/>
        <v>2.6914294271277355E-3</v>
      </c>
    </row>
    <row r="67" spans="1:8" x14ac:dyDescent="0.25">
      <c r="A67" t="s">
        <v>68</v>
      </c>
      <c r="B67">
        <v>75.11</v>
      </c>
      <c r="C67">
        <v>75.239999999999995</v>
      </c>
      <c r="D67">
        <v>74.11</v>
      </c>
      <c r="E67">
        <v>74.209999999999994</v>
      </c>
      <c r="F67">
        <v>19186140</v>
      </c>
      <c r="H67">
        <f t="shared" ref="H67:H130" si="1">IFERROR(LN(E67/E68),"")</f>
        <v>-9.7888813834992212E-3</v>
      </c>
    </row>
    <row r="68" spans="1:8" x14ac:dyDescent="0.25">
      <c r="A68" t="s">
        <v>69</v>
      </c>
      <c r="B68">
        <v>75.349999999999994</v>
      </c>
      <c r="C68">
        <v>75.55</v>
      </c>
      <c r="D68">
        <v>74.31</v>
      </c>
      <c r="E68">
        <v>74.94</v>
      </c>
      <c r="F68">
        <v>21587878</v>
      </c>
      <c r="H68">
        <f t="shared" si="1"/>
        <v>-6.6498449596607816E-3</v>
      </c>
    </row>
    <row r="69" spans="1:8" x14ac:dyDescent="0.25">
      <c r="A69" t="s">
        <v>70</v>
      </c>
      <c r="B69">
        <v>75.209999999999994</v>
      </c>
      <c r="C69">
        <v>75.709999999999994</v>
      </c>
      <c r="D69">
        <v>75.010000000000005</v>
      </c>
      <c r="E69">
        <v>75.44</v>
      </c>
      <c r="F69">
        <v>16093344</v>
      </c>
      <c r="H69">
        <f t="shared" si="1"/>
        <v>3.7184637799374627E-3</v>
      </c>
    </row>
    <row r="70" spans="1:8" x14ac:dyDescent="0.25">
      <c r="A70" t="s">
        <v>71</v>
      </c>
      <c r="B70">
        <v>75.23</v>
      </c>
      <c r="C70">
        <v>75.97</v>
      </c>
      <c r="D70">
        <v>75.040000000000006</v>
      </c>
      <c r="E70">
        <v>75.16</v>
      </c>
      <c r="F70">
        <v>23306959</v>
      </c>
      <c r="H70">
        <f t="shared" si="1"/>
        <v>-1.9937535679958656E-3</v>
      </c>
    </row>
    <row r="71" spans="1:8" x14ac:dyDescent="0.25">
      <c r="A71" t="s">
        <v>72</v>
      </c>
      <c r="B71">
        <v>74.83</v>
      </c>
      <c r="C71">
        <v>75.39</v>
      </c>
      <c r="D71">
        <v>74.069999999999993</v>
      </c>
      <c r="E71">
        <v>75.31</v>
      </c>
      <c r="F71">
        <v>38578441</v>
      </c>
      <c r="H71">
        <f t="shared" si="1"/>
        <v>7.196193101436257E-3</v>
      </c>
    </row>
    <row r="72" spans="1:8" x14ac:dyDescent="0.25">
      <c r="A72" t="s">
        <v>73</v>
      </c>
      <c r="B72">
        <v>75</v>
      </c>
      <c r="C72">
        <v>75.489999999999995</v>
      </c>
      <c r="D72">
        <v>74.52</v>
      </c>
      <c r="E72">
        <v>74.77</v>
      </c>
      <c r="F72">
        <v>15733914</v>
      </c>
      <c r="H72">
        <f t="shared" si="1"/>
        <v>-5.8674658264874936E-3</v>
      </c>
    </row>
    <row r="73" spans="1:8" x14ac:dyDescent="0.25">
      <c r="A73" t="s">
        <v>74</v>
      </c>
      <c r="B73">
        <v>74.930000000000007</v>
      </c>
      <c r="C73">
        <v>75.23</v>
      </c>
      <c r="D73">
        <v>74.55</v>
      </c>
      <c r="E73">
        <v>75.209999999999994</v>
      </c>
      <c r="F73">
        <v>13380802</v>
      </c>
      <c r="H73">
        <f t="shared" si="1"/>
        <v>7.0718821647896783E-3</v>
      </c>
    </row>
    <row r="74" spans="1:8" x14ac:dyDescent="0.25">
      <c r="A74" t="s">
        <v>75</v>
      </c>
      <c r="B74">
        <v>74.760000000000005</v>
      </c>
      <c r="C74">
        <v>75.239999999999995</v>
      </c>
      <c r="D74">
        <v>74.37</v>
      </c>
      <c r="E74">
        <v>74.680000000000007</v>
      </c>
      <c r="F74">
        <v>14394850</v>
      </c>
      <c r="H74">
        <f t="shared" si="1"/>
        <v>-1.0706639138401758E-3</v>
      </c>
    </row>
    <row r="75" spans="1:8" x14ac:dyDescent="0.25">
      <c r="A75" t="s">
        <v>76</v>
      </c>
      <c r="B75">
        <v>74.31</v>
      </c>
      <c r="C75">
        <v>74.94</v>
      </c>
      <c r="D75">
        <v>74.31</v>
      </c>
      <c r="E75">
        <v>74.760000000000005</v>
      </c>
      <c r="F75">
        <v>17910383</v>
      </c>
      <c r="H75">
        <f t="shared" si="1"/>
        <v>1.0488196183054179E-2</v>
      </c>
    </row>
    <row r="76" spans="1:8" x14ac:dyDescent="0.25">
      <c r="A76" t="s">
        <v>77</v>
      </c>
      <c r="B76">
        <v>74.33</v>
      </c>
      <c r="C76">
        <v>74.44</v>
      </c>
      <c r="D76">
        <v>73.84</v>
      </c>
      <c r="E76">
        <v>73.98</v>
      </c>
      <c r="F76">
        <v>14703816</v>
      </c>
      <c r="H76">
        <f t="shared" si="1"/>
        <v>-4.8543784647980884E-3</v>
      </c>
    </row>
    <row r="77" spans="1:8" x14ac:dyDescent="0.25">
      <c r="A77" t="s">
        <v>78</v>
      </c>
      <c r="B77">
        <v>73.680000000000007</v>
      </c>
      <c r="C77">
        <v>74.599999999999994</v>
      </c>
      <c r="D77">
        <v>73.599999999999994</v>
      </c>
      <c r="E77">
        <v>74.34</v>
      </c>
      <c r="F77">
        <v>17471200</v>
      </c>
      <c r="H77">
        <f t="shared" si="1"/>
        <v>1.2725229248636095E-2</v>
      </c>
    </row>
    <row r="78" spans="1:8" x14ac:dyDescent="0.25">
      <c r="A78" t="s">
        <v>79</v>
      </c>
      <c r="B78">
        <v>73.739999999999995</v>
      </c>
      <c r="C78">
        <v>74.040000000000006</v>
      </c>
      <c r="D78">
        <v>73.349999999999994</v>
      </c>
      <c r="E78">
        <v>73.400000000000006</v>
      </c>
      <c r="F78">
        <v>16535785</v>
      </c>
      <c r="H78">
        <f t="shared" si="1"/>
        <v>-2.8569504501445432E-3</v>
      </c>
    </row>
    <row r="79" spans="1:8" x14ac:dyDescent="0.25">
      <c r="A79" t="s">
        <v>80</v>
      </c>
      <c r="B79">
        <v>73.34</v>
      </c>
      <c r="C79">
        <v>73.89</v>
      </c>
      <c r="D79">
        <v>72.98</v>
      </c>
      <c r="E79">
        <v>73.61</v>
      </c>
      <c r="F79">
        <v>22242384</v>
      </c>
      <c r="H79">
        <f t="shared" si="1"/>
        <v>-4.4730674378712851E-3</v>
      </c>
    </row>
    <row r="80" spans="1:8" x14ac:dyDescent="0.25">
      <c r="A80" t="s">
        <v>81</v>
      </c>
      <c r="B80">
        <v>74.709999999999994</v>
      </c>
      <c r="C80">
        <v>74.739999999999995</v>
      </c>
      <c r="D80">
        <v>73.64</v>
      </c>
      <c r="E80">
        <v>73.94</v>
      </c>
      <c r="F80">
        <v>21736161</v>
      </c>
      <c r="H80">
        <f t="shared" si="1"/>
        <v>-1.1162781503338298E-2</v>
      </c>
    </row>
    <row r="81" spans="1:8" x14ac:dyDescent="0.25">
      <c r="A81" t="s">
        <v>82</v>
      </c>
      <c r="B81">
        <v>74.03</v>
      </c>
      <c r="C81">
        <v>74.959999999999994</v>
      </c>
      <c r="D81">
        <v>73.8</v>
      </c>
      <c r="E81">
        <v>74.77</v>
      </c>
      <c r="F81">
        <v>27652811</v>
      </c>
      <c r="H81">
        <f t="shared" si="1"/>
        <v>1.0216515802448986E-2</v>
      </c>
    </row>
    <row r="82" spans="1:8" x14ac:dyDescent="0.25">
      <c r="A82" t="s">
        <v>83</v>
      </c>
      <c r="B82">
        <v>73.010000000000005</v>
      </c>
      <c r="C82">
        <v>74.209999999999994</v>
      </c>
      <c r="D82">
        <v>72.83</v>
      </c>
      <c r="E82">
        <v>74.010000000000005</v>
      </c>
      <c r="F82">
        <v>16897801</v>
      </c>
      <c r="H82">
        <f t="shared" si="1"/>
        <v>1.3056081012666551E-2</v>
      </c>
    </row>
    <row r="83" spans="1:8" x14ac:dyDescent="0.25">
      <c r="A83" t="s">
        <v>84</v>
      </c>
      <c r="B83">
        <v>72.25</v>
      </c>
      <c r="C83">
        <v>73.16</v>
      </c>
      <c r="D83">
        <v>72.05</v>
      </c>
      <c r="E83">
        <v>73.05</v>
      </c>
      <c r="F83">
        <v>11478382</v>
      </c>
      <c r="H83">
        <f t="shared" si="1"/>
        <v>3.0161799668847805E-3</v>
      </c>
    </row>
    <row r="84" spans="1:8" x14ac:dyDescent="0.25">
      <c r="A84" t="s">
        <v>85</v>
      </c>
      <c r="B84">
        <v>73.06</v>
      </c>
      <c r="C84">
        <v>73.09</v>
      </c>
      <c r="D84">
        <v>72.55</v>
      </c>
      <c r="E84">
        <v>72.83</v>
      </c>
      <c r="F84">
        <v>14569715</v>
      </c>
      <c r="H84">
        <f t="shared" si="1"/>
        <v>1.3731548253639869E-4</v>
      </c>
    </row>
    <row r="85" spans="1:8" x14ac:dyDescent="0.25">
      <c r="A85" t="s">
        <v>86</v>
      </c>
      <c r="B85">
        <v>72.86</v>
      </c>
      <c r="C85">
        <v>73.349999999999994</v>
      </c>
      <c r="D85">
        <v>72.48</v>
      </c>
      <c r="E85">
        <v>72.819999999999993</v>
      </c>
      <c r="F85">
        <v>12794301</v>
      </c>
      <c r="H85">
        <f t="shared" si="1"/>
        <v>1.786819250743258E-3</v>
      </c>
    </row>
    <row r="86" spans="1:8" x14ac:dyDescent="0.25">
      <c r="A86" t="s">
        <v>87</v>
      </c>
      <c r="B86">
        <v>72.739999999999995</v>
      </c>
      <c r="C86">
        <v>72.86</v>
      </c>
      <c r="D86">
        <v>72.069999999999993</v>
      </c>
      <c r="E86">
        <v>72.69</v>
      </c>
      <c r="F86">
        <v>17098282</v>
      </c>
      <c r="H86">
        <f t="shared" si="1"/>
        <v>-4.1262637267930189E-4</v>
      </c>
    </row>
    <row r="87" spans="1:8" x14ac:dyDescent="0.25">
      <c r="A87" t="s">
        <v>88</v>
      </c>
      <c r="B87">
        <v>72.959999999999994</v>
      </c>
      <c r="C87">
        <v>73.150000000000006</v>
      </c>
      <c r="D87">
        <v>72.53</v>
      </c>
      <c r="E87">
        <v>72.72</v>
      </c>
      <c r="F87">
        <v>13766507</v>
      </c>
      <c r="H87">
        <f t="shared" si="1"/>
        <v>-6.0323736534415124E-3</v>
      </c>
    </row>
    <row r="88" spans="1:8" x14ac:dyDescent="0.25">
      <c r="A88" t="s">
        <v>89</v>
      </c>
      <c r="B88">
        <v>72.349999999999994</v>
      </c>
      <c r="C88">
        <v>73.239999999999995</v>
      </c>
      <c r="D88">
        <v>72.349999999999994</v>
      </c>
      <c r="E88">
        <v>73.16</v>
      </c>
      <c r="F88">
        <v>14343674</v>
      </c>
      <c r="H88">
        <f t="shared" si="1"/>
        <v>1.3901538302784979E-2</v>
      </c>
    </row>
    <row r="89" spans="1:8" x14ac:dyDescent="0.25">
      <c r="A89" t="s">
        <v>90</v>
      </c>
      <c r="B89">
        <v>72.47</v>
      </c>
      <c r="C89">
        <v>72.48</v>
      </c>
      <c r="D89">
        <v>71.7</v>
      </c>
      <c r="E89">
        <v>72.150000000000006</v>
      </c>
      <c r="F89">
        <v>17734767</v>
      </c>
      <c r="H89">
        <f t="shared" si="1"/>
        <v>-4.70133609290638E-3</v>
      </c>
    </row>
    <row r="90" spans="1:8" x14ac:dyDescent="0.25">
      <c r="A90" t="s">
        <v>91</v>
      </c>
      <c r="B90">
        <v>72.27</v>
      </c>
      <c r="C90">
        <v>72.84</v>
      </c>
      <c r="D90">
        <v>71.930000000000007</v>
      </c>
      <c r="E90">
        <v>72.489999999999995</v>
      </c>
      <c r="F90">
        <v>18761491</v>
      </c>
      <c r="H90">
        <f t="shared" si="1"/>
        <v>1.2423219211155413E-3</v>
      </c>
    </row>
    <row r="91" spans="1:8" x14ac:dyDescent="0.25">
      <c r="A91" t="s">
        <v>92</v>
      </c>
      <c r="B91">
        <v>73.58</v>
      </c>
      <c r="C91">
        <v>73.87</v>
      </c>
      <c r="D91">
        <v>72.400000000000006</v>
      </c>
      <c r="E91">
        <v>72.400000000000006</v>
      </c>
      <c r="F91">
        <v>22977519</v>
      </c>
      <c r="H91">
        <f t="shared" si="1"/>
        <v>-1.7117843516968569E-2</v>
      </c>
    </row>
    <row r="92" spans="1:8" x14ac:dyDescent="0.25">
      <c r="A92" t="s">
        <v>93</v>
      </c>
      <c r="B92">
        <v>73.34</v>
      </c>
      <c r="C92">
        <v>74.099999999999994</v>
      </c>
      <c r="D92">
        <v>73.17</v>
      </c>
      <c r="E92">
        <v>73.650000000000006</v>
      </c>
      <c r="F92">
        <v>18150402</v>
      </c>
      <c r="H92">
        <f t="shared" si="1"/>
        <v>5.8555352165493299E-3</v>
      </c>
    </row>
    <row r="93" spans="1:8" x14ac:dyDescent="0.25">
      <c r="A93" t="s">
        <v>94</v>
      </c>
      <c r="B93">
        <v>73.59</v>
      </c>
      <c r="C93">
        <v>73.59</v>
      </c>
      <c r="D93">
        <v>73.040000000000006</v>
      </c>
      <c r="E93">
        <v>73.22</v>
      </c>
      <c r="F93">
        <v>19181402</v>
      </c>
      <c r="H93">
        <f t="shared" si="1"/>
        <v>-5.0405392464175506E-3</v>
      </c>
    </row>
    <row r="94" spans="1:8" x14ac:dyDescent="0.25">
      <c r="A94" t="s">
        <v>95</v>
      </c>
      <c r="B94">
        <v>73.06</v>
      </c>
      <c r="C94">
        <v>73.72</v>
      </c>
      <c r="D94">
        <v>72.95</v>
      </c>
      <c r="E94">
        <v>73.59</v>
      </c>
      <c r="F94">
        <v>20096592</v>
      </c>
      <c r="H94">
        <f t="shared" si="1"/>
        <v>1.4922585077878471E-2</v>
      </c>
    </row>
    <row r="95" spans="1:8" x14ac:dyDescent="0.25">
      <c r="A95" t="s">
        <v>96</v>
      </c>
      <c r="B95">
        <v>71.61</v>
      </c>
      <c r="C95">
        <v>72.7</v>
      </c>
      <c r="D95">
        <v>71.28</v>
      </c>
      <c r="E95">
        <v>72.5</v>
      </c>
      <c r="F95">
        <v>21443675</v>
      </c>
      <c r="H95">
        <f t="shared" si="1"/>
        <v>1.51486462996105E-2</v>
      </c>
    </row>
    <row r="96" spans="1:8" x14ac:dyDescent="0.25">
      <c r="A96" t="s">
        <v>97</v>
      </c>
      <c r="B96">
        <v>71.900000000000006</v>
      </c>
      <c r="C96">
        <v>72.19</v>
      </c>
      <c r="D96">
        <v>71.349999999999994</v>
      </c>
      <c r="E96">
        <v>71.41</v>
      </c>
      <c r="F96">
        <v>24734461</v>
      </c>
      <c r="H96">
        <f t="shared" si="1"/>
        <v>-1.4734767560171483E-2</v>
      </c>
    </row>
    <row r="97" spans="1:8" x14ac:dyDescent="0.25">
      <c r="A97" t="s">
        <v>98</v>
      </c>
      <c r="B97">
        <v>72.25</v>
      </c>
      <c r="C97">
        <v>72.510000000000005</v>
      </c>
      <c r="D97">
        <v>72.05</v>
      </c>
      <c r="E97">
        <v>72.47</v>
      </c>
      <c r="F97">
        <v>22213410</v>
      </c>
      <c r="H97">
        <f t="shared" si="1"/>
        <v>-4.4059000089765954E-3</v>
      </c>
    </row>
    <row r="98" spans="1:8" x14ac:dyDescent="0.25">
      <c r="A98" t="s">
        <v>99</v>
      </c>
      <c r="B98">
        <v>72.09</v>
      </c>
      <c r="C98">
        <v>73.13</v>
      </c>
      <c r="D98">
        <v>71.75</v>
      </c>
      <c r="E98">
        <v>72.790000000000006</v>
      </c>
      <c r="F98">
        <v>22044587</v>
      </c>
      <c r="H98">
        <f t="shared" si="1"/>
        <v>5.3722837384959305E-3</v>
      </c>
    </row>
    <row r="99" spans="1:8" x14ac:dyDescent="0.25">
      <c r="A99" t="s">
        <v>100</v>
      </c>
      <c r="B99">
        <v>72.8</v>
      </c>
      <c r="C99">
        <v>72.900000000000006</v>
      </c>
      <c r="D99">
        <v>72.260000000000005</v>
      </c>
      <c r="E99">
        <v>72.400000000000006</v>
      </c>
      <c r="F99">
        <v>18705681</v>
      </c>
      <c r="H99">
        <f t="shared" si="1"/>
        <v>-3.8599441362997698E-3</v>
      </c>
    </row>
    <row r="100" spans="1:8" x14ac:dyDescent="0.25">
      <c r="A100" t="s">
        <v>101</v>
      </c>
      <c r="B100">
        <v>72.400000000000006</v>
      </c>
      <c r="C100">
        <v>73.040000000000006</v>
      </c>
      <c r="D100">
        <v>72.239999999999995</v>
      </c>
      <c r="E100">
        <v>72.680000000000007</v>
      </c>
      <c r="F100">
        <v>22578952</v>
      </c>
      <c r="H100">
        <f t="shared" si="1"/>
        <v>7.3189583080904659E-3</v>
      </c>
    </row>
    <row r="101" spans="1:8" x14ac:dyDescent="0.25">
      <c r="A101" t="s">
        <v>102</v>
      </c>
      <c r="B101">
        <v>72.19</v>
      </c>
      <c r="C101">
        <v>72.44</v>
      </c>
      <c r="D101">
        <v>71.84</v>
      </c>
      <c r="E101">
        <v>72.150000000000006</v>
      </c>
      <c r="F101">
        <v>18214424</v>
      </c>
      <c r="H101">
        <f t="shared" si="1"/>
        <v>-1.5234404996143148E-3</v>
      </c>
    </row>
    <row r="102" spans="1:8" x14ac:dyDescent="0.25">
      <c r="A102" t="s">
        <v>103</v>
      </c>
      <c r="B102">
        <v>72.55</v>
      </c>
      <c r="C102">
        <v>72.56</v>
      </c>
      <c r="D102">
        <v>71.44</v>
      </c>
      <c r="E102">
        <v>72.260000000000005</v>
      </c>
      <c r="F102">
        <v>26499158</v>
      </c>
      <c r="H102">
        <f t="shared" si="1"/>
        <v>-4.4186760654300666E-3</v>
      </c>
    </row>
    <row r="103" spans="1:8" x14ac:dyDescent="0.25">
      <c r="A103" t="s">
        <v>104</v>
      </c>
      <c r="B103">
        <v>73.099999999999994</v>
      </c>
      <c r="C103">
        <v>73.42</v>
      </c>
      <c r="D103">
        <v>72.489999999999995</v>
      </c>
      <c r="E103">
        <v>72.58</v>
      </c>
      <c r="F103">
        <v>20823890</v>
      </c>
      <c r="H103">
        <f t="shared" si="1"/>
        <v>-1.6519827545494927E-3</v>
      </c>
    </row>
    <row r="104" spans="1:8" x14ac:dyDescent="0.25">
      <c r="A104" t="s">
        <v>105</v>
      </c>
      <c r="B104">
        <v>73.3</v>
      </c>
      <c r="C104">
        <v>73.44</v>
      </c>
      <c r="D104">
        <v>72.41</v>
      </c>
      <c r="E104">
        <v>72.7</v>
      </c>
      <c r="F104">
        <v>23600054</v>
      </c>
      <c r="H104">
        <f t="shared" si="1"/>
        <v>-4.6658517472394348E-3</v>
      </c>
    </row>
    <row r="105" spans="1:8" x14ac:dyDescent="0.25">
      <c r="A105" t="s">
        <v>106</v>
      </c>
      <c r="B105">
        <v>72.67</v>
      </c>
      <c r="C105">
        <v>73.31</v>
      </c>
      <c r="D105">
        <v>72.540000000000006</v>
      </c>
      <c r="E105">
        <v>73.040000000000006</v>
      </c>
      <c r="F105">
        <v>18306680</v>
      </c>
      <c r="H105">
        <f t="shared" si="1"/>
        <v>-1.6415872359517465E-3</v>
      </c>
    </row>
    <row r="106" spans="1:8" x14ac:dyDescent="0.25">
      <c r="A106" t="s">
        <v>107</v>
      </c>
      <c r="B106">
        <v>73.760000000000005</v>
      </c>
      <c r="C106">
        <v>74.42</v>
      </c>
      <c r="D106">
        <v>72.319999999999993</v>
      </c>
      <c r="E106">
        <v>73.16</v>
      </c>
      <c r="F106">
        <v>36844220</v>
      </c>
      <c r="H106">
        <f t="shared" si="1"/>
        <v>-1.2091717191142846E-2</v>
      </c>
    </row>
    <row r="107" spans="1:8" x14ac:dyDescent="0.25">
      <c r="A107" t="s">
        <v>108</v>
      </c>
      <c r="B107">
        <v>74.34</v>
      </c>
      <c r="C107">
        <v>74.38</v>
      </c>
      <c r="D107">
        <v>73.81</v>
      </c>
      <c r="E107">
        <v>74.05</v>
      </c>
      <c r="F107">
        <v>16252233</v>
      </c>
      <c r="H107">
        <f t="shared" si="1"/>
        <v>-1.8888294876267908E-3</v>
      </c>
    </row>
    <row r="108" spans="1:8" x14ac:dyDescent="0.25">
      <c r="A108" t="s">
        <v>109</v>
      </c>
      <c r="B108">
        <v>73.8</v>
      </c>
      <c r="C108">
        <v>74.31</v>
      </c>
      <c r="D108">
        <v>73.5</v>
      </c>
      <c r="E108">
        <v>74.19</v>
      </c>
      <c r="F108">
        <v>22018681</v>
      </c>
      <c r="H108">
        <f t="shared" si="1"/>
        <v>7.9843444666039629E-3</v>
      </c>
    </row>
    <row r="109" spans="1:8" x14ac:dyDescent="0.25">
      <c r="A109" t="s">
        <v>110</v>
      </c>
      <c r="B109">
        <v>73.53</v>
      </c>
      <c r="C109">
        <v>73.75</v>
      </c>
      <c r="D109">
        <v>73.13</v>
      </c>
      <c r="E109">
        <v>73.599999999999994</v>
      </c>
      <c r="F109">
        <v>21394826</v>
      </c>
      <c r="H109">
        <f t="shared" si="1"/>
        <v>-2.5781953354448543E-3</v>
      </c>
    </row>
    <row r="110" spans="1:8" x14ac:dyDescent="0.25">
      <c r="A110" t="s">
        <v>111</v>
      </c>
      <c r="B110">
        <v>73.45</v>
      </c>
      <c r="C110">
        <v>74.290000000000006</v>
      </c>
      <c r="D110">
        <v>73.17</v>
      </c>
      <c r="E110">
        <v>73.790000000000006</v>
      </c>
      <c r="F110">
        <v>46717082</v>
      </c>
      <c r="H110">
        <f t="shared" si="1"/>
        <v>-5.8104345621761587E-3</v>
      </c>
    </row>
    <row r="111" spans="1:8" x14ac:dyDescent="0.25">
      <c r="A111" t="s">
        <v>112</v>
      </c>
      <c r="B111">
        <v>74.180000000000007</v>
      </c>
      <c r="C111">
        <v>74.3</v>
      </c>
      <c r="D111">
        <v>73.28</v>
      </c>
      <c r="E111">
        <v>74.22</v>
      </c>
      <c r="F111">
        <v>42361025</v>
      </c>
      <c r="H111">
        <f t="shared" si="1"/>
        <v>4.862246208034336E-3</v>
      </c>
    </row>
    <row r="112" spans="1:8" x14ac:dyDescent="0.25">
      <c r="A112" t="s">
        <v>113</v>
      </c>
      <c r="B112">
        <v>73.5</v>
      </c>
      <c r="C112">
        <v>74.040000000000006</v>
      </c>
      <c r="D112">
        <v>73.45</v>
      </c>
      <c r="E112">
        <v>73.86</v>
      </c>
      <c r="F112">
        <v>22416222</v>
      </c>
      <c r="H112">
        <f t="shared" si="1"/>
        <v>7.6108005318114508E-3</v>
      </c>
    </row>
    <row r="113" spans="1:8" x14ac:dyDescent="0.25">
      <c r="A113" t="s">
        <v>114</v>
      </c>
      <c r="B113">
        <v>73.09</v>
      </c>
      <c r="C113">
        <v>73.39</v>
      </c>
      <c r="D113">
        <v>72.66</v>
      </c>
      <c r="E113">
        <v>73.3</v>
      </c>
      <c r="F113">
        <v>26435296</v>
      </c>
      <c r="H113">
        <f t="shared" si="1"/>
        <v>-6.8189569638482477E-4</v>
      </c>
    </row>
    <row r="114" spans="1:8" x14ac:dyDescent="0.25">
      <c r="A114" t="s">
        <v>115</v>
      </c>
      <c r="B114">
        <v>72.8</v>
      </c>
      <c r="C114">
        <v>73.45</v>
      </c>
      <c r="D114">
        <v>72.72</v>
      </c>
      <c r="E114">
        <v>73.349999999999994</v>
      </c>
      <c r="F114">
        <v>21803907</v>
      </c>
      <c r="H114">
        <f t="shared" si="1"/>
        <v>7.8013124049769265E-3</v>
      </c>
    </row>
    <row r="115" spans="1:8" x14ac:dyDescent="0.25">
      <c r="A115" t="s">
        <v>116</v>
      </c>
      <c r="B115">
        <v>72.239999999999995</v>
      </c>
      <c r="C115">
        <v>73.27</v>
      </c>
      <c r="D115">
        <v>71.959999999999994</v>
      </c>
      <c r="E115">
        <v>72.78</v>
      </c>
      <c r="F115">
        <v>25868086</v>
      </c>
      <c r="H115">
        <f t="shared" si="1"/>
        <v>1.3974630742033292E-2</v>
      </c>
    </row>
    <row r="116" spans="1:8" x14ac:dyDescent="0.25">
      <c r="A116" t="s">
        <v>117</v>
      </c>
      <c r="B116">
        <v>71.5</v>
      </c>
      <c r="C116">
        <v>72.040000000000006</v>
      </c>
      <c r="D116">
        <v>71.31</v>
      </c>
      <c r="E116">
        <v>71.77</v>
      </c>
      <c r="F116">
        <v>20269816</v>
      </c>
      <c r="H116">
        <f t="shared" si="1"/>
        <v>8.6762369061189233E-3</v>
      </c>
    </row>
    <row r="117" spans="1:8" x14ac:dyDescent="0.25">
      <c r="A117" t="s">
        <v>118</v>
      </c>
      <c r="B117">
        <v>70.69</v>
      </c>
      <c r="C117">
        <v>71.28</v>
      </c>
      <c r="D117">
        <v>70.55</v>
      </c>
      <c r="E117">
        <v>71.150000000000006</v>
      </c>
      <c r="F117">
        <v>17750925</v>
      </c>
      <c r="H117">
        <f t="shared" si="1"/>
        <v>1.643794983441315E-2</v>
      </c>
    </row>
    <row r="118" spans="1:8" x14ac:dyDescent="0.25">
      <c r="A118" t="s">
        <v>119</v>
      </c>
      <c r="B118">
        <v>70.11</v>
      </c>
      <c r="C118">
        <v>70.680000000000007</v>
      </c>
      <c r="D118">
        <v>69.75</v>
      </c>
      <c r="E118">
        <v>69.989999999999995</v>
      </c>
      <c r="F118">
        <v>17460022</v>
      </c>
      <c r="H118">
        <f t="shared" si="1"/>
        <v>1.4288776190616461E-4</v>
      </c>
    </row>
    <row r="119" spans="1:8" x14ac:dyDescent="0.25">
      <c r="A119" t="s">
        <v>120</v>
      </c>
      <c r="B119">
        <v>69.459999999999994</v>
      </c>
      <c r="C119">
        <v>70.25</v>
      </c>
      <c r="D119">
        <v>69.2</v>
      </c>
      <c r="E119">
        <v>69.98</v>
      </c>
      <c r="F119">
        <v>15014503</v>
      </c>
      <c r="H119">
        <f t="shared" si="1"/>
        <v>7.4584396236142079E-3</v>
      </c>
    </row>
    <row r="120" spans="1:8" x14ac:dyDescent="0.25">
      <c r="A120" t="s">
        <v>121</v>
      </c>
      <c r="B120">
        <v>68.7</v>
      </c>
      <c r="C120">
        <v>69.84</v>
      </c>
      <c r="D120">
        <v>68.7</v>
      </c>
      <c r="E120">
        <v>69.459999999999994</v>
      </c>
      <c r="F120">
        <v>16878317</v>
      </c>
      <c r="H120">
        <f t="shared" si="1"/>
        <v>1.2895926019654879E-2</v>
      </c>
    </row>
    <row r="121" spans="1:8" x14ac:dyDescent="0.25">
      <c r="A121" t="s">
        <v>122</v>
      </c>
      <c r="B121">
        <v>68.27</v>
      </c>
      <c r="C121">
        <v>68.78</v>
      </c>
      <c r="D121">
        <v>68.12</v>
      </c>
      <c r="E121">
        <v>68.569999999999993</v>
      </c>
      <c r="F121">
        <v>21117572</v>
      </c>
      <c r="H121">
        <f t="shared" si="1"/>
        <v>-7.4101319822048551E-3</v>
      </c>
    </row>
    <row r="122" spans="1:8" x14ac:dyDescent="0.25">
      <c r="A122" t="s">
        <v>123</v>
      </c>
      <c r="B122">
        <v>68.260000000000005</v>
      </c>
      <c r="C122">
        <v>69.44</v>
      </c>
      <c r="D122">
        <v>68.22</v>
      </c>
      <c r="E122">
        <v>69.08</v>
      </c>
      <c r="F122">
        <v>21176272</v>
      </c>
      <c r="H122">
        <f t="shared" si="1"/>
        <v>1.3260667903783952E-2</v>
      </c>
    </row>
    <row r="123" spans="1:8" x14ac:dyDescent="0.25">
      <c r="A123" t="s">
        <v>124</v>
      </c>
      <c r="B123">
        <v>69.33</v>
      </c>
      <c r="C123">
        <v>69.599999999999994</v>
      </c>
      <c r="D123">
        <v>68.02</v>
      </c>
      <c r="E123">
        <v>68.17</v>
      </c>
      <c r="F123">
        <v>16165538</v>
      </c>
      <c r="H123">
        <f t="shared" si="1"/>
        <v>-1.1086911522866618E-2</v>
      </c>
    </row>
    <row r="124" spans="1:8" x14ac:dyDescent="0.25">
      <c r="A124" t="s">
        <v>125</v>
      </c>
      <c r="B124">
        <v>68.78</v>
      </c>
      <c r="C124">
        <v>69.38</v>
      </c>
      <c r="D124">
        <v>68.739999999999995</v>
      </c>
      <c r="E124">
        <v>68.930000000000007</v>
      </c>
      <c r="F124">
        <v>24161068</v>
      </c>
      <c r="H124">
        <f t="shared" si="1"/>
        <v>6.4037476877467246E-3</v>
      </c>
    </row>
    <row r="125" spans="1:8" x14ac:dyDescent="0.25">
      <c r="A125" t="s">
        <v>126</v>
      </c>
      <c r="B125">
        <v>69.38</v>
      </c>
      <c r="C125">
        <v>69.489999999999995</v>
      </c>
      <c r="D125">
        <v>68.09</v>
      </c>
      <c r="E125">
        <v>68.489999999999995</v>
      </c>
      <c r="F125">
        <v>28918715</v>
      </c>
      <c r="H125">
        <f t="shared" si="1"/>
        <v>-1.8946260558512978E-2</v>
      </c>
    </row>
    <row r="126" spans="1:8" x14ac:dyDescent="0.25">
      <c r="A126" t="s">
        <v>127</v>
      </c>
      <c r="B126">
        <v>69.209999999999994</v>
      </c>
      <c r="C126">
        <v>69.84</v>
      </c>
      <c r="D126">
        <v>68.790000000000006</v>
      </c>
      <c r="E126">
        <v>69.8</v>
      </c>
      <c r="F126">
        <v>25806200</v>
      </c>
      <c r="H126">
        <f t="shared" si="1"/>
        <v>8.4886489145549367E-3</v>
      </c>
    </row>
    <row r="127" spans="1:8" x14ac:dyDescent="0.25">
      <c r="A127" t="s">
        <v>128</v>
      </c>
      <c r="B127">
        <v>70.11</v>
      </c>
      <c r="C127">
        <v>70.180000000000007</v>
      </c>
      <c r="D127">
        <v>69.180000000000007</v>
      </c>
      <c r="E127">
        <v>69.209999999999994</v>
      </c>
      <c r="F127">
        <v>25215128</v>
      </c>
      <c r="H127">
        <f t="shared" si="1"/>
        <v>-1.8892790366315936E-2</v>
      </c>
    </row>
    <row r="128" spans="1:8" x14ac:dyDescent="0.25">
      <c r="A128" t="s">
        <v>129</v>
      </c>
      <c r="B128">
        <v>71.400000000000006</v>
      </c>
      <c r="C128">
        <v>71.709999999999994</v>
      </c>
      <c r="D128">
        <v>70.44</v>
      </c>
      <c r="E128">
        <v>70.53</v>
      </c>
      <c r="F128">
        <v>19606974</v>
      </c>
      <c r="H128">
        <f t="shared" si="1"/>
        <v>-9.5951067739454138E-3</v>
      </c>
    </row>
    <row r="129" spans="1:8" x14ac:dyDescent="0.25">
      <c r="A129" t="s">
        <v>130</v>
      </c>
      <c r="B129">
        <v>70.09</v>
      </c>
      <c r="C129">
        <v>71.25</v>
      </c>
      <c r="D129">
        <v>69.92</v>
      </c>
      <c r="E129">
        <v>71.209999999999994</v>
      </c>
      <c r="F129">
        <v>27617291</v>
      </c>
      <c r="H129">
        <f t="shared" si="1"/>
        <v>1.3430611156352208E-2</v>
      </c>
    </row>
    <row r="130" spans="1:8" x14ac:dyDescent="0.25">
      <c r="A130" t="s">
        <v>131</v>
      </c>
      <c r="B130">
        <v>70.540000000000006</v>
      </c>
      <c r="C130">
        <v>70.59</v>
      </c>
      <c r="D130">
        <v>69.709999999999994</v>
      </c>
      <c r="E130">
        <v>70.260000000000005</v>
      </c>
      <c r="F130">
        <v>22965738</v>
      </c>
      <c r="H130">
        <f t="shared" si="1"/>
        <v>-1.4231836642518975E-4</v>
      </c>
    </row>
    <row r="131" spans="1:8" x14ac:dyDescent="0.25">
      <c r="A131" t="s">
        <v>132</v>
      </c>
      <c r="B131">
        <v>70.209999999999994</v>
      </c>
      <c r="C131">
        <v>70.62</v>
      </c>
      <c r="D131">
        <v>69.94</v>
      </c>
      <c r="E131">
        <v>70.27</v>
      </c>
      <c r="F131">
        <v>19891051</v>
      </c>
      <c r="H131">
        <f t="shared" ref="H131:H194" si="2">IFERROR(LN(E131/E132),"")</f>
        <v>5.136264680212505E-3</v>
      </c>
    </row>
    <row r="132" spans="1:8" x14ac:dyDescent="0.25">
      <c r="A132" t="s">
        <v>133</v>
      </c>
      <c r="B132">
        <v>70.819999999999993</v>
      </c>
      <c r="C132">
        <v>70.87</v>
      </c>
      <c r="D132">
        <v>69.87</v>
      </c>
      <c r="E132">
        <v>69.91</v>
      </c>
      <c r="F132">
        <v>21512231</v>
      </c>
      <c r="H132">
        <f t="shared" si="2"/>
        <v>-1.3638512298270993E-2</v>
      </c>
    </row>
    <row r="133" spans="1:8" x14ac:dyDescent="0.25">
      <c r="A133" t="s">
        <v>134</v>
      </c>
      <c r="B133">
        <v>70.5</v>
      </c>
      <c r="C133">
        <v>70.94</v>
      </c>
      <c r="D133">
        <v>70.349999999999994</v>
      </c>
      <c r="E133">
        <v>70.87</v>
      </c>
      <c r="F133">
        <v>23798268</v>
      </c>
      <c r="H133">
        <f t="shared" si="2"/>
        <v>1.235197077280567E-2</v>
      </c>
    </row>
    <row r="134" spans="1:8" x14ac:dyDescent="0.25">
      <c r="A134" t="s">
        <v>135</v>
      </c>
      <c r="B134">
        <v>69.73</v>
      </c>
      <c r="C134">
        <v>70.03</v>
      </c>
      <c r="D134">
        <v>69.22</v>
      </c>
      <c r="E134">
        <v>70</v>
      </c>
      <c r="F134">
        <v>48345085</v>
      </c>
      <c r="H134">
        <f t="shared" si="2"/>
        <v>1.4295928095943715E-3</v>
      </c>
    </row>
    <row r="135" spans="1:8" x14ac:dyDescent="0.25">
      <c r="A135" t="s">
        <v>136</v>
      </c>
      <c r="B135">
        <v>69.27</v>
      </c>
      <c r="C135">
        <v>70.209999999999994</v>
      </c>
      <c r="D135">
        <v>68.8</v>
      </c>
      <c r="E135">
        <v>69.900000000000006</v>
      </c>
      <c r="F135">
        <v>26068709</v>
      </c>
      <c r="H135">
        <f t="shared" si="2"/>
        <v>-5.2793159643416921E-3</v>
      </c>
    </row>
    <row r="136" spans="1:8" x14ac:dyDescent="0.25">
      <c r="A136" t="s">
        <v>137</v>
      </c>
      <c r="B136">
        <v>70.91</v>
      </c>
      <c r="C136">
        <v>71.099999999999994</v>
      </c>
      <c r="D136">
        <v>69.430000000000007</v>
      </c>
      <c r="E136">
        <v>70.27</v>
      </c>
      <c r="F136">
        <v>25510685</v>
      </c>
      <c r="H136">
        <f t="shared" si="2"/>
        <v>-5.3931439264302853E-3</v>
      </c>
    </row>
    <row r="137" spans="1:8" x14ac:dyDescent="0.25">
      <c r="A137" t="s">
        <v>138</v>
      </c>
      <c r="B137">
        <v>70.02</v>
      </c>
      <c r="C137">
        <v>70.819999999999993</v>
      </c>
      <c r="D137">
        <v>69.959999999999994</v>
      </c>
      <c r="E137">
        <v>70.650000000000006</v>
      </c>
      <c r="F137">
        <v>25258614</v>
      </c>
      <c r="H137">
        <f t="shared" si="2"/>
        <v>1.2390673371908526E-2</v>
      </c>
    </row>
    <row r="138" spans="1:8" x14ac:dyDescent="0.25">
      <c r="A138" t="s">
        <v>139</v>
      </c>
      <c r="B138">
        <v>69.25</v>
      </c>
      <c r="C138">
        <v>69.94</v>
      </c>
      <c r="D138">
        <v>68.13</v>
      </c>
      <c r="E138">
        <v>69.78</v>
      </c>
      <c r="F138">
        <v>47761743</v>
      </c>
      <c r="H138">
        <f t="shared" si="2"/>
        <v>-7.7088176182933356E-3</v>
      </c>
    </row>
    <row r="139" spans="1:8" x14ac:dyDescent="0.25">
      <c r="A139" t="s">
        <v>140</v>
      </c>
      <c r="B139">
        <v>72.040000000000006</v>
      </c>
      <c r="C139">
        <v>72.08</v>
      </c>
      <c r="D139">
        <v>68.59</v>
      </c>
      <c r="E139">
        <v>70.319999999999993</v>
      </c>
      <c r="F139">
        <v>49187396</v>
      </c>
      <c r="H139">
        <f t="shared" si="2"/>
        <v>-2.291517995645543E-2</v>
      </c>
    </row>
    <row r="140" spans="1:8" x14ac:dyDescent="0.25">
      <c r="A140" t="s">
        <v>141</v>
      </c>
      <c r="B140">
        <v>72.510000000000005</v>
      </c>
      <c r="C140">
        <v>72.52</v>
      </c>
      <c r="D140">
        <v>71.5</v>
      </c>
      <c r="E140">
        <v>71.95</v>
      </c>
      <c r="F140">
        <v>24588270</v>
      </c>
      <c r="H140">
        <f t="shared" si="2"/>
        <v>-6.0967349716732474E-3</v>
      </c>
    </row>
    <row r="141" spans="1:8" x14ac:dyDescent="0.25">
      <c r="A141" t="s">
        <v>142</v>
      </c>
      <c r="B141">
        <v>72.64</v>
      </c>
      <c r="C141">
        <v>72.77</v>
      </c>
      <c r="D141">
        <v>71.95</v>
      </c>
      <c r="E141">
        <v>72.39</v>
      </c>
      <c r="F141">
        <v>22301765</v>
      </c>
      <c r="H141">
        <f t="shared" si="2"/>
        <v>-1.7942175816002374E-3</v>
      </c>
    </row>
    <row r="142" spans="1:8" x14ac:dyDescent="0.25">
      <c r="A142" t="s">
        <v>143</v>
      </c>
      <c r="B142">
        <v>72.3</v>
      </c>
      <c r="C142">
        <v>72.62</v>
      </c>
      <c r="D142">
        <v>72.27</v>
      </c>
      <c r="E142">
        <v>72.52</v>
      </c>
      <c r="F142">
        <v>31511065</v>
      </c>
      <c r="H142">
        <f t="shared" si="2"/>
        <v>3.3149201626224557E-3</v>
      </c>
    </row>
    <row r="143" spans="1:8" x14ac:dyDescent="0.25">
      <c r="A143" t="s">
        <v>144</v>
      </c>
      <c r="B143">
        <v>71.97</v>
      </c>
      <c r="C143">
        <v>72.89</v>
      </c>
      <c r="D143">
        <v>71.81</v>
      </c>
      <c r="E143">
        <v>72.28</v>
      </c>
      <c r="F143">
        <v>33316760</v>
      </c>
      <c r="H143">
        <f t="shared" si="2"/>
        <v>7.2202479734870973E-3</v>
      </c>
    </row>
    <row r="144" spans="1:8" x14ac:dyDescent="0.25">
      <c r="A144" t="s">
        <v>145</v>
      </c>
      <c r="B144">
        <v>70.44</v>
      </c>
      <c r="C144">
        <v>71.86</v>
      </c>
      <c r="D144">
        <v>70.239999999999995</v>
      </c>
      <c r="E144">
        <v>71.760000000000005</v>
      </c>
      <c r="F144">
        <v>34770261</v>
      </c>
      <c r="H144">
        <f t="shared" si="2"/>
        <v>2.3404423709996326E-2</v>
      </c>
    </row>
    <row r="145" spans="1:8" x14ac:dyDescent="0.25">
      <c r="A145" t="s">
        <v>146</v>
      </c>
      <c r="B145">
        <v>70.239999999999995</v>
      </c>
      <c r="C145">
        <v>70.61</v>
      </c>
      <c r="D145">
        <v>69.45</v>
      </c>
      <c r="E145">
        <v>70.099999999999994</v>
      </c>
      <c r="F145">
        <v>21603601</v>
      </c>
      <c r="H145">
        <f t="shared" si="2"/>
        <v>3.7158825091974071E-3</v>
      </c>
    </row>
    <row r="146" spans="1:8" x14ac:dyDescent="0.25">
      <c r="A146" t="s">
        <v>147</v>
      </c>
      <c r="B146">
        <v>70.53</v>
      </c>
      <c r="C146">
        <v>70.739999999999995</v>
      </c>
      <c r="D146">
        <v>69.81</v>
      </c>
      <c r="E146">
        <v>69.84</v>
      </c>
      <c r="F146">
        <v>30436364</v>
      </c>
      <c r="H146">
        <f t="shared" si="2"/>
        <v>-8.1283869996950243E-3</v>
      </c>
    </row>
    <row r="147" spans="1:8" x14ac:dyDescent="0.25">
      <c r="A147" t="s">
        <v>148</v>
      </c>
      <c r="B147">
        <v>69.790000000000006</v>
      </c>
      <c r="C147">
        <v>70.41</v>
      </c>
      <c r="D147">
        <v>69.77</v>
      </c>
      <c r="E147">
        <v>70.41</v>
      </c>
      <c r="F147">
        <v>17072838</v>
      </c>
      <c r="H147">
        <f t="shared" si="2"/>
        <v>6.4116483806404903E-3</v>
      </c>
    </row>
    <row r="148" spans="1:8" x14ac:dyDescent="0.25">
      <c r="A148" t="s">
        <v>149</v>
      </c>
      <c r="B148">
        <v>69.8</v>
      </c>
      <c r="C148">
        <v>70.22</v>
      </c>
      <c r="D148">
        <v>69.52</v>
      </c>
      <c r="E148">
        <v>69.959999999999994</v>
      </c>
      <c r="F148">
        <v>19827923</v>
      </c>
      <c r="H148">
        <f t="shared" si="2"/>
        <v>4.8717677671083074E-3</v>
      </c>
    </row>
    <row r="149" spans="1:8" x14ac:dyDescent="0.25">
      <c r="A149" t="s">
        <v>150</v>
      </c>
      <c r="B149">
        <v>68.97</v>
      </c>
      <c r="C149">
        <v>69.88</v>
      </c>
      <c r="D149">
        <v>68.91</v>
      </c>
      <c r="E149">
        <v>69.62</v>
      </c>
      <c r="F149">
        <v>21854095</v>
      </c>
      <c r="H149">
        <f t="shared" si="2"/>
        <v>1.2284279051548143E-2</v>
      </c>
    </row>
    <row r="150" spans="1:8" x14ac:dyDescent="0.25">
      <c r="A150" t="s">
        <v>151</v>
      </c>
      <c r="B150">
        <v>68.87</v>
      </c>
      <c r="C150">
        <v>68.88</v>
      </c>
      <c r="D150">
        <v>68.45</v>
      </c>
      <c r="E150">
        <v>68.77</v>
      </c>
      <c r="F150">
        <v>14666865</v>
      </c>
      <c r="H150">
        <f t="shared" si="2"/>
        <v>1.3095673024698907E-3</v>
      </c>
    </row>
    <row r="151" spans="1:8" x14ac:dyDescent="0.25">
      <c r="A151" t="s">
        <v>152</v>
      </c>
      <c r="B151">
        <v>68.72</v>
      </c>
      <c r="C151">
        <v>68.75</v>
      </c>
      <c r="D151">
        <v>68.38</v>
      </c>
      <c r="E151">
        <v>68.680000000000007</v>
      </c>
      <c r="F151">
        <v>15425824</v>
      </c>
      <c r="H151">
        <f t="shared" si="2"/>
        <v>3.3544842948168585E-3</v>
      </c>
    </row>
    <row r="152" spans="1:8" x14ac:dyDescent="0.25">
      <c r="A152" t="s">
        <v>153</v>
      </c>
      <c r="B152">
        <v>67.89</v>
      </c>
      <c r="C152">
        <v>68.5</v>
      </c>
      <c r="D152">
        <v>67.5</v>
      </c>
      <c r="E152">
        <v>68.45</v>
      </c>
      <c r="F152">
        <v>16237550</v>
      </c>
      <c r="H152">
        <f t="shared" si="2"/>
        <v>1.1165093213941678E-2</v>
      </c>
    </row>
    <row r="153" spans="1:8" x14ac:dyDescent="0.25">
      <c r="A153" t="s">
        <v>154</v>
      </c>
      <c r="B153">
        <v>67.5</v>
      </c>
      <c r="C153">
        <v>68.099999999999994</v>
      </c>
      <c r="D153">
        <v>67.430000000000007</v>
      </c>
      <c r="E153">
        <v>67.69</v>
      </c>
      <c r="F153">
        <v>26961119</v>
      </c>
      <c r="H153">
        <f t="shared" si="2"/>
        <v>-2.95420977037727E-4</v>
      </c>
    </row>
    <row r="154" spans="1:8" x14ac:dyDescent="0.25">
      <c r="A154" t="s">
        <v>155</v>
      </c>
      <c r="B154">
        <v>67.400000000000006</v>
      </c>
      <c r="C154">
        <v>68.13</v>
      </c>
      <c r="D154">
        <v>67.14</v>
      </c>
      <c r="E154">
        <v>67.709999999999994</v>
      </c>
      <c r="F154">
        <v>25201274</v>
      </c>
      <c r="H154">
        <f t="shared" si="2"/>
        <v>3.4026218197862317E-3</v>
      </c>
    </row>
    <row r="155" spans="1:8" x14ac:dyDescent="0.25">
      <c r="A155" t="s">
        <v>156</v>
      </c>
      <c r="B155">
        <v>68.89</v>
      </c>
      <c r="C155">
        <v>69.099999999999994</v>
      </c>
      <c r="D155">
        <v>67.430000000000007</v>
      </c>
      <c r="E155">
        <v>67.48</v>
      </c>
      <c r="F155">
        <v>30548781</v>
      </c>
      <c r="H155">
        <f t="shared" si="2"/>
        <v>-2.8199691673724634E-2</v>
      </c>
    </row>
    <row r="156" spans="1:8" x14ac:dyDescent="0.25">
      <c r="A156" t="s">
        <v>157</v>
      </c>
      <c r="B156">
        <v>68.23</v>
      </c>
      <c r="C156">
        <v>69.44</v>
      </c>
      <c r="D156">
        <v>68.16</v>
      </c>
      <c r="E156">
        <v>69.41</v>
      </c>
      <c r="F156">
        <v>34956038</v>
      </c>
      <c r="H156">
        <f t="shared" si="2"/>
        <v>1.421962438708578E-2</v>
      </c>
    </row>
    <row r="157" spans="1:8" x14ac:dyDescent="0.25">
      <c r="A157" t="s">
        <v>158</v>
      </c>
      <c r="B157">
        <v>68.14</v>
      </c>
      <c r="C157">
        <v>68.48</v>
      </c>
      <c r="D157">
        <v>67.569999999999993</v>
      </c>
      <c r="E157">
        <v>68.430000000000007</v>
      </c>
      <c r="F157">
        <v>31530301</v>
      </c>
      <c r="H157">
        <f t="shared" si="2"/>
        <v>7.3094075325139216E-4</v>
      </c>
    </row>
    <row r="158" spans="1:8" x14ac:dyDescent="0.25">
      <c r="A158" t="s">
        <v>159</v>
      </c>
      <c r="B158">
        <v>68.61</v>
      </c>
      <c r="C158">
        <v>68.61</v>
      </c>
      <c r="D158">
        <v>68.040000000000006</v>
      </c>
      <c r="E158">
        <v>68.38</v>
      </c>
      <c r="F158">
        <v>18714123</v>
      </c>
      <c r="H158">
        <f t="shared" si="2"/>
        <v>-1.169248890884063E-3</v>
      </c>
    </row>
    <row r="159" spans="1:8" x14ac:dyDescent="0.25">
      <c r="A159" t="s">
        <v>160</v>
      </c>
      <c r="B159">
        <v>68.36</v>
      </c>
      <c r="C159">
        <v>68.73</v>
      </c>
      <c r="D159">
        <v>68.12</v>
      </c>
      <c r="E159">
        <v>68.459999999999994</v>
      </c>
      <c r="F159">
        <v>28789413</v>
      </c>
      <c r="H159">
        <f t="shared" si="2"/>
        <v>-1.2339562827854197E-2</v>
      </c>
    </row>
    <row r="160" spans="1:8" x14ac:dyDescent="0.25">
      <c r="A160" t="s">
        <v>161</v>
      </c>
      <c r="B160">
        <v>68.989999999999995</v>
      </c>
      <c r="C160">
        <v>69.56</v>
      </c>
      <c r="D160">
        <v>68.92</v>
      </c>
      <c r="E160">
        <v>69.31</v>
      </c>
      <c r="F160">
        <v>17977830</v>
      </c>
      <c r="H160">
        <f t="shared" si="2"/>
        <v>3.903149154720861E-3</v>
      </c>
    </row>
    <row r="161" spans="1:8" x14ac:dyDescent="0.25">
      <c r="A161" t="s">
        <v>162</v>
      </c>
      <c r="B161">
        <v>68.86</v>
      </c>
      <c r="C161">
        <v>69.28</v>
      </c>
      <c r="D161">
        <v>68.680000000000007</v>
      </c>
      <c r="E161">
        <v>69.040000000000006</v>
      </c>
      <c r="F161">
        <v>22858414</v>
      </c>
      <c r="H161">
        <f t="shared" si="2"/>
        <v>1.4494856864533589E-3</v>
      </c>
    </row>
    <row r="162" spans="1:8" x14ac:dyDescent="0.25">
      <c r="A162" t="s">
        <v>163</v>
      </c>
      <c r="B162">
        <v>68.97</v>
      </c>
      <c r="C162">
        <v>69.05</v>
      </c>
      <c r="D162">
        <v>68.42</v>
      </c>
      <c r="E162">
        <v>68.94</v>
      </c>
      <c r="F162">
        <v>18566087</v>
      </c>
      <c r="H162">
        <f t="shared" si="2"/>
        <v>-8.6994350854010746E-4</v>
      </c>
    </row>
    <row r="163" spans="1:8" x14ac:dyDescent="0.25">
      <c r="A163" t="s">
        <v>164</v>
      </c>
      <c r="B163">
        <v>68.900000000000006</v>
      </c>
      <c r="C163">
        <v>69.03</v>
      </c>
      <c r="D163">
        <v>68.48</v>
      </c>
      <c r="E163">
        <v>69</v>
      </c>
      <c r="F163">
        <v>19128782</v>
      </c>
      <c r="H163">
        <f t="shared" si="2"/>
        <v>2.7574213828708248E-3</v>
      </c>
    </row>
    <row r="164" spans="1:8" x14ac:dyDescent="0.25">
      <c r="A164" t="s">
        <v>165</v>
      </c>
      <c r="B164">
        <v>69.03</v>
      </c>
      <c r="C164">
        <v>69.08</v>
      </c>
      <c r="D164">
        <v>68.64</v>
      </c>
      <c r="E164">
        <v>68.81</v>
      </c>
      <c r="F164">
        <v>21749409</v>
      </c>
      <c r="H164">
        <f t="shared" si="2"/>
        <v>-3.9161700640893372E-3</v>
      </c>
    </row>
    <row r="165" spans="1:8" x14ac:dyDescent="0.25">
      <c r="A165" t="s">
        <v>166</v>
      </c>
      <c r="B165">
        <v>69.38</v>
      </c>
      <c r="C165">
        <v>69.38</v>
      </c>
      <c r="D165">
        <v>68.709999999999994</v>
      </c>
      <c r="E165">
        <v>69.08</v>
      </c>
      <c r="F165">
        <v>28927973</v>
      </c>
      <c r="H165">
        <f t="shared" si="2"/>
        <v>-3.1796529173796842E-3</v>
      </c>
    </row>
    <row r="166" spans="1:8" x14ac:dyDescent="0.25">
      <c r="A166" t="s">
        <v>167</v>
      </c>
      <c r="B166">
        <v>69.709999999999994</v>
      </c>
      <c r="C166">
        <v>69.709999999999994</v>
      </c>
      <c r="D166">
        <v>69.13</v>
      </c>
      <c r="E166">
        <v>69.3</v>
      </c>
      <c r="F166">
        <v>23906119</v>
      </c>
      <c r="H166">
        <f t="shared" si="2"/>
        <v>-1.5860431556347402E-3</v>
      </c>
    </row>
    <row r="167" spans="1:8" x14ac:dyDescent="0.25">
      <c r="A167" t="s">
        <v>168</v>
      </c>
      <c r="B167">
        <v>68.680000000000007</v>
      </c>
      <c r="C167">
        <v>69.55</v>
      </c>
      <c r="D167">
        <v>68.5</v>
      </c>
      <c r="E167">
        <v>69.41</v>
      </c>
      <c r="F167">
        <v>31954362</v>
      </c>
      <c r="H167">
        <f t="shared" si="2"/>
        <v>1.3781316249453087E-2</v>
      </c>
    </row>
    <row r="168" spans="1:8" x14ac:dyDescent="0.25">
      <c r="A168" s="22">
        <v>42853</v>
      </c>
      <c r="B168">
        <v>68.91</v>
      </c>
      <c r="C168">
        <v>69.14</v>
      </c>
      <c r="D168">
        <v>67.69</v>
      </c>
      <c r="E168">
        <v>68.459999999999994</v>
      </c>
      <c r="F168">
        <v>39548818</v>
      </c>
      <c r="H168">
        <f t="shared" si="2"/>
        <v>2.7792016718504071E-3</v>
      </c>
    </row>
    <row r="169" spans="1:8" x14ac:dyDescent="0.25">
      <c r="A169" s="22">
        <v>42852</v>
      </c>
      <c r="B169">
        <v>68.150000000000006</v>
      </c>
      <c r="C169">
        <v>68.38</v>
      </c>
      <c r="D169">
        <v>67.58</v>
      </c>
      <c r="E169">
        <v>68.27</v>
      </c>
      <c r="F169">
        <v>34970953</v>
      </c>
      <c r="H169">
        <f t="shared" si="2"/>
        <v>6.4658564722006638E-3</v>
      </c>
    </row>
    <row r="170" spans="1:8" x14ac:dyDescent="0.25">
      <c r="A170" s="22">
        <v>42851</v>
      </c>
      <c r="B170">
        <v>68.08</v>
      </c>
      <c r="C170">
        <v>68.31</v>
      </c>
      <c r="D170">
        <v>67.62</v>
      </c>
      <c r="E170">
        <v>67.83</v>
      </c>
      <c r="F170">
        <v>26190770</v>
      </c>
      <c r="H170">
        <f t="shared" si="2"/>
        <v>-1.3259670451037169E-3</v>
      </c>
    </row>
    <row r="171" spans="1:8" x14ac:dyDescent="0.25">
      <c r="A171" s="22">
        <v>42850</v>
      </c>
      <c r="B171">
        <v>67.900000000000006</v>
      </c>
      <c r="C171">
        <v>68.040000000000006</v>
      </c>
      <c r="D171">
        <v>67.599999999999994</v>
      </c>
      <c r="E171">
        <v>67.92</v>
      </c>
      <c r="F171">
        <v>30242730</v>
      </c>
      <c r="H171">
        <f t="shared" si="2"/>
        <v>5.7585984163413756E-3</v>
      </c>
    </row>
    <row r="172" spans="1:8" x14ac:dyDescent="0.25">
      <c r="A172" s="22">
        <v>42849</v>
      </c>
      <c r="B172">
        <v>67.48</v>
      </c>
      <c r="C172">
        <v>67.66</v>
      </c>
      <c r="D172">
        <v>67.099999999999994</v>
      </c>
      <c r="E172">
        <v>67.53</v>
      </c>
      <c r="F172">
        <v>29769976</v>
      </c>
      <c r="H172">
        <f t="shared" si="2"/>
        <v>1.6874887104362409E-2</v>
      </c>
    </row>
    <row r="173" spans="1:8" x14ac:dyDescent="0.25">
      <c r="A173" s="22">
        <v>42846</v>
      </c>
      <c r="B173">
        <v>65.67</v>
      </c>
      <c r="C173">
        <v>66.7</v>
      </c>
      <c r="D173">
        <v>65.45</v>
      </c>
      <c r="E173">
        <v>66.400000000000006</v>
      </c>
      <c r="F173">
        <v>32522645</v>
      </c>
      <c r="H173">
        <f t="shared" si="2"/>
        <v>1.3646913841182108E-2</v>
      </c>
    </row>
    <row r="174" spans="1:8" x14ac:dyDescent="0.25">
      <c r="A174" s="22">
        <v>42845</v>
      </c>
      <c r="B174">
        <v>65.459999999999994</v>
      </c>
      <c r="C174">
        <v>65.75</v>
      </c>
      <c r="D174">
        <v>65.14</v>
      </c>
      <c r="E174">
        <v>65.5</v>
      </c>
      <c r="F174">
        <v>22299477</v>
      </c>
      <c r="H174">
        <f t="shared" si="2"/>
        <v>7.0476774016509326E-3</v>
      </c>
    </row>
    <row r="175" spans="1:8" x14ac:dyDescent="0.25">
      <c r="A175" s="22">
        <v>42844</v>
      </c>
      <c r="B175">
        <v>65.650000000000006</v>
      </c>
      <c r="C175">
        <v>65.75</v>
      </c>
      <c r="D175">
        <v>64.89</v>
      </c>
      <c r="E175">
        <v>65.040000000000006</v>
      </c>
      <c r="F175">
        <v>26992771</v>
      </c>
      <c r="H175">
        <f t="shared" si="2"/>
        <v>-5.3668763336293451E-3</v>
      </c>
    </row>
    <row r="176" spans="1:8" x14ac:dyDescent="0.25">
      <c r="A176" s="22">
        <v>42843</v>
      </c>
      <c r="B176">
        <v>65.33</v>
      </c>
      <c r="C176">
        <v>65.709999999999994</v>
      </c>
      <c r="D176">
        <v>65.16</v>
      </c>
      <c r="E176">
        <v>65.39</v>
      </c>
      <c r="F176">
        <v>15155611</v>
      </c>
      <c r="H176">
        <f t="shared" si="2"/>
        <v>-1.3754109297496797E-3</v>
      </c>
    </row>
    <row r="177" spans="1:8" x14ac:dyDescent="0.25">
      <c r="A177" s="22">
        <v>42842</v>
      </c>
      <c r="B177">
        <v>65.040000000000006</v>
      </c>
      <c r="C177">
        <v>65.489999999999995</v>
      </c>
      <c r="D177">
        <v>65.010000000000005</v>
      </c>
      <c r="E177">
        <v>65.48</v>
      </c>
      <c r="F177">
        <v>16689265</v>
      </c>
      <c r="H177">
        <f t="shared" si="2"/>
        <v>8.1270093863256791E-3</v>
      </c>
    </row>
    <row r="178" spans="1:8" x14ac:dyDescent="0.25">
      <c r="A178" s="22">
        <v>42838</v>
      </c>
      <c r="B178">
        <v>65.290000000000006</v>
      </c>
      <c r="C178">
        <v>65.86</v>
      </c>
      <c r="D178">
        <v>64.95</v>
      </c>
      <c r="E178">
        <v>64.95</v>
      </c>
      <c r="F178">
        <v>17896483</v>
      </c>
      <c r="H178">
        <f t="shared" si="2"/>
        <v>-4.3017426913961399E-3</v>
      </c>
    </row>
    <row r="179" spans="1:8" x14ac:dyDescent="0.25">
      <c r="A179" s="22">
        <v>42837</v>
      </c>
      <c r="B179">
        <v>65.42</v>
      </c>
      <c r="C179">
        <v>65.510000000000005</v>
      </c>
      <c r="D179">
        <v>65.11</v>
      </c>
      <c r="E179">
        <v>65.23</v>
      </c>
      <c r="F179">
        <v>17108513</v>
      </c>
      <c r="H179">
        <f t="shared" si="2"/>
        <v>-3.8252666949295439E-3</v>
      </c>
    </row>
    <row r="180" spans="1:8" x14ac:dyDescent="0.25">
      <c r="A180" s="22">
        <v>42836</v>
      </c>
      <c r="B180">
        <v>65.599999999999994</v>
      </c>
      <c r="C180">
        <v>65.61</v>
      </c>
      <c r="D180">
        <v>64.849999999999994</v>
      </c>
      <c r="E180">
        <v>65.48</v>
      </c>
      <c r="F180">
        <v>18791533</v>
      </c>
      <c r="H180">
        <f t="shared" si="2"/>
        <v>-7.6330054847131542E-4</v>
      </c>
    </row>
    <row r="181" spans="1:8" x14ac:dyDescent="0.25">
      <c r="A181" s="22">
        <v>42835</v>
      </c>
      <c r="B181">
        <v>65.61</v>
      </c>
      <c r="C181">
        <v>65.819999999999993</v>
      </c>
      <c r="D181">
        <v>65.36</v>
      </c>
      <c r="E181">
        <v>65.53</v>
      </c>
      <c r="F181">
        <v>17952742</v>
      </c>
      <c r="H181">
        <f t="shared" si="2"/>
        <v>-2.2864120927673388E-3</v>
      </c>
    </row>
    <row r="182" spans="1:8" x14ac:dyDescent="0.25">
      <c r="A182" s="22">
        <v>42832</v>
      </c>
      <c r="B182">
        <v>65.849999999999994</v>
      </c>
      <c r="C182">
        <v>65.959999999999994</v>
      </c>
      <c r="D182">
        <v>65.44</v>
      </c>
      <c r="E182">
        <v>65.680000000000007</v>
      </c>
      <c r="F182">
        <v>14108533</v>
      </c>
      <c r="H182">
        <f t="shared" si="2"/>
        <v>-7.6097713131198855E-4</v>
      </c>
    </row>
    <row r="183" spans="1:8" x14ac:dyDescent="0.25">
      <c r="A183" s="22">
        <v>42831</v>
      </c>
      <c r="B183">
        <v>65.599999999999994</v>
      </c>
      <c r="C183">
        <v>66.06</v>
      </c>
      <c r="D183">
        <v>65.48</v>
      </c>
      <c r="E183">
        <v>65.73</v>
      </c>
      <c r="F183">
        <v>18103453</v>
      </c>
      <c r="H183">
        <f t="shared" si="2"/>
        <v>2.5896883998560291E-3</v>
      </c>
    </row>
    <row r="184" spans="1:8" x14ac:dyDescent="0.25">
      <c r="A184" s="22">
        <v>42830</v>
      </c>
      <c r="B184">
        <v>66.3</v>
      </c>
      <c r="C184">
        <v>66.349999999999994</v>
      </c>
      <c r="D184">
        <v>65.44</v>
      </c>
      <c r="E184">
        <v>65.56</v>
      </c>
      <c r="F184">
        <v>21448594</v>
      </c>
      <c r="H184">
        <f t="shared" si="2"/>
        <v>-2.589688399855922E-3</v>
      </c>
    </row>
    <row r="185" spans="1:8" x14ac:dyDescent="0.25">
      <c r="A185" s="22">
        <v>42829</v>
      </c>
      <c r="B185">
        <v>65.39</v>
      </c>
      <c r="C185">
        <v>65.81</v>
      </c>
      <c r="D185">
        <v>65.28</v>
      </c>
      <c r="E185">
        <v>65.73</v>
      </c>
      <c r="F185">
        <v>12997449</v>
      </c>
      <c r="H185">
        <f t="shared" si="2"/>
        <v>2.7422320657761205E-3</v>
      </c>
    </row>
    <row r="186" spans="1:8" x14ac:dyDescent="0.25">
      <c r="A186" s="22">
        <v>42828</v>
      </c>
      <c r="B186">
        <v>65.81</v>
      </c>
      <c r="C186">
        <v>65.94</v>
      </c>
      <c r="D186">
        <v>65.19</v>
      </c>
      <c r="E186">
        <v>65.55</v>
      </c>
      <c r="F186">
        <v>20400871</v>
      </c>
      <c r="H186">
        <f t="shared" si="2"/>
        <v>-4.7180667385094107E-3</v>
      </c>
    </row>
    <row r="187" spans="1:8" x14ac:dyDescent="0.25">
      <c r="A187" s="22">
        <v>42825</v>
      </c>
      <c r="B187">
        <v>65.650000000000006</v>
      </c>
      <c r="C187">
        <v>66.19</v>
      </c>
      <c r="D187">
        <v>65.45</v>
      </c>
      <c r="E187">
        <v>65.86</v>
      </c>
      <c r="F187">
        <v>21040331</v>
      </c>
      <c r="H187">
        <f t="shared" si="2"/>
        <v>2.2801560384417131E-3</v>
      </c>
    </row>
    <row r="188" spans="1:8" x14ac:dyDescent="0.25">
      <c r="A188" s="22">
        <v>42824</v>
      </c>
      <c r="B188">
        <v>65.42</v>
      </c>
      <c r="C188">
        <v>65.98</v>
      </c>
      <c r="D188">
        <v>65.36</v>
      </c>
      <c r="E188">
        <v>65.709999999999994</v>
      </c>
      <c r="F188">
        <v>15122823</v>
      </c>
      <c r="H188">
        <f t="shared" si="2"/>
        <v>3.6590984567763992E-3</v>
      </c>
    </row>
    <row r="189" spans="1:8" x14ac:dyDescent="0.25">
      <c r="A189" s="22">
        <v>42823</v>
      </c>
      <c r="B189">
        <v>65.12</v>
      </c>
      <c r="C189">
        <v>65.5</v>
      </c>
      <c r="D189">
        <v>64.95</v>
      </c>
      <c r="E189">
        <v>65.47</v>
      </c>
      <c r="F189">
        <v>13618424</v>
      </c>
      <c r="H189">
        <f t="shared" si="2"/>
        <v>2.7531372544576686E-3</v>
      </c>
    </row>
    <row r="190" spans="1:8" x14ac:dyDescent="0.25">
      <c r="A190" s="22">
        <v>42822</v>
      </c>
      <c r="B190">
        <v>64.959999999999994</v>
      </c>
      <c r="C190">
        <v>65.47</v>
      </c>
      <c r="D190">
        <v>64.650000000000006</v>
      </c>
      <c r="E190">
        <v>65.290000000000006</v>
      </c>
      <c r="F190">
        <v>20080358</v>
      </c>
      <c r="H190">
        <f t="shared" si="2"/>
        <v>2.9143359840187212E-3</v>
      </c>
    </row>
    <row r="191" spans="1:8" x14ac:dyDescent="0.25">
      <c r="A191" s="22">
        <v>42821</v>
      </c>
      <c r="B191">
        <v>64.63</v>
      </c>
      <c r="C191">
        <v>65.22</v>
      </c>
      <c r="D191">
        <v>64.349999999999994</v>
      </c>
      <c r="E191">
        <v>65.099999999999994</v>
      </c>
      <c r="F191">
        <v>18614662</v>
      </c>
      <c r="H191">
        <f t="shared" si="2"/>
        <v>1.8450189735690749E-3</v>
      </c>
    </row>
    <row r="192" spans="1:8" x14ac:dyDescent="0.25">
      <c r="A192" s="22">
        <v>42818</v>
      </c>
      <c r="B192">
        <v>65.36</v>
      </c>
      <c r="C192">
        <v>65.45</v>
      </c>
      <c r="D192">
        <v>64.760000000000005</v>
      </c>
      <c r="E192">
        <v>64.98</v>
      </c>
      <c r="F192">
        <v>22617105</v>
      </c>
      <c r="H192">
        <f t="shared" si="2"/>
        <v>1.6942630159901529E-3</v>
      </c>
    </row>
    <row r="193" spans="1:8" x14ac:dyDescent="0.25">
      <c r="A193" s="22">
        <v>42817</v>
      </c>
      <c r="B193">
        <v>64.94</v>
      </c>
      <c r="C193">
        <v>65.239999999999995</v>
      </c>
      <c r="D193">
        <v>64.760000000000005</v>
      </c>
      <c r="E193">
        <v>64.87</v>
      </c>
      <c r="F193">
        <v>19269203</v>
      </c>
      <c r="H193">
        <f t="shared" si="2"/>
        <v>-2.4634346560964029E-3</v>
      </c>
    </row>
    <row r="194" spans="1:8" x14ac:dyDescent="0.25">
      <c r="A194" s="22">
        <v>42816</v>
      </c>
      <c r="B194">
        <v>64.12</v>
      </c>
      <c r="C194">
        <v>65.14</v>
      </c>
      <c r="D194">
        <v>64.12</v>
      </c>
      <c r="E194">
        <v>65.03</v>
      </c>
      <c r="F194">
        <v>20680015</v>
      </c>
      <c r="H194">
        <f t="shared" si="2"/>
        <v>1.2689740075103532E-2</v>
      </c>
    </row>
    <row r="195" spans="1:8" x14ac:dyDescent="0.25">
      <c r="A195" s="22">
        <v>42815</v>
      </c>
      <c r="B195">
        <v>65.19</v>
      </c>
      <c r="C195">
        <v>65.5</v>
      </c>
      <c r="D195">
        <v>64.13</v>
      </c>
      <c r="E195">
        <v>64.209999999999994</v>
      </c>
      <c r="F195">
        <v>26640480</v>
      </c>
      <c r="H195">
        <f t="shared" ref="H195:H258" si="3">IFERROR(LN(E195/E196),"")</f>
        <v>-1.1150804714438611E-2</v>
      </c>
    </row>
    <row r="196" spans="1:8" x14ac:dyDescent="0.25">
      <c r="A196" s="22">
        <v>42814</v>
      </c>
      <c r="B196">
        <v>64.91</v>
      </c>
      <c r="C196">
        <v>65.180000000000007</v>
      </c>
      <c r="D196">
        <v>64.72</v>
      </c>
      <c r="E196">
        <v>64.930000000000007</v>
      </c>
      <c r="F196">
        <v>14598083</v>
      </c>
      <c r="H196">
        <f t="shared" si="3"/>
        <v>9.2449929543142006E-4</v>
      </c>
    </row>
    <row r="197" spans="1:8" x14ac:dyDescent="0.25">
      <c r="A197" s="22">
        <v>42811</v>
      </c>
      <c r="B197">
        <v>64.91</v>
      </c>
      <c r="C197">
        <v>65.239999999999995</v>
      </c>
      <c r="D197">
        <v>64.680000000000007</v>
      </c>
      <c r="E197">
        <v>64.87</v>
      </c>
      <c r="F197">
        <v>49219686</v>
      </c>
      <c r="H197">
        <f t="shared" si="3"/>
        <v>3.551853012124166E-3</v>
      </c>
    </row>
    <row r="198" spans="1:8" x14ac:dyDescent="0.25">
      <c r="A198" s="22">
        <v>42810</v>
      </c>
      <c r="B198">
        <v>64.75</v>
      </c>
      <c r="C198">
        <v>64.760000000000005</v>
      </c>
      <c r="D198">
        <v>64.3</v>
      </c>
      <c r="E198">
        <v>64.64</v>
      </c>
      <c r="F198">
        <v>20674296</v>
      </c>
      <c r="H198">
        <f t="shared" si="3"/>
        <v>-1.7002863668072058E-3</v>
      </c>
    </row>
    <row r="199" spans="1:8" x14ac:dyDescent="0.25">
      <c r="A199" s="22">
        <v>42809</v>
      </c>
      <c r="B199">
        <v>64.55</v>
      </c>
      <c r="C199">
        <v>64.92</v>
      </c>
      <c r="D199">
        <v>64.25</v>
      </c>
      <c r="E199">
        <v>64.75</v>
      </c>
      <c r="F199">
        <v>24833810</v>
      </c>
      <c r="H199">
        <f t="shared" si="3"/>
        <v>5.264800020847748E-3</v>
      </c>
    </row>
    <row r="200" spans="1:8" x14ac:dyDescent="0.25">
      <c r="A200" s="22">
        <v>42808</v>
      </c>
      <c r="B200">
        <v>64.53</v>
      </c>
      <c r="C200">
        <v>64.55</v>
      </c>
      <c r="D200">
        <v>64.150000000000006</v>
      </c>
      <c r="E200">
        <v>64.41</v>
      </c>
      <c r="F200">
        <v>14280202</v>
      </c>
      <c r="H200">
        <f t="shared" si="3"/>
        <v>-4.6468485103753586E-3</v>
      </c>
    </row>
    <row r="201" spans="1:8" x14ac:dyDescent="0.25">
      <c r="A201" s="22">
        <v>42807</v>
      </c>
      <c r="B201">
        <v>65.010000000000005</v>
      </c>
      <c r="C201">
        <v>65.2</v>
      </c>
      <c r="D201">
        <v>64.569999999999993</v>
      </c>
      <c r="E201">
        <v>64.709999999999994</v>
      </c>
      <c r="F201">
        <v>20100035</v>
      </c>
      <c r="H201">
        <f t="shared" si="3"/>
        <v>-3.3940174512208433E-3</v>
      </c>
    </row>
    <row r="202" spans="1:8" x14ac:dyDescent="0.25">
      <c r="A202" s="22">
        <v>42804</v>
      </c>
      <c r="B202">
        <v>65.11</v>
      </c>
      <c r="C202">
        <v>65.260000000000005</v>
      </c>
      <c r="D202">
        <v>64.75</v>
      </c>
      <c r="E202">
        <v>64.930000000000007</v>
      </c>
      <c r="F202">
        <v>19538245</v>
      </c>
      <c r="H202">
        <f t="shared" si="3"/>
        <v>3.0849939629765391E-3</v>
      </c>
    </row>
    <row r="203" spans="1:8" x14ac:dyDescent="0.25">
      <c r="A203" s="22">
        <v>42803</v>
      </c>
      <c r="B203">
        <v>65.19</v>
      </c>
      <c r="C203">
        <v>65.2</v>
      </c>
      <c r="D203">
        <v>64.48</v>
      </c>
      <c r="E203">
        <v>64.73</v>
      </c>
      <c r="F203">
        <v>19846832</v>
      </c>
      <c r="H203">
        <f t="shared" si="3"/>
        <v>-4.0086393488386E-3</v>
      </c>
    </row>
    <row r="204" spans="1:8" x14ac:dyDescent="0.25">
      <c r="A204" s="22">
        <v>42802</v>
      </c>
      <c r="B204">
        <v>64.260000000000005</v>
      </c>
      <c r="C204">
        <v>65.08</v>
      </c>
      <c r="D204">
        <v>64.25</v>
      </c>
      <c r="E204">
        <v>64.989999999999995</v>
      </c>
      <c r="F204">
        <v>21510907</v>
      </c>
      <c r="H204">
        <f t="shared" si="3"/>
        <v>9.1197787959493501E-3</v>
      </c>
    </row>
    <row r="205" spans="1:8" x14ac:dyDescent="0.25">
      <c r="A205" s="22">
        <v>42801</v>
      </c>
      <c r="B205">
        <v>64.19</v>
      </c>
      <c r="C205">
        <v>64.78</v>
      </c>
      <c r="D205">
        <v>64.19</v>
      </c>
      <c r="E205">
        <v>64.400000000000006</v>
      </c>
      <c r="F205">
        <v>18520987</v>
      </c>
      <c r="H205">
        <f t="shared" si="3"/>
        <v>2.0206737271132803E-3</v>
      </c>
    </row>
    <row r="206" spans="1:8" x14ac:dyDescent="0.25">
      <c r="A206" s="22">
        <v>42800</v>
      </c>
      <c r="B206">
        <v>63.97</v>
      </c>
      <c r="C206">
        <v>64.56</v>
      </c>
      <c r="D206">
        <v>63.81</v>
      </c>
      <c r="E206">
        <v>64.27</v>
      </c>
      <c r="F206">
        <v>18750255</v>
      </c>
      <c r="H206">
        <f t="shared" si="3"/>
        <v>3.1123560786559416E-4</v>
      </c>
    </row>
    <row r="207" spans="1:8" x14ac:dyDescent="0.25">
      <c r="A207" s="22">
        <v>42797</v>
      </c>
      <c r="B207">
        <v>63.99</v>
      </c>
      <c r="C207">
        <v>64.28</v>
      </c>
      <c r="D207">
        <v>63.62</v>
      </c>
      <c r="E207">
        <v>64.25</v>
      </c>
      <c r="F207">
        <v>18139405</v>
      </c>
      <c r="H207">
        <f t="shared" si="3"/>
        <v>3.7424026214171245E-3</v>
      </c>
    </row>
    <row r="208" spans="1:8" x14ac:dyDescent="0.25">
      <c r="A208" s="22">
        <v>42796</v>
      </c>
      <c r="B208">
        <v>64.69</v>
      </c>
      <c r="C208">
        <v>64.75</v>
      </c>
      <c r="D208">
        <v>63.88</v>
      </c>
      <c r="E208">
        <v>64.010000000000005</v>
      </c>
      <c r="F208">
        <v>24539597</v>
      </c>
      <c r="H208">
        <f t="shared" si="3"/>
        <v>-1.4424445520787752E-2</v>
      </c>
    </row>
    <row r="209" spans="1:8" x14ac:dyDescent="0.25">
      <c r="A209" s="22">
        <v>42795</v>
      </c>
      <c r="B209">
        <v>64.13</v>
      </c>
      <c r="C209">
        <v>64.989999999999995</v>
      </c>
      <c r="D209">
        <v>64.02</v>
      </c>
      <c r="E209">
        <v>64.94</v>
      </c>
      <c r="F209">
        <v>26937459</v>
      </c>
      <c r="H209">
        <f t="shared" si="3"/>
        <v>1.4893232153328008E-2</v>
      </c>
    </row>
    <row r="210" spans="1:8" x14ac:dyDescent="0.25">
      <c r="A210" s="22">
        <v>42794</v>
      </c>
      <c r="B210">
        <v>64.08</v>
      </c>
      <c r="C210">
        <v>64.2</v>
      </c>
      <c r="D210">
        <v>63.76</v>
      </c>
      <c r="E210">
        <v>63.98</v>
      </c>
      <c r="F210">
        <v>23239825</v>
      </c>
      <c r="H210">
        <f t="shared" si="3"/>
        <v>-3.8998567483292572E-3</v>
      </c>
    </row>
    <row r="211" spans="1:8" x14ac:dyDescent="0.25">
      <c r="A211" s="22">
        <v>42793</v>
      </c>
      <c r="B211">
        <v>64.540000000000006</v>
      </c>
      <c r="C211">
        <v>64.540000000000006</v>
      </c>
      <c r="D211">
        <v>64.040000000000006</v>
      </c>
      <c r="E211">
        <v>64.23</v>
      </c>
      <c r="F211">
        <v>15871507</v>
      </c>
      <c r="H211">
        <f t="shared" si="3"/>
        <v>-6.0535691266510603E-3</v>
      </c>
    </row>
    <row r="212" spans="1:8" x14ac:dyDescent="0.25">
      <c r="A212" s="22">
        <v>42790</v>
      </c>
      <c r="B212">
        <v>64.53</v>
      </c>
      <c r="C212">
        <v>64.8</v>
      </c>
      <c r="D212">
        <v>64.14</v>
      </c>
      <c r="E212">
        <v>64.62</v>
      </c>
      <c r="F212">
        <v>21796800</v>
      </c>
      <c r="H212">
        <f t="shared" si="3"/>
        <v>0</v>
      </c>
    </row>
    <row r="213" spans="1:8" x14ac:dyDescent="0.25">
      <c r="A213" s="22">
        <v>42789</v>
      </c>
      <c r="B213">
        <v>64.42</v>
      </c>
      <c r="C213">
        <v>64.73</v>
      </c>
      <c r="D213">
        <v>64.2</v>
      </c>
      <c r="E213">
        <v>64.62</v>
      </c>
      <c r="F213">
        <v>20273128</v>
      </c>
      <c r="H213">
        <f t="shared" si="3"/>
        <v>4.0316382721698471E-3</v>
      </c>
    </row>
    <row r="214" spans="1:8" x14ac:dyDescent="0.25">
      <c r="A214" s="22">
        <v>42788</v>
      </c>
      <c r="B214">
        <v>64.33</v>
      </c>
      <c r="C214">
        <v>64.39</v>
      </c>
      <c r="D214">
        <v>64.05</v>
      </c>
      <c r="E214">
        <v>64.36</v>
      </c>
      <c r="F214">
        <v>19292651</v>
      </c>
      <c r="H214">
        <f t="shared" si="3"/>
        <v>-2.0178508981034547E-3</v>
      </c>
    </row>
    <row r="215" spans="1:8" x14ac:dyDescent="0.25">
      <c r="A215" s="22">
        <v>42787</v>
      </c>
      <c r="B215">
        <v>64.61</v>
      </c>
      <c r="C215">
        <v>64.95</v>
      </c>
      <c r="D215">
        <v>64.45</v>
      </c>
      <c r="E215">
        <v>64.489999999999995</v>
      </c>
      <c r="F215">
        <v>20655869</v>
      </c>
      <c r="H215">
        <f t="shared" si="3"/>
        <v>-2.0137873740663646E-3</v>
      </c>
    </row>
    <row r="216" spans="1:8" x14ac:dyDescent="0.25">
      <c r="A216" s="22">
        <v>42783</v>
      </c>
      <c r="B216">
        <v>64.47</v>
      </c>
      <c r="C216">
        <v>64.69</v>
      </c>
      <c r="D216">
        <v>64.3</v>
      </c>
      <c r="E216">
        <v>64.62</v>
      </c>
      <c r="F216">
        <v>21248818</v>
      </c>
      <c r="H216">
        <f t="shared" si="3"/>
        <v>1.5487071393441953E-3</v>
      </c>
    </row>
    <row r="217" spans="1:8" x14ac:dyDescent="0.25">
      <c r="A217" s="22">
        <v>42782</v>
      </c>
      <c r="B217">
        <v>64.739999999999995</v>
      </c>
      <c r="C217">
        <v>65.239999999999995</v>
      </c>
      <c r="D217">
        <v>64.44</v>
      </c>
      <c r="E217">
        <v>64.52</v>
      </c>
      <c r="F217">
        <v>20546345</v>
      </c>
      <c r="H217">
        <f t="shared" si="3"/>
        <v>-1.5497869074034142E-4</v>
      </c>
    </row>
    <row r="218" spans="1:8" x14ac:dyDescent="0.25">
      <c r="A218" s="22">
        <v>42781</v>
      </c>
      <c r="B218">
        <v>64.5</v>
      </c>
      <c r="C218">
        <v>64.569999999999993</v>
      </c>
      <c r="D218">
        <v>64.16</v>
      </c>
      <c r="E218">
        <v>64.53</v>
      </c>
      <c r="F218">
        <v>17005157</v>
      </c>
      <c r="H218">
        <f t="shared" si="3"/>
        <v>-6.1967469062710018E-4</v>
      </c>
    </row>
    <row r="219" spans="1:8" x14ac:dyDescent="0.25">
      <c r="A219" s="22">
        <v>42780</v>
      </c>
      <c r="B219">
        <v>64.41</v>
      </c>
      <c r="C219">
        <v>64.72</v>
      </c>
      <c r="D219">
        <v>64.02</v>
      </c>
      <c r="E219">
        <v>64.569999999999993</v>
      </c>
      <c r="F219">
        <v>23108426</v>
      </c>
      <c r="H219">
        <f t="shared" si="3"/>
        <v>-2.3203661118606877E-3</v>
      </c>
    </row>
    <row r="220" spans="1:8" x14ac:dyDescent="0.25">
      <c r="A220" s="22">
        <v>42779</v>
      </c>
      <c r="B220">
        <v>64.239999999999995</v>
      </c>
      <c r="C220">
        <v>64.86</v>
      </c>
      <c r="D220">
        <v>64.13</v>
      </c>
      <c r="E220">
        <v>64.72</v>
      </c>
      <c r="F220">
        <v>22920101</v>
      </c>
      <c r="H220">
        <f t="shared" si="3"/>
        <v>1.1187189390564376E-2</v>
      </c>
    </row>
    <row r="221" spans="1:8" x14ac:dyDescent="0.25">
      <c r="A221" s="22">
        <v>42776</v>
      </c>
      <c r="B221">
        <v>64.25</v>
      </c>
      <c r="C221">
        <v>64.3</v>
      </c>
      <c r="D221">
        <v>63.98</v>
      </c>
      <c r="E221">
        <v>64</v>
      </c>
      <c r="F221">
        <v>18170729</v>
      </c>
      <c r="H221">
        <f t="shared" si="3"/>
        <v>-9.3706082134024547E-4</v>
      </c>
    </row>
    <row r="222" spans="1:8" x14ac:dyDescent="0.25">
      <c r="A222" s="22">
        <v>42775</v>
      </c>
      <c r="B222">
        <v>63.52</v>
      </c>
      <c r="C222">
        <v>64.44</v>
      </c>
      <c r="D222">
        <v>63.32</v>
      </c>
      <c r="E222">
        <v>64.06</v>
      </c>
      <c r="F222">
        <v>22644443</v>
      </c>
      <c r="H222">
        <f t="shared" si="3"/>
        <v>1.1303103070518324E-2</v>
      </c>
    </row>
    <row r="223" spans="1:8" x14ac:dyDescent="0.25">
      <c r="A223" s="22">
        <v>42774</v>
      </c>
      <c r="B223">
        <v>63.57</v>
      </c>
      <c r="C223">
        <v>63.81</v>
      </c>
      <c r="D223">
        <v>63.22</v>
      </c>
      <c r="E223">
        <v>63.34</v>
      </c>
      <c r="F223">
        <v>18096358</v>
      </c>
      <c r="H223">
        <f t="shared" si="3"/>
        <v>-1.4198945353119891E-3</v>
      </c>
    </row>
    <row r="224" spans="1:8" x14ac:dyDescent="0.25">
      <c r="A224" s="22">
        <v>42773</v>
      </c>
      <c r="B224">
        <v>63.74</v>
      </c>
      <c r="C224">
        <v>63.78</v>
      </c>
      <c r="D224">
        <v>63.23</v>
      </c>
      <c r="E224">
        <v>63.43</v>
      </c>
      <c r="F224">
        <v>20277226</v>
      </c>
      <c r="H224">
        <f t="shared" si="3"/>
        <v>-3.3052678237803488E-3</v>
      </c>
    </row>
    <row r="225" spans="1:8" x14ac:dyDescent="0.25">
      <c r="A225" s="22">
        <v>42772</v>
      </c>
      <c r="B225">
        <v>63.5</v>
      </c>
      <c r="C225">
        <v>63.65</v>
      </c>
      <c r="D225">
        <v>63.14</v>
      </c>
      <c r="E225">
        <v>63.64</v>
      </c>
      <c r="F225">
        <v>19796360</v>
      </c>
      <c r="H225">
        <f t="shared" si="3"/>
        <v>-6.2833806654144465E-4</v>
      </c>
    </row>
    <row r="226" spans="1:8" x14ac:dyDescent="0.25">
      <c r="A226" s="22">
        <v>42769</v>
      </c>
      <c r="B226">
        <v>63.5</v>
      </c>
      <c r="C226">
        <v>63.7</v>
      </c>
      <c r="D226">
        <v>63.07</v>
      </c>
      <c r="E226">
        <v>63.68</v>
      </c>
      <c r="F226">
        <v>30301759</v>
      </c>
      <c r="H226">
        <f t="shared" si="3"/>
        <v>8.0410366255186175E-3</v>
      </c>
    </row>
    <row r="227" spans="1:8" x14ac:dyDescent="0.25">
      <c r="A227" s="22">
        <v>42768</v>
      </c>
      <c r="B227">
        <v>63.25</v>
      </c>
      <c r="C227">
        <v>63.41</v>
      </c>
      <c r="D227">
        <v>62.75</v>
      </c>
      <c r="E227">
        <v>63.17</v>
      </c>
      <c r="F227">
        <v>45827013</v>
      </c>
      <c r="H227">
        <f t="shared" si="3"/>
        <v>-6.4694505720475715E-3</v>
      </c>
    </row>
    <row r="228" spans="1:8" x14ac:dyDescent="0.25">
      <c r="A228" s="22">
        <v>42767</v>
      </c>
      <c r="B228">
        <v>64.36</v>
      </c>
      <c r="C228">
        <v>64.62</v>
      </c>
      <c r="D228">
        <v>63.47</v>
      </c>
      <c r="E228">
        <v>63.58</v>
      </c>
      <c r="F228">
        <v>39671528</v>
      </c>
      <c r="H228">
        <f t="shared" si="3"/>
        <v>-1.6689149735209952E-2</v>
      </c>
    </row>
    <row r="229" spans="1:8" x14ac:dyDescent="0.25">
      <c r="A229" t="s">
        <v>169</v>
      </c>
      <c r="B229">
        <v>64.86</v>
      </c>
      <c r="C229">
        <v>65.150000000000006</v>
      </c>
      <c r="D229">
        <v>64.260000000000005</v>
      </c>
      <c r="E229">
        <v>64.650000000000006</v>
      </c>
      <c r="F229">
        <v>25270549</v>
      </c>
      <c r="H229">
        <f t="shared" si="3"/>
        <v>-7.3971673404435584E-3</v>
      </c>
    </row>
    <row r="230" spans="1:8" x14ac:dyDescent="0.25">
      <c r="A230" t="s">
        <v>170</v>
      </c>
      <c r="B230">
        <v>65.69</v>
      </c>
      <c r="C230">
        <v>65.790000000000006</v>
      </c>
      <c r="D230">
        <v>64.8</v>
      </c>
      <c r="E230">
        <v>65.13</v>
      </c>
      <c r="F230">
        <v>31651445</v>
      </c>
      <c r="H230">
        <f t="shared" si="3"/>
        <v>-9.9305682026007997E-3</v>
      </c>
    </row>
    <row r="231" spans="1:8" x14ac:dyDescent="0.25">
      <c r="A231" t="s">
        <v>171</v>
      </c>
      <c r="B231">
        <v>65.39</v>
      </c>
      <c r="C231">
        <v>65.91</v>
      </c>
      <c r="D231">
        <v>64.89</v>
      </c>
      <c r="E231">
        <v>65.78</v>
      </c>
      <c r="F231">
        <v>44817972</v>
      </c>
      <c r="H231">
        <f t="shared" si="3"/>
        <v>2.3222881377716227E-2</v>
      </c>
    </row>
    <row r="232" spans="1:8" x14ac:dyDescent="0.25">
      <c r="A232" t="s">
        <v>172</v>
      </c>
      <c r="B232">
        <v>64.12</v>
      </c>
      <c r="C232">
        <v>64.540000000000006</v>
      </c>
      <c r="D232">
        <v>63.55</v>
      </c>
      <c r="E232">
        <v>64.27</v>
      </c>
      <c r="F232">
        <v>43554645</v>
      </c>
      <c r="H232">
        <f t="shared" si="3"/>
        <v>9.2224178470671908E-3</v>
      </c>
    </row>
    <row r="233" spans="1:8" x14ac:dyDescent="0.25">
      <c r="A233" t="s">
        <v>173</v>
      </c>
      <c r="B233">
        <v>63.95</v>
      </c>
      <c r="C233">
        <v>64.099999999999994</v>
      </c>
      <c r="D233">
        <v>63.45</v>
      </c>
      <c r="E233">
        <v>63.68</v>
      </c>
      <c r="F233">
        <v>24654933</v>
      </c>
      <c r="H233">
        <f t="shared" si="3"/>
        <v>2.5157245972471489E-3</v>
      </c>
    </row>
    <row r="234" spans="1:8" x14ac:dyDescent="0.25">
      <c r="A234" t="s">
        <v>174</v>
      </c>
      <c r="B234">
        <v>63.2</v>
      </c>
      <c r="C234">
        <v>63.74</v>
      </c>
      <c r="D234">
        <v>62.94</v>
      </c>
      <c r="E234">
        <v>63.52</v>
      </c>
      <c r="F234">
        <v>24672940</v>
      </c>
      <c r="H234">
        <f t="shared" si="3"/>
        <v>8.8552128297325443E-3</v>
      </c>
    </row>
    <row r="235" spans="1:8" x14ac:dyDescent="0.25">
      <c r="A235" t="s">
        <v>175</v>
      </c>
      <c r="B235">
        <v>62.7</v>
      </c>
      <c r="C235">
        <v>63.12</v>
      </c>
      <c r="D235">
        <v>62.57</v>
      </c>
      <c r="E235">
        <v>62.96</v>
      </c>
      <c r="F235">
        <v>23097581</v>
      </c>
      <c r="H235">
        <f t="shared" si="3"/>
        <v>3.5004013466156773E-3</v>
      </c>
    </row>
    <row r="236" spans="1:8" x14ac:dyDescent="0.25">
      <c r="A236" t="s">
        <v>176</v>
      </c>
      <c r="B236">
        <v>62.67</v>
      </c>
      <c r="C236">
        <v>62.82</v>
      </c>
      <c r="D236">
        <v>62.37</v>
      </c>
      <c r="E236">
        <v>62.74</v>
      </c>
      <c r="F236">
        <v>30213462</v>
      </c>
      <c r="H236">
        <f t="shared" si="3"/>
        <v>7.0377769691247994E-3</v>
      </c>
    </row>
    <row r="237" spans="1:8" x14ac:dyDescent="0.25">
      <c r="A237" t="s">
        <v>177</v>
      </c>
      <c r="B237">
        <v>62.24</v>
      </c>
      <c r="C237">
        <v>62.98</v>
      </c>
      <c r="D237">
        <v>62.2</v>
      </c>
      <c r="E237">
        <v>62.3</v>
      </c>
      <c r="F237">
        <v>18451655</v>
      </c>
      <c r="H237">
        <f t="shared" si="3"/>
        <v>-3.2051309489484468E-3</v>
      </c>
    </row>
    <row r="238" spans="1:8" x14ac:dyDescent="0.25">
      <c r="A238" t="s">
        <v>178</v>
      </c>
      <c r="B238">
        <v>62.67</v>
      </c>
      <c r="C238">
        <v>62.7</v>
      </c>
      <c r="D238">
        <v>62.12</v>
      </c>
      <c r="E238">
        <v>62.5</v>
      </c>
      <c r="F238">
        <v>19670102</v>
      </c>
      <c r="H238">
        <f t="shared" si="3"/>
        <v>-4.7988483685077252E-4</v>
      </c>
    </row>
    <row r="239" spans="1:8" x14ac:dyDescent="0.25">
      <c r="A239" t="s">
        <v>179</v>
      </c>
      <c r="B239">
        <v>62.68</v>
      </c>
      <c r="C239">
        <v>62.7</v>
      </c>
      <c r="D239">
        <v>62.03</v>
      </c>
      <c r="E239">
        <v>62.53</v>
      </c>
      <c r="F239">
        <v>20663983</v>
      </c>
      <c r="H239">
        <f t="shared" si="3"/>
        <v>-2.715006059668451E-3</v>
      </c>
    </row>
    <row r="240" spans="1:8" x14ac:dyDescent="0.25">
      <c r="A240" t="s">
        <v>180</v>
      </c>
      <c r="B240">
        <v>62.62</v>
      </c>
      <c r="C240">
        <v>62.86</v>
      </c>
      <c r="D240">
        <v>62.35</v>
      </c>
      <c r="E240">
        <v>62.7</v>
      </c>
      <c r="F240">
        <v>19422310</v>
      </c>
      <c r="H240">
        <f t="shared" si="3"/>
        <v>1.4364378816560386E-3</v>
      </c>
    </row>
    <row r="241" spans="1:8" x14ac:dyDescent="0.25">
      <c r="A241" t="s">
        <v>181</v>
      </c>
      <c r="B241">
        <v>63.06</v>
      </c>
      <c r="C241">
        <v>63.4</v>
      </c>
      <c r="D241">
        <v>61.95</v>
      </c>
      <c r="E241">
        <v>62.61</v>
      </c>
      <c r="F241">
        <v>20968223</v>
      </c>
      <c r="H241">
        <f t="shared" si="3"/>
        <v>-9.2210510281448312E-3</v>
      </c>
    </row>
    <row r="242" spans="1:8" x14ac:dyDescent="0.25">
      <c r="A242" t="s">
        <v>182</v>
      </c>
      <c r="B242">
        <v>62.61</v>
      </c>
      <c r="C242">
        <v>63.23</v>
      </c>
      <c r="D242">
        <v>62.43</v>
      </c>
      <c r="E242">
        <v>63.19</v>
      </c>
      <c r="F242">
        <v>21517335</v>
      </c>
      <c r="H242">
        <f t="shared" si="3"/>
        <v>9.0613448871041686E-3</v>
      </c>
    </row>
    <row r="243" spans="1:8" x14ac:dyDescent="0.25">
      <c r="A243" t="s">
        <v>183</v>
      </c>
      <c r="B243">
        <v>62.73</v>
      </c>
      <c r="C243">
        <v>63.07</v>
      </c>
      <c r="D243">
        <v>62.28</v>
      </c>
      <c r="E243">
        <v>62.62</v>
      </c>
      <c r="F243">
        <v>18593004</v>
      </c>
      <c r="H243">
        <f t="shared" si="3"/>
        <v>-3.1933578428806311E-4</v>
      </c>
    </row>
    <row r="244" spans="1:8" x14ac:dyDescent="0.25">
      <c r="A244" t="s">
        <v>184</v>
      </c>
      <c r="B244">
        <v>62.76</v>
      </c>
      <c r="C244">
        <v>63.08</v>
      </c>
      <c r="D244">
        <v>62.54</v>
      </c>
      <c r="E244">
        <v>62.64</v>
      </c>
      <c r="F244">
        <v>20382730</v>
      </c>
      <c r="H244">
        <f t="shared" si="3"/>
        <v>-3.1877617048728128E-3</v>
      </c>
    </row>
    <row r="245" spans="1:8" x14ac:dyDescent="0.25">
      <c r="A245" t="s">
        <v>185</v>
      </c>
      <c r="B245">
        <v>62.3</v>
      </c>
      <c r="C245">
        <v>63.15</v>
      </c>
      <c r="D245">
        <v>62.04</v>
      </c>
      <c r="E245">
        <v>62.84</v>
      </c>
      <c r="F245">
        <v>19922919</v>
      </c>
      <c r="H245">
        <f t="shared" si="3"/>
        <v>8.6303875940129948E-3</v>
      </c>
    </row>
    <row r="246" spans="1:8" x14ac:dyDescent="0.25">
      <c r="A246" t="s">
        <v>186</v>
      </c>
      <c r="B246">
        <v>62.19</v>
      </c>
      <c r="C246">
        <v>62.66</v>
      </c>
      <c r="D246">
        <v>62.03</v>
      </c>
      <c r="E246">
        <v>62.3</v>
      </c>
      <c r="F246">
        <v>24875968</v>
      </c>
      <c r="H246">
        <f t="shared" si="3"/>
        <v>0</v>
      </c>
    </row>
    <row r="247" spans="1:8" x14ac:dyDescent="0.25">
      <c r="A247" t="s">
        <v>187</v>
      </c>
      <c r="B247">
        <v>62.48</v>
      </c>
      <c r="C247">
        <v>62.75</v>
      </c>
      <c r="D247">
        <v>62.12</v>
      </c>
      <c r="E247">
        <v>62.3</v>
      </c>
      <c r="F247">
        <v>21339969</v>
      </c>
      <c r="H247">
        <f t="shared" si="3"/>
        <v>-4.484312447328687E-3</v>
      </c>
    </row>
    <row r="248" spans="1:8" x14ac:dyDescent="0.25">
      <c r="A248" t="s">
        <v>188</v>
      </c>
      <c r="B248">
        <v>62.79</v>
      </c>
      <c r="C248">
        <v>62.84</v>
      </c>
      <c r="D248">
        <v>62.12</v>
      </c>
      <c r="E248">
        <v>62.58</v>
      </c>
      <c r="F248">
        <v>20694101</v>
      </c>
      <c r="H248">
        <f t="shared" si="3"/>
        <v>7.0558342758347105E-3</v>
      </c>
    </row>
    <row r="249" spans="1:8" x14ac:dyDescent="0.25">
      <c r="A249" t="s">
        <v>189</v>
      </c>
      <c r="B249">
        <v>62.96</v>
      </c>
      <c r="C249">
        <v>62.99</v>
      </c>
      <c r="D249">
        <v>62.03</v>
      </c>
      <c r="E249">
        <v>62.14</v>
      </c>
      <c r="F249">
        <v>25579908</v>
      </c>
      <c r="H249">
        <f t="shared" si="3"/>
        <v>-1.2156259741493477E-2</v>
      </c>
    </row>
    <row r="250" spans="1:8" x14ac:dyDescent="0.25">
      <c r="A250" t="s">
        <v>190</v>
      </c>
      <c r="B250">
        <v>62.86</v>
      </c>
      <c r="C250">
        <v>63.2</v>
      </c>
      <c r="D250">
        <v>62.73</v>
      </c>
      <c r="E250">
        <v>62.9</v>
      </c>
      <c r="F250">
        <v>10250582</v>
      </c>
      <c r="H250">
        <f t="shared" si="3"/>
        <v>-1.4298199274428978E-3</v>
      </c>
    </row>
    <row r="251" spans="1:8" x14ac:dyDescent="0.25">
      <c r="A251" t="s">
        <v>191</v>
      </c>
      <c r="B251">
        <v>63.4</v>
      </c>
      <c r="C251">
        <v>63.4</v>
      </c>
      <c r="D251">
        <v>62.83</v>
      </c>
      <c r="E251">
        <v>62.99</v>
      </c>
      <c r="F251">
        <v>14653348</v>
      </c>
      <c r="H251">
        <f t="shared" si="3"/>
        <v>-4.5933398255608186E-3</v>
      </c>
    </row>
    <row r="252" spans="1:8" x14ac:dyDescent="0.25">
      <c r="A252" t="s">
        <v>192</v>
      </c>
      <c r="B252">
        <v>63.21</v>
      </c>
      <c r="C252">
        <v>64.069999999999993</v>
      </c>
      <c r="D252">
        <v>63.21</v>
      </c>
      <c r="E252">
        <v>63.28</v>
      </c>
      <c r="F252">
        <v>11763173</v>
      </c>
      <c r="H252">
        <f t="shared" si="3"/>
        <v>6.3231111812725633E-4</v>
      </c>
    </row>
    <row r="253" spans="1:8" x14ac:dyDescent="0.25">
      <c r="A253" t="s">
        <v>193</v>
      </c>
      <c r="B253">
        <v>63.45</v>
      </c>
      <c r="C253">
        <v>63.54</v>
      </c>
      <c r="D253">
        <v>62.8</v>
      </c>
      <c r="E253">
        <v>63.24</v>
      </c>
      <c r="F253">
        <v>12403819</v>
      </c>
      <c r="H253">
        <f t="shared" si="3"/>
        <v>-4.8899852941916809E-3</v>
      </c>
    </row>
    <row r="254" spans="1:8" x14ac:dyDescent="0.25">
      <c r="A254" t="s">
        <v>194</v>
      </c>
      <c r="B254">
        <v>63.84</v>
      </c>
      <c r="C254">
        <v>64.099999999999994</v>
      </c>
      <c r="D254">
        <v>63.4</v>
      </c>
      <c r="E254">
        <v>63.55</v>
      </c>
      <c r="F254">
        <v>22176585</v>
      </c>
      <c r="H254">
        <f t="shared" si="3"/>
        <v>1.5736879409285041E-4</v>
      </c>
    </row>
    <row r="255" spans="1:8" x14ac:dyDescent="0.25">
      <c r="A255" t="s">
        <v>195</v>
      </c>
      <c r="B255">
        <v>63.43</v>
      </c>
      <c r="C255">
        <v>63.7</v>
      </c>
      <c r="D255">
        <v>63.12</v>
      </c>
      <c r="E255">
        <v>63.54</v>
      </c>
      <c r="F255">
        <v>17096304</v>
      </c>
      <c r="H255">
        <f t="shared" si="3"/>
        <v>0</v>
      </c>
    </row>
    <row r="256" spans="1:8" x14ac:dyDescent="0.25">
      <c r="A256" t="s">
        <v>196</v>
      </c>
      <c r="B256">
        <v>63.69</v>
      </c>
      <c r="C256">
        <v>63.8</v>
      </c>
      <c r="D256">
        <v>63.02</v>
      </c>
      <c r="E256">
        <v>63.54</v>
      </c>
      <c r="F256">
        <v>26028379</v>
      </c>
      <c r="H256">
        <f t="shared" si="3"/>
        <v>-1.2582574796279817E-3</v>
      </c>
    </row>
    <row r="257" spans="1:8" x14ac:dyDescent="0.25">
      <c r="A257" t="s">
        <v>197</v>
      </c>
      <c r="B257">
        <v>62.56</v>
      </c>
      <c r="C257">
        <v>63.77</v>
      </c>
      <c r="D257">
        <v>62.42</v>
      </c>
      <c r="E257">
        <v>63.62</v>
      </c>
      <c r="F257">
        <v>34338219</v>
      </c>
      <c r="H257">
        <f t="shared" si="3"/>
        <v>2.0966460527590654E-2</v>
      </c>
    </row>
    <row r="258" spans="1:8" x14ac:dyDescent="0.25">
      <c r="A258" t="s">
        <v>198</v>
      </c>
      <c r="B258">
        <v>62.95</v>
      </c>
      <c r="C258">
        <v>62.95</v>
      </c>
      <c r="D258">
        <v>62.12</v>
      </c>
      <c r="E258">
        <v>62.3</v>
      </c>
      <c r="F258">
        <v>42453083</v>
      </c>
      <c r="H258">
        <f t="shared" si="3"/>
        <v>-4.484312447328687E-3</v>
      </c>
    </row>
    <row r="259" spans="1:8" x14ac:dyDescent="0.25">
      <c r="A259" t="s">
        <v>199</v>
      </c>
      <c r="B259">
        <v>62.7</v>
      </c>
      <c r="C259">
        <v>63.15</v>
      </c>
      <c r="D259">
        <v>62.3</v>
      </c>
      <c r="E259">
        <v>62.58</v>
      </c>
      <c r="F259">
        <v>27669868</v>
      </c>
      <c r="H259">
        <f t="shared" ref="H259:H322" si="4">IFERROR(LN(E259/E260),"")</f>
        <v>-1.5966792470840617E-3</v>
      </c>
    </row>
    <row r="260" spans="1:8" x14ac:dyDescent="0.25">
      <c r="A260" t="s">
        <v>200</v>
      </c>
      <c r="B260">
        <v>63</v>
      </c>
      <c r="C260">
        <v>63.45</v>
      </c>
      <c r="D260">
        <v>62.53</v>
      </c>
      <c r="E260">
        <v>62.68</v>
      </c>
      <c r="F260">
        <v>30352654</v>
      </c>
      <c r="H260">
        <f t="shared" si="4"/>
        <v>-4.7747981850584159E-3</v>
      </c>
    </row>
    <row r="261" spans="1:8" x14ac:dyDescent="0.25">
      <c r="A261" t="s">
        <v>201</v>
      </c>
      <c r="B261">
        <v>62.5</v>
      </c>
      <c r="C261">
        <v>63.42</v>
      </c>
      <c r="D261">
        <v>62.24</v>
      </c>
      <c r="E261">
        <v>62.98</v>
      </c>
      <c r="F261">
        <v>35718868</v>
      </c>
      <c r="H261">
        <f t="shared" si="4"/>
        <v>1.2944647391632381E-2</v>
      </c>
    </row>
    <row r="262" spans="1:8" x14ac:dyDescent="0.25">
      <c r="A262" t="s">
        <v>202</v>
      </c>
      <c r="B262">
        <v>61.82</v>
      </c>
      <c r="C262">
        <v>62.3</v>
      </c>
      <c r="D262">
        <v>61.72</v>
      </c>
      <c r="E262">
        <v>62.17</v>
      </c>
      <c r="F262">
        <v>20198081</v>
      </c>
      <c r="H262">
        <f t="shared" si="4"/>
        <v>3.2221713072300988E-3</v>
      </c>
    </row>
    <row r="263" spans="1:8" x14ac:dyDescent="0.25">
      <c r="A263" t="s">
        <v>203</v>
      </c>
      <c r="B263">
        <v>61.18</v>
      </c>
      <c r="C263">
        <v>61.99</v>
      </c>
      <c r="D263">
        <v>61.12</v>
      </c>
      <c r="E263">
        <v>61.97</v>
      </c>
      <c r="F263">
        <v>27349356</v>
      </c>
      <c r="H263">
        <f t="shared" si="4"/>
        <v>1.561261181025516E-2</v>
      </c>
    </row>
    <row r="264" spans="1:8" x14ac:dyDescent="0.25">
      <c r="A264" t="s">
        <v>204</v>
      </c>
      <c r="B264">
        <v>61.3</v>
      </c>
      <c r="C264">
        <v>61.58</v>
      </c>
      <c r="D264">
        <v>60.84</v>
      </c>
      <c r="E264">
        <v>61.01</v>
      </c>
      <c r="F264">
        <v>21220753</v>
      </c>
      <c r="H264">
        <f t="shared" si="4"/>
        <v>-5.8833312372445655E-3</v>
      </c>
    </row>
    <row r="265" spans="1:8" x14ac:dyDescent="0.25">
      <c r="A265" t="s">
        <v>205</v>
      </c>
      <c r="B265">
        <v>60.01</v>
      </c>
      <c r="C265">
        <v>61.38</v>
      </c>
      <c r="D265">
        <v>59.8</v>
      </c>
      <c r="E265">
        <v>61.37</v>
      </c>
      <c r="F265">
        <v>30808969</v>
      </c>
      <c r="H265">
        <f t="shared" si="4"/>
        <v>2.3410234927482333E-2</v>
      </c>
    </row>
    <row r="266" spans="1:8" x14ac:dyDescent="0.25">
      <c r="A266" t="s">
        <v>206</v>
      </c>
      <c r="B266">
        <v>60.43</v>
      </c>
      <c r="C266">
        <v>60.46</v>
      </c>
      <c r="D266">
        <v>59.8</v>
      </c>
      <c r="E266">
        <v>59.95</v>
      </c>
      <c r="F266">
        <v>19907035</v>
      </c>
      <c r="H266">
        <f t="shared" si="4"/>
        <v>-4.4936415800644423E-3</v>
      </c>
    </row>
    <row r="267" spans="1:8" x14ac:dyDescent="0.25">
      <c r="A267" t="s">
        <v>207</v>
      </c>
      <c r="B267">
        <v>59.7</v>
      </c>
      <c r="C267">
        <v>60.58</v>
      </c>
      <c r="D267">
        <v>59.56</v>
      </c>
      <c r="E267">
        <v>60.22</v>
      </c>
      <c r="F267">
        <v>23552658</v>
      </c>
      <c r="H267">
        <f t="shared" si="4"/>
        <v>1.6238743038347263E-2</v>
      </c>
    </row>
    <row r="268" spans="1:8" x14ac:dyDescent="0.25">
      <c r="A268" t="s">
        <v>208</v>
      </c>
      <c r="B268">
        <v>59.08</v>
      </c>
      <c r="C268">
        <v>59.47</v>
      </c>
      <c r="D268">
        <v>58.8</v>
      </c>
      <c r="E268">
        <v>59.25</v>
      </c>
      <c r="F268">
        <v>25515665</v>
      </c>
      <c r="H268">
        <f t="shared" si="4"/>
        <v>8.4423812528049082E-4</v>
      </c>
    </row>
    <row r="269" spans="1:8" x14ac:dyDescent="0.25">
      <c r="A269" t="s">
        <v>209</v>
      </c>
      <c r="B269">
        <v>60.11</v>
      </c>
      <c r="C269">
        <v>60.15</v>
      </c>
      <c r="D269">
        <v>58.94</v>
      </c>
      <c r="E269">
        <v>59.2</v>
      </c>
      <c r="F269">
        <v>34542121</v>
      </c>
      <c r="H269">
        <f t="shared" si="4"/>
        <v>-1.7746991812195086E-2</v>
      </c>
    </row>
    <row r="270" spans="1:8" x14ac:dyDescent="0.25">
      <c r="A270" s="22">
        <v>42704</v>
      </c>
      <c r="B270">
        <v>60.86</v>
      </c>
      <c r="C270">
        <v>61.18</v>
      </c>
      <c r="D270">
        <v>60.22</v>
      </c>
      <c r="E270">
        <v>60.26</v>
      </c>
      <c r="F270">
        <v>34655435</v>
      </c>
      <c r="H270">
        <f t="shared" si="4"/>
        <v>-1.3679652959520535E-2</v>
      </c>
    </row>
    <row r="271" spans="1:8" x14ac:dyDescent="0.25">
      <c r="A271" s="22">
        <v>42703</v>
      </c>
      <c r="B271">
        <v>60.65</v>
      </c>
      <c r="C271">
        <v>61.41</v>
      </c>
      <c r="D271">
        <v>60.52</v>
      </c>
      <c r="E271">
        <v>61.09</v>
      </c>
      <c r="F271">
        <v>22366721</v>
      </c>
      <c r="H271">
        <f t="shared" si="4"/>
        <v>7.8882906984819538E-3</v>
      </c>
    </row>
    <row r="272" spans="1:8" x14ac:dyDescent="0.25">
      <c r="A272" s="22">
        <v>42702</v>
      </c>
      <c r="B272">
        <v>60.34</v>
      </c>
      <c r="C272">
        <v>61.02</v>
      </c>
      <c r="D272">
        <v>60.21</v>
      </c>
      <c r="E272">
        <v>60.61</v>
      </c>
      <c r="F272">
        <v>20732619</v>
      </c>
      <c r="H272">
        <f t="shared" si="4"/>
        <v>1.3207860595976844E-3</v>
      </c>
    </row>
    <row r="273" spans="1:8" x14ac:dyDescent="0.25">
      <c r="A273" s="22">
        <v>42699</v>
      </c>
      <c r="B273">
        <v>60.3</v>
      </c>
      <c r="C273">
        <v>60.53</v>
      </c>
      <c r="D273">
        <v>60.13</v>
      </c>
      <c r="E273">
        <v>60.53</v>
      </c>
      <c r="F273">
        <v>8409616</v>
      </c>
      <c r="H273">
        <f t="shared" si="4"/>
        <v>2.1500049628266323E-3</v>
      </c>
    </row>
    <row r="274" spans="1:8" x14ac:dyDescent="0.25">
      <c r="A274" s="22">
        <v>42697</v>
      </c>
      <c r="B274">
        <v>61.01</v>
      </c>
      <c r="C274">
        <v>61.1</v>
      </c>
      <c r="D274">
        <v>60.25</v>
      </c>
      <c r="E274">
        <v>60.4</v>
      </c>
      <c r="F274">
        <v>21848913</v>
      </c>
      <c r="H274">
        <f t="shared" si="4"/>
        <v>-1.185003991749573E-2</v>
      </c>
    </row>
    <row r="275" spans="1:8" x14ac:dyDescent="0.25">
      <c r="A275" s="22">
        <v>42696</v>
      </c>
      <c r="B275">
        <v>60.98</v>
      </c>
      <c r="C275">
        <v>61.26</v>
      </c>
      <c r="D275">
        <v>60.8</v>
      </c>
      <c r="E275">
        <v>61.12</v>
      </c>
      <c r="F275">
        <v>23206700</v>
      </c>
      <c r="H275">
        <f t="shared" si="4"/>
        <v>4.2630003894399285E-3</v>
      </c>
    </row>
    <row r="276" spans="1:8" x14ac:dyDescent="0.25">
      <c r="A276" s="22">
        <v>42695</v>
      </c>
      <c r="B276">
        <v>60.5</v>
      </c>
      <c r="C276">
        <v>60.97</v>
      </c>
      <c r="D276">
        <v>60.42</v>
      </c>
      <c r="E276">
        <v>60.86</v>
      </c>
      <c r="F276">
        <v>19652595</v>
      </c>
      <c r="H276">
        <f t="shared" si="4"/>
        <v>8.4151969252844981E-3</v>
      </c>
    </row>
    <row r="277" spans="1:8" x14ac:dyDescent="0.25">
      <c r="A277" s="22">
        <v>42692</v>
      </c>
      <c r="B277">
        <v>60.78</v>
      </c>
      <c r="C277">
        <v>61.14</v>
      </c>
      <c r="D277">
        <v>60.3</v>
      </c>
      <c r="E277">
        <v>60.35</v>
      </c>
      <c r="F277">
        <v>27686311</v>
      </c>
      <c r="H277">
        <f t="shared" si="4"/>
        <v>-4.7937937905757145E-3</v>
      </c>
    </row>
    <row r="278" spans="1:8" x14ac:dyDescent="0.25">
      <c r="A278" s="22">
        <v>42691</v>
      </c>
      <c r="B278">
        <v>60.41</v>
      </c>
      <c r="C278">
        <v>60.95</v>
      </c>
      <c r="D278">
        <v>59.96</v>
      </c>
      <c r="E278">
        <v>60.64</v>
      </c>
      <c r="F278">
        <v>31463728</v>
      </c>
      <c r="H278">
        <f t="shared" si="4"/>
        <v>1.6460592790191103E-2</v>
      </c>
    </row>
    <row r="279" spans="1:8" x14ac:dyDescent="0.25">
      <c r="A279" s="22">
        <v>42690</v>
      </c>
      <c r="B279">
        <v>58.94</v>
      </c>
      <c r="C279">
        <v>59.66</v>
      </c>
      <c r="D279">
        <v>58.81</v>
      </c>
      <c r="E279">
        <v>59.65</v>
      </c>
      <c r="F279">
        <v>27332475</v>
      </c>
      <c r="H279">
        <f t="shared" si="4"/>
        <v>1.3162525503755074E-2</v>
      </c>
    </row>
    <row r="280" spans="1:8" x14ac:dyDescent="0.25">
      <c r="A280" s="22">
        <v>42689</v>
      </c>
      <c r="B280">
        <v>58.33</v>
      </c>
      <c r="C280">
        <v>59.49</v>
      </c>
      <c r="D280">
        <v>58.32</v>
      </c>
      <c r="E280">
        <v>58.87</v>
      </c>
      <c r="F280">
        <v>35904126</v>
      </c>
      <c r="H280">
        <f t="shared" si="4"/>
        <v>1.282178433808785E-2</v>
      </c>
    </row>
    <row r="281" spans="1:8" x14ac:dyDescent="0.25">
      <c r="A281" s="22">
        <v>42688</v>
      </c>
      <c r="B281">
        <v>59.02</v>
      </c>
      <c r="C281">
        <v>59.08</v>
      </c>
      <c r="D281">
        <v>57.28</v>
      </c>
      <c r="E281">
        <v>58.12</v>
      </c>
      <c r="F281">
        <v>41328422</v>
      </c>
      <c r="H281">
        <f t="shared" si="4"/>
        <v>-1.5366530812711336E-2</v>
      </c>
    </row>
    <row r="282" spans="1:8" x14ac:dyDescent="0.25">
      <c r="A282" s="22">
        <v>42685</v>
      </c>
      <c r="B282">
        <v>58.23</v>
      </c>
      <c r="C282">
        <v>59.12</v>
      </c>
      <c r="D282">
        <v>58.01</v>
      </c>
      <c r="E282">
        <v>59.02</v>
      </c>
      <c r="F282">
        <v>38767843</v>
      </c>
      <c r="H282">
        <f t="shared" si="4"/>
        <v>5.4366426807425485E-3</v>
      </c>
    </row>
    <row r="283" spans="1:8" x14ac:dyDescent="0.25">
      <c r="A283" s="22">
        <v>42684</v>
      </c>
      <c r="B283">
        <v>60.48</v>
      </c>
      <c r="C283">
        <v>60.49</v>
      </c>
      <c r="D283">
        <v>57.63</v>
      </c>
      <c r="E283">
        <v>58.7</v>
      </c>
      <c r="F283">
        <v>57822394</v>
      </c>
      <c r="H283">
        <f t="shared" si="4"/>
        <v>-2.4734162398209567E-2</v>
      </c>
    </row>
    <row r="284" spans="1:8" x14ac:dyDescent="0.25">
      <c r="A284" s="22">
        <v>42683</v>
      </c>
      <c r="B284">
        <v>60</v>
      </c>
      <c r="C284">
        <v>60.59</v>
      </c>
      <c r="D284">
        <v>59.2</v>
      </c>
      <c r="E284">
        <v>60.17</v>
      </c>
      <c r="F284">
        <v>49632479</v>
      </c>
      <c r="H284">
        <f t="shared" si="4"/>
        <v>-4.9734850528610521E-3</v>
      </c>
    </row>
    <row r="285" spans="1:8" x14ac:dyDescent="0.25">
      <c r="A285" s="22">
        <v>42682</v>
      </c>
      <c r="B285">
        <v>60.55</v>
      </c>
      <c r="C285">
        <v>60.78</v>
      </c>
      <c r="D285">
        <v>60.15</v>
      </c>
      <c r="E285">
        <v>60.47</v>
      </c>
      <c r="F285">
        <v>22935355</v>
      </c>
      <c r="H285">
        <f t="shared" si="4"/>
        <v>8.2719832659553655E-4</v>
      </c>
    </row>
    <row r="286" spans="1:8" x14ac:dyDescent="0.25">
      <c r="A286" s="22">
        <v>42681</v>
      </c>
      <c r="B286">
        <v>59.78</v>
      </c>
      <c r="C286">
        <v>60.52</v>
      </c>
      <c r="D286">
        <v>59.78</v>
      </c>
      <c r="E286">
        <v>60.42</v>
      </c>
      <c r="F286">
        <v>31664798</v>
      </c>
      <c r="H286">
        <f t="shared" si="4"/>
        <v>2.871010588243136E-2</v>
      </c>
    </row>
    <row r="287" spans="1:8" x14ac:dyDescent="0.25">
      <c r="A287" s="22">
        <v>42678</v>
      </c>
      <c r="B287">
        <v>58.65</v>
      </c>
      <c r="C287">
        <v>59.28</v>
      </c>
      <c r="D287">
        <v>58.52</v>
      </c>
      <c r="E287">
        <v>58.71</v>
      </c>
      <c r="F287">
        <v>28697016</v>
      </c>
      <c r="H287">
        <f t="shared" si="4"/>
        <v>-8.4803764675902456E-3</v>
      </c>
    </row>
    <row r="288" spans="1:8" x14ac:dyDescent="0.25">
      <c r="A288" s="22">
        <v>42677</v>
      </c>
      <c r="B288">
        <v>59.53</v>
      </c>
      <c r="C288">
        <v>59.64</v>
      </c>
      <c r="D288">
        <v>59.11</v>
      </c>
      <c r="E288">
        <v>59.21</v>
      </c>
      <c r="F288">
        <v>21600427</v>
      </c>
      <c r="H288">
        <f t="shared" si="4"/>
        <v>-3.7087028348844332E-3</v>
      </c>
    </row>
    <row r="289" spans="1:8" x14ac:dyDescent="0.25">
      <c r="A289" s="22">
        <v>42676</v>
      </c>
      <c r="B289">
        <v>59.82</v>
      </c>
      <c r="C289">
        <v>59.93</v>
      </c>
      <c r="D289">
        <v>59.3</v>
      </c>
      <c r="E289">
        <v>59.43</v>
      </c>
      <c r="F289">
        <v>22147005</v>
      </c>
      <c r="H289">
        <f t="shared" si="4"/>
        <v>-6.2065115780168059E-3</v>
      </c>
    </row>
    <row r="290" spans="1:8" x14ac:dyDescent="0.25">
      <c r="A290" s="22">
        <v>42675</v>
      </c>
      <c r="B290">
        <v>59.97</v>
      </c>
      <c r="C290">
        <v>60.02</v>
      </c>
      <c r="D290">
        <v>59.25</v>
      </c>
      <c r="E290">
        <v>59.8</v>
      </c>
      <c r="F290">
        <v>24532986</v>
      </c>
      <c r="H290">
        <f t="shared" si="4"/>
        <v>-2.0046782523780106E-3</v>
      </c>
    </row>
    <row r="291" spans="1:8" x14ac:dyDescent="0.25">
      <c r="A291" t="s">
        <v>210</v>
      </c>
      <c r="B291">
        <v>60.16</v>
      </c>
      <c r="C291">
        <v>60.42</v>
      </c>
      <c r="D291">
        <v>59.92</v>
      </c>
      <c r="E291">
        <v>59.92</v>
      </c>
      <c r="F291">
        <v>26434697</v>
      </c>
      <c r="H291">
        <f t="shared" si="4"/>
        <v>8.347942717033802E-4</v>
      </c>
    </row>
    <row r="292" spans="1:8" x14ac:dyDescent="0.25">
      <c r="A292" t="s">
        <v>211</v>
      </c>
      <c r="B292">
        <v>60.01</v>
      </c>
      <c r="C292">
        <v>60.52</v>
      </c>
      <c r="D292">
        <v>59.58</v>
      </c>
      <c r="E292">
        <v>59.87</v>
      </c>
      <c r="F292">
        <v>33574684</v>
      </c>
      <c r="H292">
        <f t="shared" si="4"/>
        <v>-3.8342966039013032E-3</v>
      </c>
    </row>
    <row r="293" spans="1:8" x14ac:dyDescent="0.25">
      <c r="A293" t="s">
        <v>212</v>
      </c>
      <c r="B293">
        <v>60.61</v>
      </c>
      <c r="C293">
        <v>60.83</v>
      </c>
      <c r="D293">
        <v>60.09</v>
      </c>
      <c r="E293">
        <v>60.1</v>
      </c>
      <c r="F293">
        <v>28479856</v>
      </c>
      <c r="H293">
        <f t="shared" si="4"/>
        <v>-8.7799785424774023E-3</v>
      </c>
    </row>
    <row r="294" spans="1:8" x14ac:dyDescent="0.25">
      <c r="A294" t="s">
        <v>213</v>
      </c>
      <c r="B294">
        <v>60.81</v>
      </c>
      <c r="C294">
        <v>61.2</v>
      </c>
      <c r="D294">
        <v>60.47</v>
      </c>
      <c r="E294">
        <v>60.63</v>
      </c>
      <c r="F294">
        <v>29911608</v>
      </c>
      <c r="H294">
        <f t="shared" si="4"/>
        <v>-5.920096224725559E-3</v>
      </c>
    </row>
    <row r="295" spans="1:8" x14ac:dyDescent="0.25">
      <c r="A295" t="s">
        <v>214</v>
      </c>
      <c r="B295">
        <v>60.85</v>
      </c>
      <c r="C295">
        <v>61.37</v>
      </c>
      <c r="D295">
        <v>60.8</v>
      </c>
      <c r="E295">
        <v>60.99</v>
      </c>
      <c r="F295">
        <v>35137164</v>
      </c>
      <c r="H295">
        <f t="shared" si="4"/>
        <v>-1.6394786494631225E-4</v>
      </c>
    </row>
    <row r="296" spans="1:8" x14ac:dyDescent="0.25">
      <c r="A296" t="s">
        <v>215</v>
      </c>
      <c r="B296">
        <v>59.94</v>
      </c>
      <c r="C296">
        <v>61</v>
      </c>
      <c r="D296">
        <v>59.93</v>
      </c>
      <c r="E296">
        <v>61</v>
      </c>
      <c r="F296">
        <v>54066978</v>
      </c>
      <c r="H296">
        <f t="shared" si="4"/>
        <v>2.221208508670891E-2</v>
      </c>
    </row>
    <row r="297" spans="1:8" x14ac:dyDescent="0.25">
      <c r="A297" t="s">
        <v>216</v>
      </c>
      <c r="B297">
        <v>60.28</v>
      </c>
      <c r="C297">
        <v>60.45</v>
      </c>
      <c r="D297">
        <v>59.48</v>
      </c>
      <c r="E297">
        <v>59.66</v>
      </c>
      <c r="F297">
        <v>80032206</v>
      </c>
      <c r="H297">
        <f t="shared" si="4"/>
        <v>4.1234136652253409E-2</v>
      </c>
    </row>
    <row r="298" spans="1:8" x14ac:dyDescent="0.25">
      <c r="A298" t="s">
        <v>217</v>
      </c>
      <c r="B298">
        <v>57.5</v>
      </c>
      <c r="C298">
        <v>57.52</v>
      </c>
      <c r="D298">
        <v>56.66</v>
      </c>
      <c r="E298">
        <v>57.25</v>
      </c>
      <c r="F298">
        <v>49455612</v>
      </c>
      <c r="H298">
        <f t="shared" si="4"/>
        <v>-4.8789084408530645E-3</v>
      </c>
    </row>
    <row r="299" spans="1:8" x14ac:dyDescent="0.25">
      <c r="A299" t="s">
        <v>218</v>
      </c>
      <c r="B299">
        <v>57.47</v>
      </c>
      <c r="C299">
        <v>57.84</v>
      </c>
      <c r="D299">
        <v>57.4</v>
      </c>
      <c r="E299">
        <v>57.53</v>
      </c>
      <c r="F299">
        <v>22878397</v>
      </c>
      <c r="H299">
        <f t="shared" si="4"/>
        <v>-2.2571413350540169E-3</v>
      </c>
    </row>
    <row r="300" spans="1:8" x14ac:dyDescent="0.25">
      <c r="A300" t="s">
        <v>219</v>
      </c>
      <c r="B300">
        <v>57.53</v>
      </c>
      <c r="C300">
        <v>57.94</v>
      </c>
      <c r="D300">
        <v>57.41</v>
      </c>
      <c r="E300">
        <v>57.66</v>
      </c>
      <c r="F300">
        <v>19149538</v>
      </c>
      <c r="H300">
        <f t="shared" si="4"/>
        <v>7.6602045882917889E-3</v>
      </c>
    </row>
    <row r="301" spans="1:8" x14ac:dyDescent="0.25">
      <c r="A301" t="s">
        <v>220</v>
      </c>
      <c r="B301">
        <v>57.36</v>
      </c>
      <c r="C301">
        <v>57.46</v>
      </c>
      <c r="D301">
        <v>56.87</v>
      </c>
      <c r="E301">
        <v>57.22</v>
      </c>
      <c r="F301">
        <v>23830014</v>
      </c>
      <c r="H301">
        <f t="shared" si="4"/>
        <v>-3.4891870709537745E-3</v>
      </c>
    </row>
    <row r="302" spans="1:8" x14ac:dyDescent="0.25">
      <c r="A302" t="s">
        <v>221</v>
      </c>
      <c r="B302">
        <v>57.12</v>
      </c>
      <c r="C302">
        <v>57.74</v>
      </c>
      <c r="D302">
        <v>57.12</v>
      </c>
      <c r="E302">
        <v>57.42</v>
      </c>
      <c r="F302">
        <v>27402451</v>
      </c>
      <c r="H302">
        <f t="shared" si="4"/>
        <v>8.7459014712661879E-3</v>
      </c>
    </row>
    <row r="303" spans="1:8" x14ac:dyDescent="0.25">
      <c r="A303" t="s">
        <v>222</v>
      </c>
      <c r="B303">
        <v>56.7</v>
      </c>
      <c r="C303">
        <v>57.3</v>
      </c>
      <c r="D303">
        <v>56.32</v>
      </c>
      <c r="E303">
        <v>56.92</v>
      </c>
      <c r="F303">
        <v>25313748</v>
      </c>
      <c r="H303">
        <f t="shared" si="4"/>
        <v>-3.3324594551198987E-3</v>
      </c>
    </row>
    <row r="304" spans="1:8" x14ac:dyDescent="0.25">
      <c r="A304" t="s">
        <v>223</v>
      </c>
      <c r="B304">
        <v>57.11</v>
      </c>
      <c r="C304">
        <v>57.27</v>
      </c>
      <c r="D304">
        <v>56.4</v>
      </c>
      <c r="E304">
        <v>57.11</v>
      </c>
      <c r="F304">
        <v>22177464</v>
      </c>
      <c r="H304">
        <f t="shared" si="4"/>
        <v>-1.3998252504532453E-3</v>
      </c>
    </row>
    <row r="305" spans="1:8" x14ac:dyDescent="0.25">
      <c r="A305" t="s">
        <v>224</v>
      </c>
      <c r="B305">
        <v>57.89</v>
      </c>
      <c r="C305">
        <v>58.02</v>
      </c>
      <c r="D305">
        <v>56.89</v>
      </c>
      <c r="E305">
        <v>57.19</v>
      </c>
      <c r="F305">
        <v>26497418</v>
      </c>
      <c r="H305">
        <f t="shared" si="4"/>
        <v>-1.4753370088762315E-2</v>
      </c>
    </row>
    <row r="306" spans="1:8" x14ac:dyDescent="0.25">
      <c r="A306" t="s">
        <v>225</v>
      </c>
      <c r="B306">
        <v>57.91</v>
      </c>
      <c r="C306">
        <v>58.39</v>
      </c>
      <c r="D306">
        <v>57.87</v>
      </c>
      <c r="E306">
        <v>58.04</v>
      </c>
      <c r="F306">
        <v>18196509</v>
      </c>
      <c r="H306">
        <f t="shared" si="4"/>
        <v>4.1436523376553744E-3</v>
      </c>
    </row>
    <row r="307" spans="1:8" x14ac:dyDescent="0.25">
      <c r="A307" t="s">
        <v>226</v>
      </c>
      <c r="B307">
        <v>57.85</v>
      </c>
      <c r="C307">
        <v>57.98</v>
      </c>
      <c r="D307">
        <v>57.42</v>
      </c>
      <c r="E307">
        <v>57.8</v>
      </c>
      <c r="F307">
        <v>20089020</v>
      </c>
      <c r="H307">
        <f t="shared" si="4"/>
        <v>1.0386014435427066E-3</v>
      </c>
    </row>
    <row r="308" spans="1:8" x14ac:dyDescent="0.25">
      <c r="A308" t="s">
        <v>227</v>
      </c>
      <c r="B308">
        <v>57.74</v>
      </c>
      <c r="C308">
        <v>57.86</v>
      </c>
      <c r="D308">
        <v>57.28</v>
      </c>
      <c r="E308">
        <v>57.74</v>
      </c>
      <c r="F308">
        <v>16212611</v>
      </c>
      <c r="H308">
        <f t="shared" si="4"/>
        <v>1.7334031034676137E-3</v>
      </c>
    </row>
    <row r="309" spans="1:8" x14ac:dyDescent="0.25">
      <c r="A309" t="s">
        <v>228</v>
      </c>
      <c r="B309">
        <v>57.29</v>
      </c>
      <c r="C309">
        <v>57.96</v>
      </c>
      <c r="D309">
        <v>57.26</v>
      </c>
      <c r="E309">
        <v>57.64</v>
      </c>
      <c r="F309">
        <v>16726411</v>
      </c>
      <c r="H309">
        <f t="shared" si="4"/>
        <v>6.9638164430712276E-3</v>
      </c>
    </row>
    <row r="310" spans="1:8" x14ac:dyDescent="0.25">
      <c r="A310" t="s">
        <v>229</v>
      </c>
      <c r="B310">
        <v>57.27</v>
      </c>
      <c r="C310">
        <v>57.6</v>
      </c>
      <c r="D310">
        <v>56.97</v>
      </c>
      <c r="E310">
        <v>57.24</v>
      </c>
      <c r="F310">
        <v>20085874</v>
      </c>
      <c r="H310">
        <f t="shared" si="4"/>
        <v>-3.1397200046677527E-3</v>
      </c>
    </row>
    <row r="311" spans="1:8" x14ac:dyDescent="0.25">
      <c r="A311" t="s">
        <v>230</v>
      </c>
      <c r="B311">
        <v>57.4</v>
      </c>
      <c r="C311">
        <v>57.55</v>
      </c>
      <c r="D311">
        <v>57.06</v>
      </c>
      <c r="E311">
        <v>57.42</v>
      </c>
      <c r="F311">
        <v>19189515</v>
      </c>
      <c r="H311">
        <f t="shared" si="4"/>
        <v>-3.1298930089277044E-3</v>
      </c>
    </row>
    <row r="312" spans="1:8" x14ac:dyDescent="0.25">
      <c r="A312" t="s">
        <v>231</v>
      </c>
      <c r="B312">
        <v>57.57</v>
      </c>
      <c r="C312">
        <v>57.77</v>
      </c>
      <c r="D312">
        <v>57.34</v>
      </c>
      <c r="E312">
        <v>57.6</v>
      </c>
      <c r="F312">
        <v>29910788</v>
      </c>
      <c r="H312">
        <f t="shared" si="4"/>
        <v>3.4782643763247925E-3</v>
      </c>
    </row>
    <row r="313" spans="1:8" x14ac:dyDescent="0.25">
      <c r="A313" t="s">
        <v>232</v>
      </c>
      <c r="B313">
        <v>57.81</v>
      </c>
      <c r="C313">
        <v>58.17</v>
      </c>
      <c r="D313">
        <v>57.21</v>
      </c>
      <c r="E313">
        <v>57.4</v>
      </c>
      <c r="F313">
        <v>25463536</v>
      </c>
      <c r="H313">
        <f t="shared" si="4"/>
        <v>-1.0915814876996242E-2</v>
      </c>
    </row>
    <row r="314" spans="1:8" x14ac:dyDescent="0.25">
      <c r="A314" t="s">
        <v>233</v>
      </c>
      <c r="B314">
        <v>57.88</v>
      </c>
      <c r="C314">
        <v>58.06</v>
      </c>
      <c r="D314">
        <v>57.67</v>
      </c>
      <c r="E314">
        <v>58.03</v>
      </c>
      <c r="F314">
        <v>20536400</v>
      </c>
      <c r="H314">
        <f t="shared" si="4"/>
        <v>1.3795484167560626E-3</v>
      </c>
    </row>
    <row r="315" spans="1:8" x14ac:dyDescent="0.25">
      <c r="A315" t="s">
        <v>234</v>
      </c>
      <c r="B315">
        <v>56.93</v>
      </c>
      <c r="C315">
        <v>58.06</v>
      </c>
      <c r="D315">
        <v>56.68</v>
      </c>
      <c r="E315">
        <v>57.95</v>
      </c>
      <c r="F315">
        <v>28065071</v>
      </c>
      <c r="H315">
        <f t="shared" si="4"/>
        <v>1.8285228653475621E-2</v>
      </c>
    </row>
    <row r="316" spans="1:8" x14ac:dyDescent="0.25">
      <c r="A316" t="s">
        <v>235</v>
      </c>
      <c r="B316">
        <v>57.08</v>
      </c>
      <c r="C316">
        <v>57.14</v>
      </c>
      <c r="D316">
        <v>56.83</v>
      </c>
      <c r="E316">
        <v>56.9</v>
      </c>
      <c r="F316">
        <v>21688720</v>
      </c>
      <c r="H316">
        <f t="shared" si="4"/>
        <v>-9.27147374391998E-3</v>
      </c>
    </row>
    <row r="317" spans="1:8" x14ac:dyDescent="0.25">
      <c r="A317" t="s">
        <v>236</v>
      </c>
      <c r="B317">
        <v>57.87</v>
      </c>
      <c r="C317">
        <v>57.91</v>
      </c>
      <c r="D317">
        <v>57.38</v>
      </c>
      <c r="E317">
        <v>57.43</v>
      </c>
      <c r="F317">
        <v>19955336</v>
      </c>
      <c r="H317">
        <f t="shared" si="4"/>
        <v>-6.7679217119949054E-3</v>
      </c>
    </row>
    <row r="318" spans="1:8" x14ac:dyDescent="0.25">
      <c r="A318" t="s">
        <v>237</v>
      </c>
      <c r="B318">
        <v>57.92</v>
      </c>
      <c r="C318">
        <v>58</v>
      </c>
      <c r="D318">
        <v>57.63</v>
      </c>
      <c r="E318">
        <v>57.82</v>
      </c>
      <c r="F318">
        <v>19822203</v>
      </c>
      <c r="H318">
        <f t="shared" si="4"/>
        <v>1.0382420036292304E-3</v>
      </c>
    </row>
    <row r="319" spans="1:8" x14ac:dyDescent="0.25">
      <c r="A319" t="s">
        <v>238</v>
      </c>
      <c r="B319">
        <v>57.51</v>
      </c>
      <c r="C319">
        <v>57.85</v>
      </c>
      <c r="D319">
        <v>57.08</v>
      </c>
      <c r="E319">
        <v>57.76</v>
      </c>
      <c r="F319">
        <v>33707272</v>
      </c>
      <c r="H319">
        <f t="shared" si="4"/>
        <v>1.6584128015535261E-2</v>
      </c>
    </row>
    <row r="320" spans="1:8" x14ac:dyDescent="0.25">
      <c r="A320" t="s">
        <v>239</v>
      </c>
      <c r="B320">
        <v>57.35</v>
      </c>
      <c r="C320">
        <v>57.35</v>
      </c>
      <c r="D320">
        <v>56.75</v>
      </c>
      <c r="E320">
        <v>56.81</v>
      </c>
      <c r="F320">
        <v>17383982</v>
      </c>
      <c r="H320">
        <f t="shared" si="4"/>
        <v>-2.1100763939549908E-3</v>
      </c>
    </row>
    <row r="321" spans="1:8" x14ac:dyDescent="0.25">
      <c r="A321" t="s">
        <v>240</v>
      </c>
      <c r="B321">
        <v>57.27</v>
      </c>
      <c r="C321">
        <v>57.75</v>
      </c>
      <c r="D321">
        <v>56.85</v>
      </c>
      <c r="E321">
        <v>56.93</v>
      </c>
      <c r="F321">
        <v>20937104</v>
      </c>
      <c r="H321">
        <f t="shared" si="4"/>
        <v>-5.6051994713585112E-3</v>
      </c>
    </row>
    <row r="322" spans="1:8" x14ac:dyDescent="0.25">
      <c r="A322" t="s">
        <v>241</v>
      </c>
      <c r="B322">
        <v>57.63</v>
      </c>
      <c r="C322">
        <v>57.63</v>
      </c>
      <c r="D322">
        <v>56.75</v>
      </c>
      <c r="E322">
        <v>57.25</v>
      </c>
      <c r="F322">
        <v>44606965</v>
      </c>
      <c r="H322">
        <f t="shared" si="4"/>
        <v>1.0485845071243559E-3</v>
      </c>
    </row>
    <row r="323" spans="1:8" x14ac:dyDescent="0.25">
      <c r="A323" t="s">
        <v>242</v>
      </c>
      <c r="B323">
        <v>56.15</v>
      </c>
      <c r="C323">
        <v>57.35</v>
      </c>
      <c r="D323">
        <v>55.98</v>
      </c>
      <c r="E323">
        <v>57.19</v>
      </c>
      <c r="F323">
        <v>27062614</v>
      </c>
      <c r="H323">
        <f t="shared" ref="H323:H386" si="5">IFERROR(LN(E323/E324),"")</f>
        <v>1.6395254865513919E-2</v>
      </c>
    </row>
    <row r="324" spans="1:8" x14ac:dyDescent="0.25">
      <c r="A324" t="s">
        <v>243</v>
      </c>
      <c r="B324">
        <v>56.39</v>
      </c>
      <c r="C324">
        <v>56.63</v>
      </c>
      <c r="D324">
        <v>56.03</v>
      </c>
      <c r="E324">
        <v>56.26</v>
      </c>
      <c r="F324">
        <v>24274273</v>
      </c>
      <c r="H324">
        <f t="shared" si="5"/>
        <v>-4.7876676254887066E-3</v>
      </c>
    </row>
    <row r="325" spans="1:8" x14ac:dyDescent="0.25">
      <c r="A325" t="s">
        <v>244</v>
      </c>
      <c r="B325">
        <v>56.5</v>
      </c>
      <c r="C325">
        <v>56.65</v>
      </c>
      <c r="D325">
        <v>56.05</v>
      </c>
      <c r="E325">
        <v>56.53</v>
      </c>
      <c r="F325">
        <v>30130213</v>
      </c>
      <c r="H325">
        <f t="shared" si="5"/>
        <v>-9.1566056208851419E-3</v>
      </c>
    </row>
    <row r="326" spans="1:8" x14ac:dyDescent="0.25">
      <c r="A326" t="s">
        <v>245</v>
      </c>
      <c r="B326">
        <v>56</v>
      </c>
      <c r="C326">
        <v>57.2</v>
      </c>
      <c r="D326">
        <v>55.61</v>
      </c>
      <c r="E326">
        <v>57.05</v>
      </c>
      <c r="F326">
        <v>29302962</v>
      </c>
      <c r="H326">
        <f t="shared" si="5"/>
        <v>1.4833399294100876E-2</v>
      </c>
    </row>
    <row r="327" spans="1:8" x14ac:dyDescent="0.25">
      <c r="A327" t="s">
        <v>246</v>
      </c>
      <c r="B327">
        <v>56.79</v>
      </c>
      <c r="C327">
        <v>57.52</v>
      </c>
      <c r="D327">
        <v>56.21</v>
      </c>
      <c r="E327">
        <v>56.21</v>
      </c>
      <c r="F327">
        <v>35113934</v>
      </c>
      <c r="H327">
        <f t="shared" si="5"/>
        <v>-2.1472137862221567E-2</v>
      </c>
    </row>
    <row r="328" spans="1:8" x14ac:dyDescent="0.25">
      <c r="A328" t="s">
        <v>247</v>
      </c>
      <c r="B328">
        <v>57.63</v>
      </c>
      <c r="C328">
        <v>57.79</v>
      </c>
      <c r="D328">
        <v>57.18</v>
      </c>
      <c r="E328">
        <v>57.43</v>
      </c>
      <c r="F328">
        <v>20146083</v>
      </c>
      <c r="H328">
        <f t="shared" si="5"/>
        <v>-3.9968773340509443E-3</v>
      </c>
    </row>
    <row r="329" spans="1:8" x14ac:dyDescent="0.25">
      <c r="A329" t="s">
        <v>248</v>
      </c>
      <c r="B329">
        <v>57.47</v>
      </c>
      <c r="C329">
        <v>57.84</v>
      </c>
      <c r="D329">
        <v>57.4</v>
      </c>
      <c r="E329">
        <v>57.66</v>
      </c>
      <c r="F329">
        <v>17493359</v>
      </c>
      <c r="H329">
        <f t="shared" si="5"/>
        <v>8.6752846596441062E-4</v>
      </c>
    </row>
    <row r="330" spans="1:8" x14ac:dyDescent="0.25">
      <c r="A330" t="s">
        <v>249</v>
      </c>
      <c r="B330">
        <v>57.78</v>
      </c>
      <c r="C330">
        <v>57.8</v>
      </c>
      <c r="D330">
        <v>57.21</v>
      </c>
      <c r="E330">
        <v>57.61</v>
      </c>
      <c r="F330">
        <v>16278416</v>
      </c>
      <c r="H330">
        <f t="shared" si="5"/>
        <v>-1.0409438830294936E-3</v>
      </c>
    </row>
    <row r="331" spans="1:8" x14ac:dyDescent="0.25">
      <c r="A331" t="s">
        <v>250</v>
      </c>
      <c r="B331">
        <v>57.67</v>
      </c>
      <c r="C331">
        <v>58.19</v>
      </c>
      <c r="D331">
        <v>57.42</v>
      </c>
      <c r="E331">
        <v>57.67</v>
      </c>
      <c r="F331">
        <v>18900489</v>
      </c>
      <c r="H331">
        <f t="shared" si="5"/>
        <v>1.3881661087403138E-3</v>
      </c>
    </row>
    <row r="332" spans="1:8" x14ac:dyDescent="0.25">
      <c r="A332" t="s">
        <v>251</v>
      </c>
      <c r="B332">
        <v>57.01</v>
      </c>
      <c r="C332">
        <v>57.82</v>
      </c>
      <c r="D332">
        <v>57.01</v>
      </c>
      <c r="E332">
        <v>57.59</v>
      </c>
      <c r="F332">
        <v>26075363</v>
      </c>
      <c r="H332">
        <f t="shared" si="5"/>
        <v>2.2598879674375042E-3</v>
      </c>
    </row>
    <row r="333" spans="1:8" x14ac:dyDescent="0.25">
      <c r="A333" t="s">
        <v>252</v>
      </c>
      <c r="B333">
        <v>57.65</v>
      </c>
      <c r="C333">
        <v>57.8</v>
      </c>
      <c r="D333">
        <v>57.3</v>
      </c>
      <c r="E333">
        <v>57.46</v>
      </c>
      <c r="F333">
        <v>20860269</v>
      </c>
      <c r="H333">
        <f t="shared" si="5"/>
        <v>-7.4556045397697456E-3</v>
      </c>
    </row>
    <row r="334" spans="1:8" x14ac:dyDescent="0.25">
      <c r="A334" t="s">
        <v>253</v>
      </c>
      <c r="B334">
        <v>57.98</v>
      </c>
      <c r="C334">
        <v>58.19</v>
      </c>
      <c r="D334">
        <v>57.61</v>
      </c>
      <c r="E334">
        <v>57.89</v>
      </c>
      <c r="F334">
        <v>16930185</v>
      </c>
      <c r="H334">
        <f t="shared" si="5"/>
        <v>-3.6210057669522934E-3</v>
      </c>
    </row>
    <row r="335" spans="1:8" x14ac:dyDescent="0.25">
      <c r="A335" t="s">
        <v>254</v>
      </c>
      <c r="B335">
        <v>58.18</v>
      </c>
      <c r="C335">
        <v>58.6</v>
      </c>
      <c r="D335">
        <v>58.1</v>
      </c>
      <c r="E335">
        <v>58.1</v>
      </c>
      <c r="F335">
        <v>16417207</v>
      </c>
      <c r="H335">
        <f t="shared" si="5"/>
        <v>1.2055456553486893E-3</v>
      </c>
    </row>
    <row r="336" spans="1:8" x14ac:dyDescent="0.25">
      <c r="A336" t="s">
        <v>255</v>
      </c>
      <c r="B336">
        <v>58.28</v>
      </c>
      <c r="C336">
        <v>58.7</v>
      </c>
      <c r="D336">
        <v>57.69</v>
      </c>
      <c r="E336">
        <v>58.03</v>
      </c>
      <c r="F336">
        <v>20971202</v>
      </c>
      <c r="H336">
        <f t="shared" si="5"/>
        <v>-2.4096397201531766E-3</v>
      </c>
    </row>
    <row r="337" spans="1:8" x14ac:dyDescent="0.25">
      <c r="A337" t="s">
        <v>256</v>
      </c>
      <c r="B337">
        <v>57.88</v>
      </c>
      <c r="C337">
        <v>58.29</v>
      </c>
      <c r="D337">
        <v>57.78</v>
      </c>
      <c r="E337">
        <v>58.17</v>
      </c>
      <c r="F337">
        <v>18552579</v>
      </c>
      <c r="H337">
        <f t="shared" si="5"/>
        <v>3.7891881369093777E-3</v>
      </c>
    </row>
    <row r="338" spans="1:8" x14ac:dyDescent="0.25">
      <c r="A338" t="s">
        <v>257</v>
      </c>
      <c r="B338">
        <v>57.8</v>
      </c>
      <c r="C338">
        <v>58.04</v>
      </c>
      <c r="D338">
        <v>57.72</v>
      </c>
      <c r="E338">
        <v>57.95</v>
      </c>
      <c r="F338">
        <v>18151506</v>
      </c>
      <c r="H338">
        <f t="shared" si="5"/>
        <v>1.0359116948474517E-3</v>
      </c>
    </row>
    <row r="339" spans="1:8" x14ac:dyDescent="0.25">
      <c r="A339" t="s">
        <v>258</v>
      </c>
      <c r="B339">
        <v>57.9</v>
      </c>
      <c r="C339">
        <v>58.18</v>
      </c>
      <c r="D339">
        <v>57.85</v>
      </c>
      <c r="E339">
        <v>57.89</v>
      </c>
      <c r="F339">
        <v>18732373</v>
      </c>
      <c r="H339">
        <f t="shared" si="5"/>
        <v>3.8075504635919498E-3</v>
      </c>
    </row>
    <row r="340" spans="1:8" x14ac:dyDescent="0.25">
      <c r="A340" t="s">
        <v>259</v>
      </c>
      <c r="B340">
        <v>57.6</v>
      </c>
      <c r="C340">
        <v>57.75</v>
      </c>
      <c r="D340">
        <v>57.26</v>
      </c>
      <c r="E340">
        <v>57.67</v>
      </c>
      <c r="F340">
        <v>15221922</v>
      </c>
      <c r="H340">
        <f t="shared" si="5"/>
        <v>8.6737797093891836E-4</v>
      </c>
    </row>
    <row r="341" spans="1:8" x14ac:dyDescent="0.25">
      <c r="A341" t="s">
        <v>260</v>
      </c>
      <c r="B341">
        <v>57.43</v>
      </c>
      <c r="C341">
        <v>57.73</v>
      </c>
      <c r="D341">
        <v>57.2</v>
      </c>
      <c r="E341">
        <v>57.62</v>
      </c>
      <c r="F341">
        <v>17271044</v>
      </c>
      <c r="H341">
        <f t="shared" si="5"/>
        <v>3.4716195453670154E-4</v>
      </c>
    </row>
    <row r="342" spans="1:8" x14ac:dyDescent="0.25">
      <c r="A342" t="s">
        <v>261</v>
      </c>
      <c r="B342">
        <v>57.42</v>
      </c>
      <c r="C342">
        <v>57.7</v>
      </c>
      <c r="D342">
        <v>57.27</v>
      </c>
      <c r="E342">
        <v>57.6</v>
      </c>
      <c r="F342">
        <v>14214341</v>
      </c>
      <c r="H342">
        <f t="shared" si="5"/>
        <v>6.9468568267841348E-4</v>
      </c>
    </row>
    <row r="343" spans="1:8" x14ac:dyDescent="0.25">
      <c r="A343" t="s">
        <v>262</v>
      </c>
      <c r="B343">
        <v>57.54</v>
      </c>
      <c r="C343">
        <v>57.68</v>
      </c>
      <c r="D343">
        <v>57.23</v>
      </c>
      <c r="E343">
        <v>57.56</v>
      </c>
      <c r="F343">
        <v>18856423</v>
      </c>
      <c r="H343">
        <f t="shared" si="5"/>
        <v>2.0869572791982938E-3</v>
      </c>
    </row>
    <row r="344" spans="1:8" x14ac:dyDescent="0.25">
      <c r="A344" t="s">
        <v>263</v>
      </c>
      <c r="B344">
        <v>57.61</v>
      </c>
      <c r="C344">
        <v>57.62</v>
      </c>
      <c r="D344">
        <v>57.27</v>
      </c>
      <c r="E344">
        <v>57.44</v>
      </c>
      <c r="F344">
        <v>20523493</v>
      </c>
      <c r="H344">
        <f t="shared" si="5"/>
        <v>-1.1768913962113381E-2</v>
      </c>
    </row>
    <row r="345" spans="1:8" x14ac:dyDescent="0.25">
      <c r="A345" t="s">
        <v>264</v>
      </c>
      <c r="B345">
        <v>58.01</v>
      </c>
      <c r="C345">
        <v>58.5</v>
      </c>
      <c r="D345">
        <v>57.96</v>
      </c>
      <c r="E345">
        <v>58.12</v>
      </c>
      <c r="F345">
        <v>19283902</v>
      </c>
      <c r="H345">
        <f t="shared" si="5"/>
        <v>3.1018463608778663E-3</v>
      </c>
    </row>
    <row r="346" spans="1:8" x14ac:dyDescent="0.25">
      <c r="A346" t="s">
        <v>265</v>
      </c>
      <c r="B346">
        <v>58.03</v>
      </c>
      <c r="C346">
        <v>58.19</v>
      </c>
      <c r="D346">
        <v>57.62</v>
      </c>
      <c r="E346">
        <v>57.94</v>
      </c>
      <c r="F346">
        <v>21655161</v>
      </c>
      <c r="H346">
        <f t="shared" si="5"/>
        <v>-6.1941010152423729E-3</v>
      </c>
    </row>
    <row r="347" spans="1:8" x14ac:dyDescent="0.25">
      <c r="A347" t="s">
        <v>266</v>
      </c>
      <c r="B347">
        <v>58.03</v>
      </c>
      <c r="C347">
        <v>58.45</v>
      </c>
      <c r="D347">
        <v>58.03</v>
      </c>
      <c r="E347">
        <v>58.3</v>
      </c>
      <c r="F347">
        <v>18162301</v>
      </c>
      <c r="H347">
        <f t="shared" si="5"/>
        <v>4.8143146631885944E-3</v>
      </c>
    </row>
    <row r="348" spans="1:8" x14ac:dyDescent="0.25">
      <c r="A348" t="s">
        <v>267</v>
      </c>
      <c r="B348">
        <v>58.16</v>
      </c>
      <c r="C348">
        <v>58.32</v>
      </c>
      <c r="D348">
        <v>57.82</v>
      </c>
      <c r="E348">
        <v>58.02</v>
      </c>
      <c r="F348">
        <v>15756913</v>
      </c>
      <c r="H348">
        <f t="shared" si="5"/>
        <v>-3.0975760441341693E-3</v>
      </c>
    </row>
    <row r="349" spans="1:8" x14ac:dyDescent="0.25">
      <c r="A349" t="s">
        <v>268</v>
      </c>
      <c r="B349">
        <v>58.17</v>
      </c>
      <c r="C349">
        <v>58.5</v>
      </c>
      <c r="D349">
        <v>58.02</v>
      </c>
      <c r="E349">
        <v>58.2</v>
      </c>
      <c r="F349">
        <v>16920721</v>
      </c>
      <c r="H349">
        <f t="shared" si="5"/>
        <v>2.4083961409082171E-3</v>
      </c>
    </row>
    <row r="350" spans="1:8" x14ac:dyDescent="0.25">
      <c r="A350" t="s">
        <v>269</v>
      </c>
      <c r="B350">
        <v>58.06</v>
      </c>
      <c r="C350">
        <v>58.08</v>
      </c>
      <c r="D350">
        <v>57.78</v>
      </c>
      <c r="E350">
        <v>58.06</v>
      </c>
      <c r="F350">
        <v>19473499</v>
      </c>
      <c r="H350">
        <f t="shared" si="5"/>
        <v>1.723841144002275E-3</v>
      </c>
    </row>
    <row r="351" spans="1:8" x14ac:dyDescent="0.25">
      <c r="A351" t="s">
        <v>270</v>
      </c>
      <c r="B351">
        <v>57.65</v>
      </c>
      <c r="C351">
        <v>58.21</v>
      </c>
      <c r="D351">
        <v>57.45</v>
      </c>
      <c r="E351">
        <v>57.96</v>
      </c>
      <c r="F351">
        <v>29335221</v>
      </c>
      <c r="H351">
        <f t="shared" si="5"/>
        <v>9.8830453322105143E-3</v>
      </c>
    </row>
    <row r="352" spans="1:8" x14ac:dyDescent="0.25">
      <c r="A352" t="s">
        <v>271</v>
      </c>
      <c r="B352">
        <v>56.8</v>
      </c>
      <c r="C352">
        <v>57.52</v>
      </c>
      <c r="D352">
        <v>56.67</v>
      </c>
      <c r="E352">
        <v>57.39</v>
      </c>
      <c r="F352">
        <v>26587749</v>
      </c>
      <c r="H352">
        <f t="shared" si="5"/>
        <v>7.3452586279669496E-3</v>
      </c>
    </row>
    <row r="353" spans="1:8" x14ac:dyDescent="0.25">
      <c r="A353" t="s">
        <v>272</v>
      </c>
      <c r="B353">
        <v>56.68</v>
      </c>
      <c r="C353">
        <v>57.11</v>
      </c>
      <c r="D353">
        <v>56.49</v>
      </c>
      <c r="E353">
        <v>56.97</v>
      </c>
      <c r="F353">
        <v>22075616</v>
      </c>
      <c r="H353">
        <f t="shared" si="5"/>
        <v>6.8692476188830136E-3</v>
      </c>
    </row>
    <row r="354" spans="1:8" x14ac:dyDescent="0.25">
      <c r="A354" t="s">
        <v>273</v>
      </c>
      <c r="B354">
        <v>56.85</v>
      </c>
      <c r="C354">
        <v>56.9</v>
      </c>
      <c r="D354">
        <v>56.31</v>
      </c>
      <c r="E354">
        <v>56.58</v>
      </c>
      <c r="F354">
        <v>35121958</v>
      </c>
      <c r="H354">
        <f t="shared" si="5"/>
        <v>0</v>
      </c>
    </row>
    <row r="355" spans="1:8" x14ac:dyDescent="0.25">
      <c r="A355" t="s">
        <v>274</v>
      </c>
      <c r="B355">
        <v>56.6</v>
      </c>
      <c r="C355">
        <v>56.75</v>
      </c>
      <c r="D355">
        <v>56.14</v>
      </c>
      <c r="E355">
        <v>56.58</v>
      </c>
      <c r="F355">
        <v>26003419</v>
      </c>
      <c r="H355">
        <f t="shared" si="5"/>
        <v>-1.7658489490585321E-3</v>
      </c>
    </row>
    <row r="356" spans="1:8" x14ac:dyDescent="0.25">
      <c r="A356" t="s">
        <v>275</v>
      </c>
      <c r="B356">
        <v>56.26</v>
      </c>
      <c r="C356">
        <v>56.76</v>
      </c>
      <c r="D356">
        <v>56.05</v>
      </c>
      <c r="E356">
        <v>56.68</v>
      </c>
      <c r="F356">
        <v>30558718</v>
      </c>
      <c r="H356">
        <f t="shared" si="5"/>
        <v>8.3267378084961423E-3</v>
      </c>
    </row>
    <row r="357" spans="1:8" x14ac:dyDescent="0.25">
      <c r="A357" t="s">
        <v>276</v>
      </c>
      <c r="B357">
        <v>56</v>
      </c>
      <c r="C357">
        <v>56.37</v>
      </c>
      <c r="D357">
        <v>55.72</v>
      </c>
      <c r="E357">
        <v>56.21</v>
      </c>
      <c r="F357">
        <v>37550411</v>
      </c>
      <c r="H357">
        <f t="shared" si="5"/>
        <v>3.5587188987693517E-4</v>
      </c>
    </row>
    <row r="358" spans="1:8" x14ac:dyDescent="0.25">
      <c r="A358" t="s">
        <v>277</v>
      </c>
      <c r="B358">
        <v>56.61</v>
      </c>
      <c r="C358">
        <v>56.8</v>
      </c>
      <c r="D358">
        <v>56.11</v>
      </c>
      <c r="E358">
        <v>56.19</v>
      </c>
      <c r="F358">
        <v>32327477</v>
      </c>
      <c r="H358">
        <f t="shared" si="5"/>
        <v>-1.0093047167735132E-2</v>
      </c>
    </row>
    <row r="359" spans="1:8" x14ac:dyDescent="0.25">
      <c r="A359" t="s">
        <v>278</v>
      </c>
      <c r="B359">
        <v>56.52</v>
      </c>
      <c r="C359">
        <v>57.29</v>
      </c>
      <c r="D359">
        <v>56.51</v>
      </c>
      <c r="E359">
        <v>56.76</v>
      </c>
      <c r="F359">
        <v>28078995</v>
      </c>
      <c r="H359">
        <f t="shared" si="5"/>
        <v>5.2868095336615676E-4</v>
      </c>
    </row>
    <row r="360" spans="1:8" x14ac:dyDescent="0.25">
      <c r="A360" t="s">
        <v>279</v>
      </c>
      <c r="B360">
        <v>56.47</v>
      </c>
      <c r="C360">
        <v>56.74</v>
      </c>
      <c r="D360">
        <v>56.26</v>
      </c>
      <c r="E360">
        <v>56.73</v>
      </c>
      <c r="F360">
        <v>25610587</v>
      </c>
      <c r="H360">
        <f t="shared" si="5"/>
        <v>2.8243619834113494E-3</v>
      </c>
    </row>
    <row r="361" spans="1:8" x14ac:dyDescent="0.25">
      <c r="A361" t="s">
        <v>280</v>
      </c>
      <c r="B361">
        <v>56.08</v>
      </c>
      <c r="C361">
        <v>56.63</v>
      </c>
      <c r="D361">
        <v>55.78</v>
      </c>
      <c r="E361">
        <v>56.57</v>
      </c>
      <c r="F361">
        <v>32157167</v>
      </c>
      <c r="H361">
        <f t="shared" si="5"/>
        <v>1.3704939967799036E-2</v>
      </c>
    </row>
    <row r="362" spans="1:8" x14ac:dyDescent="0.25">
      <c r="A362" t="s">
        <v>281</v>
      </c>
      <c r="B362">
        <v>55.98</v>
      </c>
      <c r="C362">
        <v>56.23</v>
      </c>
      <c r="D362">
        <v>55.76</v>
      </c>
      <c r="E362">
        <v>55.8</v>
      </c>
      <c r="F362">
        <v>32776653</v>
      </c>
      <c r="H362">
        <f t="shared" si="5"/>
        <v>-1.9693856512886217E-3</v>
      </c>
    </row>
    <row r="363" spans="1:8" x14ac:dyDescent="0.25">
      <c r="A363" t="s">
        <v>282</v>
      </c>
      <c r="B363">
        <v>56.15</v>
      </c>
      <c r="C363">
        <v>56.84</v>
      </c>
      <c r="D363">
        <v>55.53</v>
      </c>
      <c r="E363">
        <v>55.91</v>
      </c>
      <c r="F363">
        <v>89893301</v>
      </c>
      <c r="H363">
        <f t="shared" si="5"/>
        <v>5.1754668442973641E-2</v>
      </c>
    </row>
    <row r="364" spans="1:8" x14ac:dyDescent="0.25">
      <c r="A364" t="s">
        <v>283</v>
      </c>
      <c r="B364">
        <v>53.71</v>
      </c>
      <c r="C364">
        <v>53.9</v>
      </c>
      <c r="D364">
        <v>52.93</v>
      </c>
      <c r="E364">
        <v>53.09</v>
      </c>
      <c r="F364">
        <v>53336533</v>
      </c>
      <c r="H364">
        <f t="shared" si="5"/>
        <v>-1.6254444743974975E-2</v>
      </c>
    </row>
    <row r="365" spans="1:8" x14ac:dyDescent="0.25">
      <c r="A365" t="s">
        <v>284</v>
      </c>
      <c r="B365">
        <v>53.7</v>
      </c>
      <c r="C365">
        <v>54.34</v>
      </c>
      <c r="D365">
        <v>53.55</v>
      </c>
      <c r="E365">
        <v>53.96</v>
      </c>
      <c r="F365">
        <v>31433864</v>
      </c>
      <c r="H365">
        <f t="shared" si="5"/>
        <v>4.8300298247360681E-3</v>
      </c>
    </row>
    <row r="366" spans="1:8" x14ac:dyDescent="0.25">
      <c r="A366" t="s">
        <v>285</v>
      </c>
      <c r="B366">
        <v>53.95</v>
      </c>
      <c r="C366">
        <v>54</v>
      </c>
      <c r="D366">
        <v>53.21</v>
      </c>
      <c r="E366">
        <v>53.7</v>
      </c>
      <c r="F366">
        <v>32024385</v>
      </c>
      <c r="H366">
        <f t="shared" si="5"/>
        <v>-7.446016725261601E-4</v>
      </c>
    </row>
    <row r="367" spans="1:8" x14ac:dyDescent="0.25">
      <c r="A367" t="s">
        <v>286</v>
      </c>
      <c r="B367">
        <v>53.84</v>
      </c>
      <c r="C367">
        <v>53.99</v>
      </c>
      <c r="D367">
        <v>53.58</v>
      </c>
      <c r="E367">
        <v>53.74</v>
      </c>
      <c r="F367">
        <v>24545520</v>
      </c>
      <c r="H367">
        <f t="shared" si="5"/>
        <v>4.2890508641319188E-3</v>
      </c>
    </row>
    <row r="368" spans="1:8" x14ac:dyDescent="0.25">
      <c r="A368" t="s">
        <v>287</v>
      </c>
      <c r="B368">
        <v>53.56</v>
      </c>
      <c r="C368">
        <v>53.86</v>
      </c>
      <c r="D368">
        <v>53.18</v>
      </c>
      <c r="E368">
        <v>53.51</v>
      </c>
      <c r="F368">
        <v>25356841</v>
      </c>
      <c r="H368">
        <f t="shared" si="5"/>
        <v>5.6222037149353211E-3</v>
      </c>
    </row>
    <row r="369" spans="1:8" x14ac:dyDescent="0.25">
      <c r="A369" t="s">
        <v>288</v>
      </c>
      <c r="B369">
        <v>52.94</v>
      </c>
      <c r="C369">
        <v>53.4</v>
      </c>
      <c r="D369">
        <v>52.78</v>
      </c>
      <c r="E369">
        <v>53.21</v>
      </c>
      <c r="F369">
        <v>27317555</v>
      </c>
      <c r="H369">
        <f t="shared" si="5"/>
        <v>1.1720361007025028E-2</v>
      </c>
    </row>
    <row r="370" spans="1:8" x14ac:dyDescent="0.25">
      <c r="A370" t="s">
        <v>289</v>
      </c>
      <c r="B370">
        <v>52.5</v>
      </c>
      <c r="C370">
        <v>52.83</v>
      </c>
      <c r="D370">
        <v>52.47</v>
      </c>
      <c r="E370">
        <v>52.59</v>
      </c>
      <c r="F370">
        <v>22269203</v>
      </c>
      <c r="H370">
        <f t="shared" si="5"/>
        <v>5.5296165303758207E-3</v>
      </c>
    </row>
    <row r="371" spans="1:8" x14ac:dyDescent="0.25">
      <c r="A371" t="s">
        <v>290</v>
      </c>
      <c r="B371">
        <v>51.73</v>
      </c>
      <c r="C371">
        <v>52.36</v>
      </c>
      <c r="D371">
        <v>51.55</v>
      </c>
      <c r="E371">
        <v>52.3</v>
      </c>
      <c r="F371">
        <v>28391026</v>
      </c>
      <c r="H371">
        <f t="shared" si="5"/>
        <v>1.7747379389139586E-2</v>
      </c>
    </row>
    <row r="372" spans="1:8" x14ac:dyDescent="0.25">
      <c r="A372" t="s">
        <v>291</v>
      </c>
      <c r="B372">
        <v>51.42</v>
      </c>
      <c r="C372">
        <v>51.61</v>
      </c>
      <c r="D372">
        <v>51.07</v>
      </c>
      <c r="E372">
        <v>51.38</v>
      </c>
      <c r="F372">
        <v>19585194</v>
      </c>
      <c r="H372">
        <f t="shared" si="5"/>
        <v>0</v>
      </c>
    </row>
    <row r="373" spans="1:8" x14ac:dyDescent="0.25">
      <c r="A373" t="s">
        <v>292</v>
      </c>
      <c r="B373">
        <v>50.78</v>
      </c>
      <c r="C373">
        <v>51.54</v>
      </c>
      <c r="D373">
        <v>50.39</v>
      </c>
      <c r="E373">
        <v>51.38</v>
      </c>
      <c r="F373">
        <v>28167461</v>
      </c>
      <c r="H373">
        <f t="shared" si="5"/>
        <v>4.0955688647372019E-3</v>
      </c>
    </row>
    <row r="374" spans="1:8" x14ac:dyDescent="0.25">
      <c r="A374" t="s">
        <v>293</v>
      </c>
      <c r="B374">
        <v>50.83</v>
      </c>
      <c r="C374">
        <v>51.28</v>
      </c>
      <c r="D374">
        <v>50.74</v>
      </c>
      <c r="E374">
        <v>51.17</v>
      </c>
      <c r="F374">
        <v>24806351</v>
      </c>
      <c r="H374">
        <f t="shared" si="5"/>
        <v>1.9544610635853762E-4</v>
      </c>
    </row>
    <row r="375" spans="1:8" x14ac:dyDescent="0.25">
      <c r="A375" t="s">
        <v>294</v>
      </c>
      <c r="B375">
        <v>51.13</v>
      </c>
      <c r="C375">
        <v>51.72</v>
      </c>
      <c r="D375">
        <v>51.07</v>
      </c>
      <c r="E375">
        <v>51.16</v>
      </c>
      <c r="F375">
        <v>21400392</v>
      </c>
      <c r="H375">
        <f t="shared" si="5"/>
        <v>-1.954461063585535E-4</v>
      </c>
    </row>
    <row r="376" spans="1:8" x14ac:dyDescent="0.25">
      <c r="A376" t="s">
        <v>295</v>
      </c>
      <c r="B376">
        <v>50.72</v>
      </c>
      <c r="C376">
        <v>51.3</v>
      </c>
      <c r="D376">
        <v>50.5</v>
      </c>
      <c r="E376">
        <v>51.17</v>
      </c>
      <c r="F376">
        <v>28527781</v>
      </c>
      <c r="H376">
        <f t="shared" si="5"/>
        <v>1.2388320856952266E-2</v>
      </c>
    </row>
    <row r="377" spans="1:8" x14ac:dyDescent="0.25">
      <c r="A377" t="s">
        <v>296</v>
      </c>
      <c r="B377">
        <v>49.91</v>
      </c>
      <c r="C377">
        <v>50.72</v>
      </c>
      <c r="D377">
        <v>49.8</v>
      </c>
      <c r="E377">
        <v>50.54</v>
      </c>
      <c r="F377">
        <v>31304021</v>
      </c>
      <c r="H377">
        <f t="shared" si="5"/>
        <v>2.2005288810612915E-2</v>
      </c>
    </row>
    <row r="378" spans="1:8" x14ac:dyDescent="0.25">
      <c r="A378" t="s">
        <v>297</v>
      </c>
      <c r="B378">
        <v>48.92</v>
      </c>
      <c r="C378">
        <v>49.47</v>
      </c>
      <c r="D378">
        <v>48.67</v>
      </c>
      <c r="E378">
        <v>49.44</v>
      </c>
      <c r="F378">
        <v>38140658</v>
      </c>
      <c r="H378">
        <f t="shared" si="5"/>
        <v>2.064035673429758E-2</v>
      </c>
    </row>
    <row r="379" spans="1:8" x14ac:dyDescent="0.25">
      <c r="A379" t="s">
        <v>298</v>
      </c>
      <c r="B379">
        <v>49.1</v>
      </c>
      <c r="C379">
        <v>49.15</v>
      </c>
      <c r="D379">
        <v>48.04</v>
      </c>
      <c r="E379">
        <v>48.43</v>
      </c>
      <c r="F379">
        <v>50576699</v>
      </c>
      <c r="H379">
        <f t="shared" si="5"/>
        <v>-2.849775587817539E-2</v>
      </c>
    </row>
    <row r="380" spans="1:8" x14ac:dyDescent="0.25">
      <c r="A380" t="s">
        <v>299</v>
      </c>
      <c r="B380">
        <v>49.81</v>
      </c>
      <c r="C380">
        <v>50.94</v>
      </c>
      <c r="D380">
        <v>49.52</v>
      </c>
      <c r="E380">
        <v>49.83</v>
      </c>
      <c r="F380">
        <v>133502985</v>
      </c>
      <c r="H380">
        <f t="shared" si="5"/>
        <v>-4.0894237545824469E-2</v>
      </c>
    </row>
    <row r="381" spans="1:8" x14ac:dyDescent="0.25">
      <c r="A381" t="s">
        <v>300</v>
      </c>
      <c r="B381">
        <v>51.28</v>
      </c>
      <c r="C381">
        <v>52.06</v>
      </c>
      <c r="D381">
        <v>51.15</v>
      </c>
      <c r="E381">
        <v>51.91</v>
      </c>
      <c r="F381">
        <v>29028833</v>
      </c>
      <c r="H381">
        <f t="shared" si="5"/>
        <v>1.7881914772073106E-2</v>
      </c>
    </row>
    <row r="382" spans="1:8" x14ac:dyDescent="0.25">
      <c r="A382" t="s">
        <v>301</v>
      </c>
      <c r="B382">
        <v>51.08</v>
      </c>
      <c r="C382">
        <v>51.46</v>
      </c>
      <c r="D382">
        <v>50.95</v>
      </c>
      <c r="E382">
        <v>50.99</v>
      </c>
      <c r="F382">
        <v>28816848</v>
      </c>
      <c r="H382">
        <f t="shared" si="5"/>
        <v>-3.914665402427393E-3</v>
      </c>
    </row>
    <row r="383" spans="1:8" x14ac:dyDescent="0.25">
      <c r="A383" t="s">
        <v>302</v>
      </c>
      <c r="B383">
        <v>50.2</v>
      </c>
      <c r="C383">
        <v>51.43</v>
      </c>
      <c r="D383">
        <v>50.16</v>
      </c>
      <c r="E383">
        <v>51.19</v>
      </c>
      <c r="F383">
        <v>34097825</v>
      </c>
      <c r="H383">
        <f t="shared" si="5"/>
        <v>2.2122174127638405E-2</v>
      </c>
    </row>
    <row r="384" spans="1:8" x14ac:dyDescent="0.25">
      <c r="A384" t="s">
        <v>303</v>
      </c>
      <c r="B384">
        <v>50.64</v>
      </c>
      <c r="C384">
        <v>50.83</v>
      </c>
      <c r="D384">
        <v>50.03</v>
      </c>
      <c r="E384">
        <v>50.07</v>
      </c>
      <c r="F384">
        <v>35607946</v>
      </c>
      <c r="H384">
        <f t="shared" si="5"/>
        <v>-1.1976049335586637E-3</v>
      </c>
    </row>
    <row r="385" spans="1:8" x14ac:dyDescent="0.25">
      <c r="A385" t="s">
        <v>304</v>
      </c>
      <c r="B385">
        <v>50.41</v>
      </c>
      <c r="C385">
        <v>50.43</v>
      </c>
      <c r="D385">
        <v>49.82</v>
      </c>
      <c r="E385">
        <v>50.13</v>
      </c>
      <c r="F385">
        <v>45710516</v>
      </c>
      <c r="H385">
        <f t="shared" si="5"/>
        <v>-5.1731114170946958E-3</v>
      </c>
    </row>
    <row r="386" spans="1:8" x14ac:dyDescent="0.25">
      <c r="A386" t="s">
        <v>305</v>
      </c>
      <c r="B386">
        <v>49.52</v>
      </c>
      <c r="C386">
        <v>50.47</v>
      </c>
      <c r="D386">
        <v>49.51</v>
      </c>
      <c r="E386">
        <v>50.39</v>
      </c>
      <c r="F386">
        <v>31188605</v>
      </c>
      <c r="H386">
        <f t="shared" si="5"/>
        <v>1.3989037078277675E-2</v>
      </c>
    </row>
    <row r="387" spans="1:8" x14ac:dyDescent="0.25">
      <c r="A387" t="s">
        <v>306</v>
      </c>
      <c r="B387">
        <v>49.78</v>
      </c>
      <c r="C387">
        <v>50.12</v>
      </c>
      <c r="D387">
        <v>49.69</v>
      </c>
      <c r="E387">
        <v>49.69</v>
      </c>
      <c r="F387">
        <v>33757639</v>
      </c>
      <c r="H387">
        <f t="shared" ref="H387:H450" si="6">IFERROR(LN(E387/E388),"")</f>
        <v>-2.8135066790839613E-3</v>
      </c>
    </row>
    <row r="388" spans="1:8" x14ac:dyDescent="0.25">
      <c r="A388" t="s">
        <v>307</v>
      </c>
      <c r="B388">
        <v>49.9</v>
      </c>
      <c r="C388">
        <v>50.1</v>
      </c>
      <c r="D388">
        <v>49.57</v>
      </c>
      <c r="E388">
        <v>49.83</v>
      </c>
      <c r="F388">
        <v>42577106</v>
      </c>
      <c r="H388">
        <f t="shared" si="6"/>
        <v>-6.2018804368341668E-3</v>
      </c>
    </row>
    <row r="389" spans="1:8" x14ac:dyDescent="0.25">
      <c r="A389" t="s">
        <v>308</v>
      </c>
      <c r="B389">
        <v>49.58</v>
      </c>
      <c r="C389">
        <v>50.72</v>
      </c>
      <c r="D389">
        <v>49.06</v>
      </c>
      <c r="E389">
        <v>50.14</v>
      </c>
      <c r="F389">
        <v>83217844</v>
      </c>
      <c r="H389">
        <f t="shared" si="6"/>
        <v>-2.6374289997778456E-2</v>
      </c>
    </row>
    <row r="390" spans="1:8" x14ac:dyDescent="0.25">
      <c r="A390" t="s">
        <v>309</v>
      </c>
      <c r="B390">
        <v>51.05</v>
      </c>
      <c r="C390">
        <v>52.05</v>
      </c>
      <c r="D390">
        <v>51.04</v>
      </c>
      <c r="E390">
        <v>51.48</v>
      </c>
      <c r="F390">
        <v>25833151</v>
      </c>
      <c r="H390">
        <f t="shared" si="6"/>
        <v>-2.7158115625419573E-3</v>
      </c>
    </row>
    <row r="391" spans="1:8" x14ac:dyDescent="0.25">
      <c r="A391" t="s">
        <v>310</v>
      </c>
      <c r="B391">
        <v>52</v>
      </c>
      <c r="C391">
        <v>52</v>
      </c>
      <c r="D391">
        <v>51.49</v>
      </c>
      <c r="E391">
        <v>51.62</v>
      </c>
      <c r="F391">
        <v>20305664</v>
      </c>
      <c r="H391">
        <f t="shared" si="6"/>
        <v>-8.103459353836745E-3</v>
      </c>
    </row>
    <row r="392" spans="1:8" x14ac:dyDescent="0.25">
      <c r="A392" t="s">
        <v>311</v>
      </c>
      <c r="B392">
        <v>52.02</v>
      </c>
      <c r="C392">
        <v>52.44</v>
      </c>
      <c r="D392">
        <v>51.87</v>
      </c>
      <c r="E392">
        <v>52.04</v>
      </c>
      <c r="F392">
        <v>21149438</v>
      </c>
      <c r="H392">
        <f t="shared" si="6"/>
        <v>-1.1522951150167184E-3</v>
      </c>
    </row>
    <row r="393" spans="1:8" x14ac:dyDescent="0.25">
      <c r="A393" t="s">
        <v>312</v>
      </c>
      <c r="B393">
        <v>52.24</v>
      </c>
      <c r="C393">
        <v>52.73</v>
      </c>
      <c r="D393">
        <v>52.1</v>
      </c>
      <c r="E393">
        <v>52.1</v>
      </c>
      <c r="F393">
        <v>20866770</v>
      </c>
      <c r="H393">
        <f t="shared" si="6"/>
        <v>-5.7565002069333521E-4</v>
      </c>
    </row>
    <row r="394" spans="1:8" x14ac:dyDescent="0.25">
      <c r="A394" t="s">
        <v>313</v>
      </c>
      <c r="B394">
        <v>51.99</v>
      </c>
      <c r="C394">
        <v>52.35</v>
      </c>
      <c r="D394">
        <v>51.89</v>
      </c>
      <c r="E394">
        <v>52.13</v>
      </c>
      <c r="F394">
        <v>18243271</v>
      </c>
      <c r="H394">
        <f t="shared" si="6"/>
        <v>6.5435183442146098E-3</v>
      </c>
    </row>
    <row r="395" spans="1:8" x14ac:dyDescent="0.25">
      <c r="A395" t="s">
        <v>314</v>
      </c>
      <c r="B395">
        <v>52.38</v>
      </c>
      <c r="C395">
        <v>52.42</v>
      </c>
      <c r="D395">
        <v>51.6</v>
      </c>
      <c r="E395">
        <v>51.79</v>
      </c>
      <c r="F395">
        <v>23368291</v>
      </c>
      <c r="H395">
        <f t="shared" si="6"/>
        <v>-1.3235064200033429E-2</v>
      </c>
    </row>
    <row r="396" spans="1:8" x14ac:dyDescent="0.25">
      <c r="A396" t="s">
        <v>315</v>
      </c>
      <c r="B396">
        <v>52.64</v>
      </c>
      <c r="C396">
        <v>52.74</v>
      </c>
      <c r="D396">
        <v>51.84</v>
      </c>
      <c r="E396">
        <v>52.48</v>
      </c>
      <c r="F396">
        <v>22840779</v>
      </c>
      <c r="H396">
        <f t="shared" si="6"/>
        <v>-7.0255676804131511E-3</v>
      </c>
    </row>
    <row r="397" spans="1:8" x14ac:dyDescent="0.25">
      <c r="A397" t="s">
        <v>316</v>
      </c>
      <c r="B397">
        <v>52.44</v>
      </c>
      <c r="C397">
        <v>52.95</v>
      </c>
      <c r="D397">
        <v>52.44</v>
      </c>
      <c r="E397">
        <v>52.85</v>
      </c>
      <c r="F397">
        <v>25324828</v>
      </c>
      <c r="H397">
        <f t="shared" si="6"/>
        <v>-2.8342012358751373E-3</v>
      </c>
    </row>
    <row r="398" spans="1:8" x14ac:dyDescent="0.25">
      <c r="A398" t="s">
        <v>317</v>
      </c>
      <c r="B398">
        <v>52.26</v>
      </c>
      <c r="C398">
        <v>53</v>
      </c>
      <c r="D398">
        <v>52.08</v>
      </c>
      <c r="E398">
        <v>53</v>
      </c>
      <c r="F398">
        <v>37653081</v>
      </c>
      <c r="H398">
        <f t="shared" si="6"/>
        <v>1.2913206403178624E-2</v>
      </c>
    </row>
    <row r="399" spans="1:8" x14ac:dyDescent="0.25">
      <c r="A399" t="s">
        <v>318</v>
      </c>
      <c r="B399">
        <v>51.92</v>
      </c>
      <c r="C399">
        <v>52.32</v>
      </c>
      <c r="D399">
        <v>51.77</v>
      </c>
      <c r="E399">
        <v>52.32</v>
      </c>
      <c r="F399">
        <v>17653660</v>
      </c>
      <c r="H399">
        <f t="shared" si="6"/>
        <v>8.2526137692949982E-3</v>
      </c>
    </row>
    <row r="400" spans="1:8" x14ac:dyDescent="0.25">
      <c r="A400" t="s">
        <v>319</v>
      </c>
      <c r="B400">
        <v>51.93</v>
      </c>
      <c r="C400">
        <v>51.98</v>
      </c>
      <c r="D400">
        <v>51.36</v>
      </c>
      <c r="E400">
        <v>51.89</v>
      </c>
      <c r="F400">
        <v>24182929</v>
      </c>
      <c r="H400">
        <f t="shared" si="6"/>
        <v>-4.4226588769960299E-3</v>
      </c>
    </row>
    <row r="401" spans="1:8" x14ac:dyDescent="0.25">
      <c r="A401" t="s">
        <v>320</v>
      </c>
      <c r="B401">
        <v>51.92</v>
      </c>
      <c r="C401">
        <v>52.49</v>
      </c>
      <c r="D401">
        <v>51.79</v>
      </c>
      <c r="E401">
        <v>52.12</v>
      </c>
      <c r="F401">
        <v>24040186</v>
      </c>
      <c r="H401">
        <f t="shared" si="6"/>
        <v>1.0220897000085735E-2</v>
      </c>
    </row>
    <row r="402" spans="1:8" x14ac:dyDescent="0.25">
      <c r="A402" t="s">
        <v>321</v>
      </c>
      <c r="B402">
        <v>50.7</v>
      </c>
      <c r="C402">
        <v>51.71</v>
      </c>
      <c r="D402">
        <v>50.4</v>
      </c>
      <c r="E402">
        <v>51.59</v>
      </c>
      <c r="F402">
        <v>34621638</v>
      </c>
      <c r="H402">
        <f t="shared" si="6"/>
        <v>3.070502975644494E-2</v>
      </c>
    </row>
    <row r="403" spans="1:8" x14ac:dyDescent="0.25">
      <c r="A403" t="s">
        <v>322</v>
      </c>
      <c r="B403">
        <v>50.6</v>
      </c>
      <c r="C403">
        <v>50.68</v>
      </c>
      <c r="D403">
        <v>49.98</v>
      </c>
      <c r="E403">
        <v>50.03</v>
      </c>
      <c r="F403">
        <v>25999674</v>
      </c>
      <c r="H403">
        <f t="shared" si="6"/>
        <v>-1.1723929616864215E-2</v>
      </c>
    </row>
    <row r="404" spans="1:8" x14ac:dyDescent="0.25">
      <c r="A404" t="s">
        <v>323</v>
      </c>
      <c r="B404">
        <v>50.48</v>
      </c>
      <c r="C404">
        <v>51.22</v>
      </c>
      <c r="D404">
        <v>50.4</v>
      </c>
      <c r="E404">
        <v>50.62</v>
      </c>
      <c r="F404">
        <v>23692434</v>
      </c>
      <c r="H404">
        <f t="shared" si="6"/>
        <v>5.9441427247928945E-3</v>
      </c>
    </row>
    <row r="405" spans="1:8" x14ac:dyDescent="0.25">
      <c r="A405" t="s">
        <v>324</v>
      </c>
      <c r="B405">
        <v>50.47</v>
      </c>
      <c r="C405">
        <v>50.62</v>
      </c>
      <c r="D405">
        <v>49.82</v>
      </c>
      <c r="E405">
        <v>50.32</v>
      </c>
      <c r="F405">
        <v>23722753</v>
      </c>
      <c r="H405">
        <f t="shared" si="6"/>
        <v>-9.6905732134555216E-3</v>
      </c>
    </row>
    <row r="406" spans="1:8" x14ac:dyDescent="0.25">
      <c r="A406" t="s">
        <v>325</v>
      </c>
      <c r="B406">
        <v>50.48</v>
      </c>
      <c r="C406">
        <v>51.14</v>
      </c>
      <c r="D406">
        <v>50.3</v>
      </c>
      <c r="E406">
        <v>50.81</v>
      </c>
      <c r="F406">
        <v>24803172</v>
      </c>
      <c r="H406">
        <f t="shared" si="6"/>
        <v>5.9218491256793722E-3</v>
      </c>
    </row>
    <row r="407" spans="1:8" x14ac:dyDescent="0.25">
      <c r="A407" t="s">
        <v>326</v>
      </c>
      <c r="B407">
        <v>51.72</v>
      </c>
      <c r="C407">
        <v>51.73</v>
      </c>
      <c r="D407">
        <v>50.36</v>
      </c>
      <c r="E407">
        <v>50.51</v>
      </c>
      <c r="F407">
        <v>27766669</v>
      </c>
      <c r="H407">
        <f t="shared" si="6"/>
        <v>-2.5797795721654009E-2</v>
      </c>
    </row>
    <row r="408" spans="1:8" x14ac:dyDescent="0.25">
      <c r="A408" t="s">
        <v>327</v>
      </c>
      <c r="B408">
        <v>50.8</v>
      </c>
      <c r="C408">
        <v>51.96</v>
      </c>
      <c r="D408">
        <v>50.75</v>
      </c>
      <c r="E408">
        <v>51.83</v>
      </c>
      <c r="F408">
        <v>19944632</v>
      </c>
      <c r="H408">
        <f t="shared" si="6"/>
        <v>1.4576101037276532E-2</v>
      </c>
    </row>
    <row r="409" spans="1:8" x14ac:dyDescent="0.25">
      <c r="A409" t="s">
        <v>328</v>
      </c>
      <c r="B409">
        <v>51.44</v>
      </c>
      <c r="C409">
        <v>51.9</v>
      </c>
      <c r="D409">
        <v>51.04</v>
      </c>
      <c r="E409">
        <v>51.08</v>
      </c>
      <c r="F409">
        <v>22436700</v>
      </c>
      <c r="H409">
        <f t="shared" si="6"/>
        <v>-8.3829324131552887E-3</v>
      </c>
    </row>
    <row r="410" spans="1:8" x14ac:dyDescent="0.25">
      <c r="A410" t="s">
        <v>329</v>
      </c>
      <c r="B410">
        <v>51.2</v>
      </c>
      <c r="C410">
        <v>51.81</v>
      </c>
      <c r="D410">
        <v>50.92</v>
      </c>
      <c r="E410">
        <v>51.51</v>
      </c>
      <c r="F410">
        <v>24099431</v>
      </c>
      <c r="H410">
        <f t="shared" si="6"/>
        <v>8.9704189668193893E-3</v>
      </c>
    </row>
    <row r="411" spans="1:8" x14ac:dyDescent="0.25">
      <c r="A411" t="s">
        <v>330</v>
      </c>
      <c r="B411">
        <v>51.13</v>
      </c>
      <c r="C411">
        <v>51.78</v>
      </c>
      <c r="D411">
        <v>51</v>
      </c>
      <c r="E411">
        <v>51.05</v>
      </c>
      <c r="F411">
        <v>23910684</v>
      </c>
      <c r="H411">
        <f t="shared" si="6"/>
        <v>5.8783189700900844E-4</v>
      </c>
    </row>
    <row r="412" spans="1:8" x14ac:dyDescent="0.25">
      <c r="A412" t="s">
        <v>331</v>
      </c>
      <c r="B412">
        <v>50.33</v>
      </c>
      <c r="C412">
        <v>51.1</v>
      </c>
      <c r="D412">
        <v>50.19</v>
      </c>
      <c r="E412">
        <v>51.02</v>
      </c>
      <c r="F412">
        <v>22741527</v>
      </c>
      <c r="H412">
        <f t="shared" si="6"/>
        <v>1.879568637181192E-2</v>
      </c>
    </row>
    <row r="413" spans="1:8" x14ac:dyDescent="0.25">
      <c r="A413" t="s">
        <v>332</v>
      </c>
      <c r="B413">
        <v>50.49</v>
      </c>
      <c r="C413">
        <v>50.58</v>
      </c>
      <c r="D413">
        <v>50</v>
      </c>
      <c r="E413">
        <v>50.07</v>
      </c>
      <c r="F413">
        <v>17844648</v>
      </c>
      <c r="H413">
        <f t="shared" si="6"/>
        <v>-6.3707163506533E-3</v>
      </c>
    </row>
    <row r="414" spans="1:8" x14ac:dyDescent="0.25">
      <c r="A414" t="s">
        <v>333</v>
      </c>
      <c r="B414">
        <v>49.92</v>
      </c>
      <c r="C414">
        <v>50.39</v>
      </c>
      <c r="D414">
        <v>49.66</v>
      </c>
      <c r="E414">
        <v>50.39</v>
      </c>
      <c r="F414">
        <v>24715575</v>
      </c>
      <c r="H414">
        <f t="shared" si="6"/>
        <v>8.9704578408797021E-3</v>
      </c>
    </row>
    <row r="415" spans="1:8" x14ac:dyDescent="0.25">
      <c r="A415" t="s">
        <v>334</v>
      </c>
      <c r="B415">
        <v>49.87</v>
      </c>
      <c r="C415">
        <v>50.3</v>
      </c>
      <c r="D415">
        <v>49.73</v>
      </c>
      <c r="E415">
        <v>49.94</v>
      </c>
      <c r="F415">
        <v>25309543</v>
      </c>
      <c r="H415">
        <f t="shared" si="6"/>
        <v>1.4026652935958839E-3</v>
      </c>
    </row>
    <row r="416" spans="1:8" x14ac:dyDescent="0.25">
      <c r="A416" t="s">
        <v>335</v>
      </c>
      <c r="B416">
        <v>49.84</v>
      </c>
      <c r="C416">
        <v>50.06</v>
      </c>
      <c r="D416">
        <v>49.46</v>
      </c>
      <c r="E416">
        <v>49.87</v>
      </c>
      <c r="F416">
        <v>24171449</v>
      </c>
      <c r="H416">
        <f t="shared" si="6"/>
        <v>1.8063226185850922E-3</v>
      </c>
    </row>
    <row r="417" spans="1:8" x14ac:dyDescent="0.25">
      <c r="A417" t="s">
        <v>336</v>
      </c>
      <c r="B417">
        <v>50.34</v>
      </c>
      <c r="C417">
        <v>50.41</v>
      </c>
      <c r="D417">
        <v>49.6</v>
      </c>
      <c r="E417">
        <v>49.78</v>
      </c>
      <c r="F417">
        <v>26196074</v>
      </c>
      <c r="H417">
        <f t="shared" si="6"/>
        <v>-1.653588828654062E-2</v>
      </c>
    </row>
    <row r="418" spans="1:8" x14ac:dyDescent="0.25">
      <c r="A418" t="s">
        <v>337</v>
      </c>
      <c r="B418">
        <v>50</v>
      </c>
      <c r="C418">
        <v>50.75</v>
      </c>
      <c r="D418">
        <v>49.78</v>
      </c>
      <c r="E418">
        <v>50.61</v>
      </c>
      <c r="F418">
        <v>33004106</v>
      </c>
      <c r="H418">
        <f t="shared" si="6"/>
        <v>1.4729565667955476E-2</v>
      </c>
    </row>
    <row r="419" spans="1:8" x14ac:dyDescent="0.25">
      <c r="A419" s="22">
        <v>42489</v>
      </c>
      <c r="B419">
        <v>49.35</v>
      </c>
      <c r="C419">
        <v>50.25</v>
      </c>
      <c r="D419">
        <v>49.35</v>
      </c>
      <c r="E419">
        <v>49.87</v>
      </c>
      <c r="F419">
        <v>48339735</v>
      </c>
      <c r="H419">
        <f t="shared" si="6"/>
        <v>-6.0138319944183754E-4</v>
      </c>
    </row>
    <row r="420" spans="1:8" x14ac:dyDescent="0.25">
      <c r="A420" s="22">
        <v>42488</v>
      </c>
      <c r="B420">
        <v>50.62</v>
      </c>
      <c r="C420">
        <v>50.77</v>
      </c>
      <c r="D420">
        <v>49.56</v>
      </c>
      <c r="E420">
        <v>49.9</v>
      </c>
      <c r="F420">
        <v>42758226</v>
      </c>
      <c r="H420">
        <f t="shared" si="6"/>
        <v>-2.0627466793837927E-2</v>
      </c>
    </row>
    <row r="421" spans="1:8" x14ac:dyDescent="0.25">
      <c r="A421" s="22">
        <v>42487</v>
      </c>
      <c r="B421">
        <v>51.48</v>
      </c>
      <c r="C421">
        <v>51.5</v>
      </c>
      <c r="D421">
        <v>50.55</v>
      </c>
      <c r="E421">
        <v>50.94</v>
      </c>
      <c r="F421">
        <v>43145896</v>
      </c>
      <c r="H421">
        <f t="shared" si="6"/>
        <v>-9.7676103780530259E-3</v>
      </c>
    </row>
    <row r="422" spans="1:8" x14ac:dyDescent="0.25">
      <c r="A422" s="22">
        <v>42486</v>
      </c>
      <c r="B422">
        <v>52.26</v>
      </c>
      <c r="C422">
        <v>52.35</v>
      </c>
      <c r="D422">
        <v>51.09</v>
      </c>
      <c r="E422">
        <v>51.44</v>
      </c>
      <c r="F422">
        <v>33262278</v>
      </c>
      <c r="H422">
        <f t="shared" si="6"/>
        <v>-1.2940788991759353E-2</v>
      </c>
    </row>
    <row r="423" spans="1:8" x14ac:dyDescent="0.25">
      <c r="A423" s="22">
        <v>42485</v>
      </c>
      <c r="B423">
        <v>51.78</v>
      </c>
      <c r="C423">
        <v>52.13</v>
      </c>
      <c r="D423">
        <v>51.63</v>
      </c>
      <c r="E423">
        <v>52.11</v>
      </c>
      <c r="F423">
        <v>33106540</v>
      </c>
      <c r="H423">
        <f t="shared" si="6"/>
        <v>6.3528945977316311E-3</v>
      </c>
    </row>
    <row r="424" spans="1:8" x14ac:dyDescent="0.25">
      <c r="A424" s="22">
        <v>42482</v>
      </c>
      <c r="B424">
        <v>51.91</v>
      </c>
      <c r="C424">
        <v>52.43</v>
      </c>
      <c r="D424">
        <v>50.77</v>
      </c>
      <c r="E424">
        <v>51.78</v>
      </c>
      <c r="F424">
        <v>125600219</v>
      </c>
      <c r="H424">
        <f t="shared" si="6"/>
        <v>-7.4411407875951296E-2</v>
      </c>
    </row>
    <row r="425" spans="1:8" x14ac:dyDescent="0.25">
      <c r="A425" s="22">
        <v>42481</v>
      </c>
      <c r="B425">
        <v>55.8</v>
      </c>
      <c r="C425">
        <v>56.23</v>
      </c>
      <c r="D425">
        <v>55.42</v>
      </c>
      <c r="E425">
        <v>55.78</v>
      </c>
      <c r="F425">
        <v>36826521</v>
      </c>
      <c r="H425">
        <f t="shared" si="6"/>
        <v>3.412053233964805E-3</v>
      </c>
    </row>
    <row r="426" spans="1:8" x14ac:dyDescent="0.25">
      <c r="A426" s="22">
        <v>42480</v>
      </c>
      <c r="B426">
        <v>56.29</v>
      </c>
      <c r="C426">
        <v>56.5</v>
      </c>
      <c r="D426">
        <v>55.48</v>
      </c>
      <c r="E426">
        <v>55.59</v>
      </c>
      <c r="F426">
        <v>36014074</v>
      </c>
      <c r="H426">
        <f t="shared" si="6"/>
        <v>-1.4288508853712568E-2</v>
      </c>
    </row>
    <row r="427" spans="1:8" x14ac:dyDescent="0.25">
      <c r="A427" s="22">
        <v>42479</v>
      </c>
      <c r="B427">
        <v>56.63</v>
      </c>
      <c r="C427">
        <v>56.77</v>
      </c>
      <c r="D427">
        <v>55.68</v>
      </c>
      <c r="E427">
        <v>56.39</v>
      </c>
      <c r="F427">
        <v>29533701</v>
      </c>
      <c r="H427">
        <f t="shared" si="6"/>
        <v>-1.2405850062525263E-3</v>
      </c>
    </row>
    <row r="428" spans="1:8" x14ac:dyDescent="0.25">
      <c r="A428" s="22">
        <v>42478</v>
      </c>
      <c r="B428">
        <v>55.49</v>
      </c>
      <c r="C428">
        <v>56.59</v>
      </c>
      <c r="D428">
        <v>55.21</v>
      </c>
      <c r="E428">
        <v>56.46</v>
      </c>
      <c r="F428">
        <v>23150318</v>
      </c>
      <c r="H428">
        <f t="shared" si="6"/>
        <v>1.4450345103789395E-2</v>
      </c>
    </row>
    <row r="429" spans="1:8" x14ac:dyDescent="0.25">
      <c r="A429" s="22">
        <v>42475</v>
      </c>
      <c r="B429">
        <v>55.3</v>
      </c>
      <c r="C429">
        <v>55.92</v>
      </c>
      <c r="D429">
        <v>55.11</v>
      </c>
      <c r="E429">
        <v>55.65</v>
      </c>
      <c r="F429">
        <v>28377584</v>
      </c>
      <c r="H429">
        <f t="shared" si="6"/>
        <v>5.224766412139586E-3</v>
      </c>
    </row>
    <row r="430" spans="1:8" x14ac:dyDescent="0.25">
      <c r="A430" s="22">
        <v>42474</v>
      </c>
      <c r="B430">
        <v>55.22</v>
      </c>
      <c r="C430">
        <v>55.58</v>
      </c>
      <c r="D430">
        <v>55.07</v>
      </c>
      <c r="E430">
        <v>55.36</v>
      </c>
      <c r="F430">
        <v>20875102</v>
      </c>
      <c r="H430">
        <f t="shared" si="6"/>
        <v>1.8065215476824976E-4</v>
      </c>
    </row>
    <row r="431" spans="1:8" x14ac:dyDescent="0.25">
      <c r="A431" s="22">
        <v>42473</v>
      </c>
      <c r="B431">
        <v>55.12</v>
      </c>
      <c r="C431">
        <v>55.44</v>
      </c>
      <c r="D431">
        <v>54.89</v>
      </c>
      <c r="E431">
        <v>55.35</v>
      </c>
      <c r="F431">
        <v>20601278</v>
      </c>
      <c r="H431">
        <f t="shared" si="6"/>
        <v>1.272744453209846E-2</v>
      </c>
    </row>
    <row r="432" spans="1:8" x14ac:dyDescent="0.25">
      <c r="A432" s="22">
        <v>42472</v>
      </c>
      <c r="B432">
        <v>54.37</v>
      </c>
      <c r="C432">
        <v>54.78</v>
      </c>
      <c r="D432">
        <v>53.76</v>
      </c>
      <c r="E432">
        <v>54.65</v>
      </c>
      <c r="F432">
        <v>24574169</v>
      </c>
      <c r="H432">
        <f t="shared" si="6"/>
        <v>6.2408425757935248E-3</v>
      </c>
    </row>
    <row r="433" spans="1:8" x14ac:dyDescent="0.25">
      <c r="A433" s="22">
        <v>42471</v>
      </c>
      <c r="B433">
        <v>54.49</v>
      </c>
      <c r="C433">
        <v>55.15</v>
      </c>
      <c r="D433">
        <v>54.3</v>
      </c>
      <c r="E433">
        <v>54.31</v>
      </c>
      <c r="F433">
        <v>21332336</v>
      </c>
      <c r="H433">
        <f t="shared" si="6"/>
        <v>-2.0233613083462973E-3</v>
      </c>
    </row>
    <row r="434" spans="1:8" x14ac:dyDescent="0.25">
      <c r="A434" s="22">
        <v>42468</v>
      </c>
      <c r="B434">
        <v>54.67</v>
      </c>
      <c r="C434">
        <v>55.28</v>
      </c>
      <c r="D434">
        <v>54.32</v>
      </c>
      <c r="E434">
        <v>54.42</v>
      </c>
      <c r="F434">
        <v>22157037</v>
      </c>
      <c r="H434">
        <f t="shared" si="6"/>
        <v>-7.3475389051329504E-4</v>
      </c>
    </row>
    <row r="435" spans="1:8" x14ac:dyDescent="0.25">
      <c r="A435" s="22">
        <v>42467</v>
      </c>
      <c r="B435">
        <v>54.87</v>
      </c>
      <c r="C435">
        <v>54.91</v>
      </c>
      <c r="D435">
        <v>54.23</v>
      </c>
      <c r="E435">
        <v>54.46</v>
      </c>
      <c r="F435">
        <v>18584125</v>
      </c>
      <c r="H435">
        <f t="shared" si="6"/>
        <v>-1.2046139459789584E-2</v>
      </c>
    </row>
    <row r="436" spans="1:8" x14ac:dyDescent="0.25">
      <c r="A436" s="22">
        <v>42466</v>
      </c>
      <c r="B436">
        <v>54.36</v>
      </c>
      <c r="C436">
        <v>55.2</v>
      </c>
      <c r="D436">
        <v>54.21</v>
      </c>
      <c r="E436">
        <v>55.12</v>
      </c>
      <c r="F436">
        <v>21032057</v>
      </c>
      <c r="H436">
        <f t="shared" si="6"/>
        <v>1.0211613170196462E-2</v>
      </c>
    </row>
    <row r="437" spans="1:8" x14ac:dyDescent="0.25">
      <c r="A437" s="22">
        <v>42465</v>
      </c>
      <c r="B437">
        <v>55.19</v>
      </c>
      <c r="C437">
        <v>55.3</v>
      </c>
      <c r="D437">
        <v>54.46</v>
      </c>
      <c r="E437">
        <v>54.56</v>
      </c>
      <c r="F437">
        <v>19148783</v>
      </c>
      <c r="H437">
        <f t="shared" si="6"/>
        <v>-1.5819949896506636E-2</v>
      </c>
    </row>
    <row r="438" spans="1:8" x14ac:dyDescent="0.25">
      <c r="A438" s="22">
        <v>42464</v>
      </c>
      <c r="B438">
        <v>55.43</v>
      </c>
      <c r="C438">
        <v>55.66</v>
      </c>
      <c r="D438">
        <v>55</v>
      </c>
      <c r="E438">
        <v>55.43</v>
      </c>
      <c r="F438">
        <v>18832210</v>
      </c>
      <c r="H438">
        <f t="shared" si="6"/>
        <v>-2.5225238601165479E-3</v>
      </c>
    </row>
    <row r="439" spans="1:8" x14ac:dyDescent="0.25">
      <c r="A439" s="22">
        <v>42461</v>
      </c>
      <c r="B439">
        <v>55.05</v>
      </c>
      <c r="C439">
        <v>55.61</v>
      </c>
      <c r="D439">
        <v>54.57</v>
      </c>
      <c r="E439">
        <v>55.57</v>
      </c>
      <c r="F439">
        <v>24298612</v>
      </c>
      <c r="H439">
        <f t="shared" si="6"/>
        <v>6.1372033787338723E-3</v>
      </c>
    </row>
    <row r="440" spans="1:8" x14ac:dyDescent="0.25">
      <c r="A440" s="22">
        <v>42460</v>
      </c>
      <c r="B440">
        <v>54.95</v>
      </c>
      <c r="C440">
        <v>55.59</v>
      </c>
      <c r="D440">
        <v>54.86</v>
      </c>
      <c r="E440">
        <v>55.23</v>
      </c>
      <c r="F440">
        <v>26173764</v>
      </c>
      <c r="H440">
        <f t="shared" si="6"/>
        <v>3.2644207444072581E-3</v>
      </c>
    </row>
    <row r="441" spans="1:8" x14ac:dyDescent="0.25">
      <c r="A441" s="22">
        <v>42459</v>
      </c>
      <c r="B441">
        <v>54.93</v>
      </c>
      <c r="C441">
        <v>55.64</v>
      </c>
      <c r="D441">
        <v>54.9</v>
      </c>
      <c r="E441">
        <v>55.05</v>
      </c>
      <c r="F441">
        <v>22920330</v>
      </c>
      <c r="H441">
        <f t="shared" si="6"/>
        <v>6.1953550929544493E-3</v>
      </c>
    </row>
    <row r="442" spans="1:8" x14ac:dyDescent="0.25">
      <c r="A442" s="22">
        <v>42458</v>
      </c>
      <c r="B442">
        <v>53.66</v>
      </c>
      <c r="C442">
        <v>54.86</v>
      </c>
      <c r="D442">
        <v>53.45</v>
      </c>
      <c r="E442">
        <v>54.71</v>
      </c>
      <c r="F442">
        <v>23375017</v>
      </c>
      <c r="H442">
        <f t="shared" si="6"/>
        <v>2.16174699835281E-2</v>
      </c>
    </row>
    <row r="443" spans="1:8" x14ac:dyDescent="0.25">
      <c r="A443" s="22">
        <v>42457</v>
      </c>
      <c r="B443">
        <v>54.21</v>
      </c>
      <c r="C443">
        <v>54.29</v>
      </c>
      <c r="D443">
        <v>53.33</v>
      </c>
      <c r="E443">
        <v>53.54</v>
      </c>
      <c r="F443">
        <v>16988240</v>
      </c>
      <c r="H443">
        <f t="shared" si="6"/>
        <v>-1.2436355180040368E-2</v>
      </c>
    </row>
    <row r="444" spans="1:8" x14ac:dyDescent="0.25">
      <c r="A444" s="22">
        <v>42453</v>
      </c>
      <c r="B444">
        <v>53.84</v>
      </c>
      <c r="C444">
        <v>54.33</v>
      </c>
      <c r="D444">
        <v>53.73</v>
      </c>
      <c r="E444">
        <v>54.21</v>
      </c>
      <c r="F444">
        <v>18842667</v>
      </c>
      <c r="H444">
        <f t="shared" si="6"/>
        <v>4.4370566416953739E-3</v>
      </c>
    </row>
    <row r="445" spans="1:8" x14ac:dyDescent="0.25">
      <c r="A445" s="22">
        <v>42452</v>
      </c>
      <c r="B445">
        <v>54.11</v>
      </c>
      <c r="C445">
        <v>54.24</v>
      </c>
      <c r="D445">
        <v>53.74</v>
      </c>
      <c r="E445">
        <v>53.97</v>
      </c>
      <c r="F445">
        <v>19905295</v>
      </c>
      <c r="H445">
        <f t="shared" si="6"/>
        <v>-1.8511667633620331E-3</v>
      </c>
    </row>
    <row r="446" spans="1:8" x14ac:dyDescent="0.25">
      <c r="A446" s="22">
        <v>42451</v>
      </c>
      <c r="B446">
        <v>53.61</v>
      </c>
      <c r="C446">
        <v>54.25</v>
      </c>
      <c r="D446">
        <v>53.46</v>
      </c>
      <c r="E446">
        <v>54.07</v>
      </c>
      <c r="F446">
        <v>22911577</v>
      </c>
      <c r="H446">
        <f t="shared" si="6"/>
        <v>3.8914160104606909E-3</v>
      </c>
    </row>
    <row r="447" spans="1:8" x14ac:dyDescent="0.25">
      <c r="A447" s="22">
        <v>42450</v>
      </c>
      <c r="B447">
        <v>53.25</v>
      </c>
      <c r="C447">
        <v>53.93</v>
      </c>
      <c r="D447">
        <v>52.93</v>
      </c>
      <c r="E447">
        <v>53.86</v>
      </c>
      <c r="F447">
        <v>23807263</v>
      </c>
      <c r="H447">
        <f t="shared" si="6"/>
        <v>6.893366840294176E-3</v>
      </c>
    </row>
    <row r="448" spans="1:8" x14ac:dyDescent="0.25">
      <c r="A448" s="22">
        <v>42447</v>
      </c>
      <c r="B448">
        <v>54.92</v>
      </c>
      <c r="C448">
        <v>54.97</v>
      </c>
      <c r="D448">
        <v>53.44</v>
      </c>
      <c r="E448">
        <v>53.49</v>
      </c>
      <c r="F448">
        <v>67422879</v>
      </c>
      <c r="H448">
        <f t="shared" si="6"/>
        <v>-2.1637459956763132E-2</v>
      </c>
    </row>
    <row r="449" spans="1:8" x14ac:dyDescent="0.25">
      <c r="A449" s="22">
        <v>42446</v>
      </c>
      <c r="B449">
        <v>54.21</v>
      </c>
      <c r="C449">
        <v>55</v>
      </c>
      <c r="D449">
        <v>54</v>
      </c>
      <c r="E449">
        <v>54.66</v>
      </c>
      <c r="F449">
        <v>28186465</v>
      </c>
      <c r="H449">
        <f t="shared" si="6"/>
        <v>5.6875669327034299E-3</v>
      </c>
    </row>
    <row r="450" spans="1:8" x14ac:dyDescent="0.25">
      <c r="A450" s="22">
        <v>42445</v>
      </c>
      <c r="B450">
        <v>53.45</v>
      </c>
      <c r="C450">
        <v>54.6</v>
      </c>
      <c r="D450">
        <v>53.4</v>
      </c>
      <c r="E450">
        <v>54.35</v>
      </c>
      <c r="F450">
        <v>31297892</v>
      </c>
      <c r="H450">
        <f t="shared" si="6"/>
        <v>1.4082130060459434E-2</v>
      </c>
    </row>
    <row r="451" spans="1:8" x14ac:dyDescent="0.25">
      <c r="A451" s="22">
        <v>42444</v>
      </c>
      <c r="B451">
        <v>52.75</v>
      </c>
      <c r="C451">
        <v>53.59</v>
      </c>
      <c r="D451">
        <v>52.74</v>
      </c>
      <c r="E451">
        <v>53.59</v>
      </c>
      <c r="F451">
        <v>21104763</v>
      </c>
      <c r="H451">
        <f t="shared" ref="H451:H514" si="7">IFERROR(LN(E451/E452),"")</f>
        <v>7.8681559905118027E-3</v>
      </c>
    </row>
    <row r="452" spans="1:8" x14ac:dyDescent="0.25">
      <c r="A452" s="22">
        <v>42443</v>
      </c>
      <c r="B452">
        <v>52.71</v>
      </c>
      <c r="C452">
        <v>53.59</v>
      </c>
      <c r="D452">
        <v>52.63</v>
      </c>
      <c r="E452">
        <v>53.17</v>
      </c>
      <c r="F452">
        <v>23751138</v>
      </c>
      <c r="H452">
        <f t="shared" si="7"/>
        <v>1.8825306764435011E-3</v>
      </c>
    </row>
    <row r="453" spans="1:8" x14ac:dyDescent="0.25">
      <c r="A453" s="22">
        <v>42440</v>
      </c>
      <c r="B453">
        <v>53</v>
      </c>
      <c r="C453">
        <v>53.07</v>
      </c>
      <c r="D453">
        <v>52.38</v>
      </c>
      <c r="E453">
        <v>53.07</v>
      </c>
      <c r="F453">
        <v>32174336</v>
      </c>
      <c r="H453">
        <f t="shared" si="7"/>
        <v>1.9407001778825827E-2</v>
      </c>
    </row>
    <row r="454" spans="1:8" x14ac:dyDescent="0.25">
      <c r="A454" s="22">
        <v>42439</v>
      </c>
      <c r="B454">
        <v>52.93</v>
      </c>
      <c r="C454">
        <v>52.94</v>
      </c>
      <c r="D454">
        <v>51.16</v>
      </c>
      <c r="E454">
        <v>52.05</v>
      </c>
      <c r="F454">
        <v>38384242</v>
      </c>
      <c r="H454">
        <f t="shared" si="7"/>
        <v>-1.5063684593146833E-2</v>
      </c>
    </row>
    <row r="455" spans="1:8" x14ac:dyDescent="0.25">
      <c r="A455" s="22">
        <v>42438</v>
      </c>
      <c r="B455">
        <v>51.89</v>
      </c>
      <c r="C455">
        <v>52.85</v>
      </c>
      <c r="D455">
        <v>51.86</v>
      </c>
      <c r="E455">
        <v>52.84</v>
      </c>
      <c r="F455">
        <v>28145151</v>
      </c>
      <c r="H455">
        <f t="shared" si="7"/>
        <v>2.2778284088477166E-2</v>
      </c>
    </row>
    <row r="456" spans="1:8" x14ac:dyDescent="0.25">
      <c r="A456" s="22">
        <v>42437</v>
      </c>
      <c r="B456">
        <v>50.8</v>
      </c>
      <c r="C456">
        <v>52.13</v>
      </c>
      <c r="D456">
        <v>50.6</v>
      </c>
      <c r="E456">
        <v>51.65</v>
      </c>
      <c r="F456">
        <v>33352218</v>
      </c>
      <c r="H456">
        <f t="shared" si="7"/>
        <v>1.2076500489767309E-2</v>
      </c>
    </row>
    <row r="457" spans="1:8" x14ac:dyDescent="0.25">
      <c r="A457" s="22">
        <v>42436</v>
      </c>
      <c r="B457">
        <v>51.56</v>
      </c>
      <c r="C457">
        <v>51.8</v>
      </c>
      <c r="D457">
        <v>50.58</v>
      </c>
      <c r="E457">
        <v>51.03</v>
      </c>
      <c r="F457">
        <v>38407847</v>
      </c>
      <c r="H457">
        <f t="shared" si="7"/>
        <v>-1.9406780226332063E-2</v>
      </c>
    </row>
    <row r="458" spans="1:8" x14ac:dyDescent="0.25">
      <c r="A458" s="22">
        <v>42433</v>
      </c>
      <c r="B458">
        <v>52.4</v>
      </c>
      <c r="C458">
        <v>52.45</v>
      </c>
      <c r="D458">
        <v>51.71</v>
      </c>
      <c r="E458">
        <v>52.03</v>
      </c>
      <c r="F458">
        <v>32280449</v>
      </c>
      <c r="H458">
        <f t="shared" si="7"/>
        <v>-6.1314620143337649E-3</v>
      </c>
    </row>
    <row r="459" spans="1:8" x14ac:dyDescent="0.25">
      <c r="A459" s="22">
        <v>42432</v>
      </c>
      <c r="B459">
        <v>52.97</v>
      </c>
      <c r="C459">
        <v>52.97</v>
      </c>
      <c r="D459">
        <v>51.78</v>
      </c>
      <c r="E459">
        <v>52.35</v>
      </c>
      <c r="F459">
        <v>24418148</v>
      </c>
      <c r="H459">
        <f t="shared" si="7"/>
        <v>-1.1396134730869582E-2</v>
      </c>
    </row>
    <row r="460" spans="1:8" x14ac:dyDescent="0.25">
      <c r="A460" s="22">
        <v>42431</v>
      </c>
      <c r="B460">
        <v>52.41</v>
      </c>
      <c r="C460">
        <v>52.96</v>
      </c>
      <c r="D460">
        <v>52.16</v>
      </c>
      <c r="E460">
        <v>52.95</v>
      </c>
      <c r="F460">
        <v>29049172</v>
      </c>
      <c r="H460">
        <f t="shared" si="7"/>
        <v>7.0122527456804593E-3</v>
      </c>
    </row>
    <row r="461" spans="1:8" x14ac:dyDescent="0.25">
      <c r="A461" s="22">
        <v>42430</v>
      </c>
      <c r="B461">
        <v>50.97</v>
      </c>
      <c r="C461">
        <v>52.59</v>
      </c>
      <c r="D461">
        <v>50.92</v>
      </c>
      <c r="E461">
        <v>52.58</v>
      </c>
      <c r="F461">
        <v>32778474</v>
      </c>
      <c r="H461">
        <f t="shared" si="7"/>
        <v>3.2865900269868374E-2</v>
      </c>
    </row>
    <row r="462" spans="1:8" x14ac:dyDescent="0.25">
      <c r="A462" s="22">
        <v>42429</v>
      </c>
      <c r="B462">
        <v>51.35</v>
      </c>
      <c r="C462">
        <v>51.65</v>
      </c>
      <c r="D462">
        <v>50.66</v>
      </c>
      <c r="E462">
        <v>50.88</v>
      </c>
      <c r="F462">
        <v>31247142</v>
      </c>
      <c r="H462">
        <f t="shared" si="7"/>
        <v>-8.2208331448570225E-3</v>
      </c>
    </row>
    <row r="463" spans="1:8" x14ac:dyDescent="0.25">
      <c r="A463" s="22">
        <v>42426</v>
      </c>
      <c r="B463">
        <v>52.6</v>
      </c>
      <c r="C463">
        <v>52.68</v>
      </c>
      <c r="D463">
        <v>51.1</v>
      </c>
      <c r="E463">
        <v>51.3</v>
      </c>
      <c r="F463">
        <v>35869193</v>
      </c>
      <c r="H463">
        <f t="shared" si="7"/>
        <v>-1.5474196582597478E-2</v>
      </c>
    </row>
    <row r="464" spans="1:8" x14ac:dyDescent="0.25">
      <c r="A464" s="22">
        <v>42425</v>
      </c>
      <c r="B464">
        <v>51.73</v>
      </c>
      <c r="C464">
        <v>52.1</v>
      </c>
      <c r="D464">
        <v>50.61</v>
      </c>
      <c r="E464">
        <v>52.1</v>
      </c>
      <c r="F464">
        <v>26695920</v>
      </c>
      <c r="H464">
        <f t="shared" si="7"/>
        <v>1.4305289377615433E-2</v>
      </c>
    </row>
    <row r="465" spans="1:8" x14ac:dyDescent="0.25">
      <c r="A465" s="22">
        <v>42424</v>
      </c>
      <c r="B465">
        <v>50.69</v>
      </c>
      <c r="C465">
        <v>51.5</v>
      </c>
      <c r="D465">
        <v>50.2</v>
      </c>
      <c r="E465">
        <v>51.36</v>
      </c>
      <c r="F465">
        <v>32076012</v>
      </c>
      <c r="H465">
        <f t="shared" si="7"/>
        <v>3.5108286500630209E-3</v>
      </c>
    </row>
    <row r="466" spans="1:8" x14ac:dyDescent="0.25">
      <c r="A466" s="22">
        <v>42423</v>
      </c>
      <c r="B466">
        <v>52.34</v>
      </c>
      <c r="C466">
        <v>52.37</v>
      </c>
      <c r="D466">
        <v>50.98</v>
      </c>
      <c r="E466">
        <v>51.18</v>
      </c>
      <c r="F466">
        <v>28390773</v>
      </c>
      <c r="H466">
        <f t="shared" si="7"/>
        <v>-2.8317407848341695E-2</v>
      </c>
    </row>
    <row r="467" spans="1:8" x14ac:dyDescent="0.25">
      <c r="A467" s="22">
        <v>42422</v>
      </c>
      <c r="B467">
        <v>52.28</v>
      </c>
      <c r="C467">
        <v>53</v>
      </c>
      <c r="D467">
        <v>52.28</v>
      </c>
      <c r="E467">
        <v>52.65</v>
      </c>
      <c r="F467">
        <v>24854437</v>
      </c>
      <c r="H467">
        <f t="shared" si="7"/>
        <v>1.5890063446020543E-2</v>
      </c>
    </row>
    <row r="468" spans="1:8" x14ac:dyDescent="0.25">
      <c r="A468" s="22">
        <v>42419</v>
      </c>
      <c r="B468">
        <v>51.97</v>
      </c>
      <c r="C468">
        <v>52.28</v>
      </c>
      <c r="D468">
        <v>51.53</v>
      </c>
      <c r="E468">
        <v>51.82</v>
      </c>
      <c r="F468">
        <v>33275399</v>
      </c>
      <c r="H468">
        <f t="shared" si="7"/>
        <v>-7.1147305213579166E-3</v>
      </c>
    </row>
    <row r="469" spans="1:8" x14ac:dyDescent="0.25">
      <c r="A469" s="22">
        <v>42418</v>
      </c>
      <c r="B469">
        <v>52.33</v>
      </c>
      <c r="C469">
        <v>52.95</v>
      </c>
      <c r="D469">
        <v>52.1</v>
      </c>
      <c r="E469">
        <v>52.19</v>
      </c>
      <c r="F469">
        <v>26244683</v>
      </c>
      <c r="H469">
        <f t="shared" si="7"/>
        <v>-4.3972922399385418E-3</v>
      </c>
    </row>
    <row r="470" spans="1:8" x14ac:dyDescent="0.25">
      <c r="A470" s="22">
        <v>42417</v>
      </c>
      <c r="B470">
        <v>51.49</v>
      </c>
      <c r="C470">
        <v>52.77</v>
      </c>
      <c r="D470">
        <v>51.45</v>
      </c>
      <c r="E470">
        <v>52.42</v>
      </c>
      <c r="F470">
        <v>39670289</v>
      </c>
      <c r="H470">
        <f t="shared" si="7"/>
        <v>2.5699414552553618E-2</v>
      </c>
    </row>
    <row r="471" spans="1:8" x14ac:dyDescent="0.25">
      <c r="A471" s="22">
        <v>42416</v>
      </c>
      <c r="B471">
        <v>50.9</v>
      </c>
      <c r="C471">
        <v>51.09</v>
      </c>
      <c r="D471">
        <v>50.13</v>
      </c>
      <c r="E471">
        <v>51.09</v>
      </c>
      <c r="F471">
        <v>35937137</v>
      </c>
      <c r="H471">
        <f t="shared" si="7"/>
        <v>1.1615447061392472E-2</v>
      </c>
    </row>
    <row r="472" spans="1:8" x14ac:dyDescent="0.25">
      <c r="A472" s="22">
        <v>42412</v>
      </c>
      <c r="B472">
        <v>50.25</v>
      </c>
      <c r="C472">
        <v>50.68</v>
      </c>
      <c r="D472">
        <v>49.75</v>
      </c>
      <c r="E472">
        <v>50.5</v>
      </c>
      <c r="F472">
        <v>33292336</v>
      </c>
      <c r="H472">
        <f t="shared" si="7"/>
        <v>1.6169630667084899E-2</v>
      </c>
    </row>
    <row r="473" spans="1:8" x14ac:dyDescent="0.25">
      <c r="A473" s="22">
        <v>42411</v>
      </c>
      <c r="B473">
        <v>48.68</v>
      </c>
      <c r="C473">
        <v>50.11</v>
      </c>
      <c r="D473">
        <v>48.51</v>
      </c>
      <c r="E473">
        <v>49.69</v>
      </c>
      <c r="F473">
        <v>48448154</v>
      </c>
      <c r="H473">
        <f t="shared" si="7"/>
        <v>-4.0241449235206903E-4</v>
      </c>
    </row>
    <row r="474" spans="1:8" x14ac:dyDescent="0.25">
      <c r="A474" s="22">
        <v>42410</v>
      </c>
      <c r="B474">
        <v>49.89</v>
      </c>
      <c r="C474">
        <v>50.39</v>
      </c>
      <c r="D474">
        <v>49.52</v>
      </c>
      <c r="E474">
        <v>49.71</v>
      </c>
      <c r="F474">
        <v>37899918</v>
      </c>
      <c r="H474">
        <f t="shared" si="7"/>
        <v>8.6878008813168917E-3</v>
      </c>
    </row>
    <row r="475" spans="1:8" x14ac:dyDescent="0.25">
      <c r="A475" s="22">
        <v>42409</v>
      </c>
      <c r="B475">
        <v>49.02</v>
      </c>
      <c r="C475">
        <v>50.24</v>
      </c>
      <c r="D475">
        <v>48.67</v>
      </c>
      <c r="E475">
        <v>49.28</v>
      </c>
      <c r="F475">
        <v>45822192</v>
      </c>
      <c r="H475">
        <f t="shared" si="7"/>
        <v>-2.6345136323942292E-3</v>
      </c>
    </row>
    <row r="476" spans="1:8" x14ac:dyDescent="0.25">
      <c r="A476" s="22">
        <v>42408</v>
      </c>
      <c r="B476">
        <v>49.55</v>
      </c>
      <c r="C476">
        <v>49.57</v>
      </c>
      <c r="D476">
        <v>48.19</v>
      </c>
      <c r="E476">
        <v>49.41</v>
      </c>
      <c r="F476">
        <v>57006105</v>
      </c>
      <c r="H476">
        <f t="shared" si="7"/>
        <v>-1.506506346700659E-2</v>
      </c>
    </row>
    <row r="477" spans="1:8" x14ac:dyDescent="0.25">
      <c r="A477" s="22">
        <v>42405</v>
      </c>
      <c r="B477">
        <v>51.94</v>
      </c>
      <c r="C477">
        <v>52</v>
      </c>
      <c r="D477">
        <v>49.56</v>
      </c>
      <c r="E477">
        <v>50.16</v>
      </c>
      <c r="F477">
        <v>60651115</v>
      </c>
      <c r="H477">
        <f t="shared" si="7"/>
        <v>-3.6025822256762173E-2</v>
      </c>
    </row>
    <row r="478" spans="1:8" x14ac:dyDescent="0.25">
      <c r="A478" s="22">
        <v>42404</v>
      </c>
      <c r="B478">
        <v>52.1</v>
      </c>
      <c r="C478">
        <v>52.81</v>
      </c>
      <c r="D478">
        <v>51.37</v>
      </c>
      <c r="E478">
        <v>52</v>
      </c>
      <c r="F478">
        <v>46803371</v>
      </c>
      <c r="H478">
        <f t="shared" si="7"/>
        <v>-3.0721990369701403E-3</v>
      </c>
    </row>
    <row r="479" spans="1:8" x14ac:dyDescent="0.25">
      <c r="A479" s="22">
        <v>42403</v>
      </c>
      <c r="B479">
        <v>53.25</v>
      </c>
      <c r="C479">
        <v>53.39</v>
      </c>
      <c r="D479">
        <v>51.26</v>
      </c>
      <c r="E479">
        <v>52.16</v>
      </c>
      <c r="F479">
        <v>57347519</v>
      </c>
      <c r="H479">
        <f t="shared" si="7"/>
        <v>-1.5975995933724407E-2</v>
      </c>
    </row>
    <row r="480" spans="1:8" x14ac:dyDescent="0.25">
      <c r="A480" s="22">
        <v>42402</v>
      </c>
      <c r="B480">
        <v>54.17</v>
      </c>
      <c r="C480">
        <v>54.26</v>
      </c>
      <c r="D480">
        <v>52.65</v>
      </c>
      <c r="E480">
        <v>53</v>
      </c>
      <c r="F480">
        <v>54453559</v>
      </c>
      <c r="H480">
        <f t="shared" si="7"/>
        <v>-3.1754594523612754E-2</v>
      </c>
    </row>
    <row r="481" spans="1:8" x14ac:dyDescent="0.25">
      <c r="A481" s="22">
        <v>42401</v>
      </c>
      <c r="B481">
        <v>54.88</v>
      </c>
      <c r="C481">
        <v>55.09</v>
      </c>
      <c r="D481">
        <v>54.5</v>
      </c>
      <c r="E481">
        <v>54.71</v>
      </c>
      <c r="F481">
        <v>43587105</v>
      </c>
      <c r="H481">
        <f t="shared" si="7"/>
        <v>-6.9217034088906292E-3</v>
      </c>
    </row>
    <row r="482" spans="1:8" x14ac:dyDescent="0.25">
      <c r="A482" t="s">
        <v>338</v>
      </c>
      <c r="B482">
        <v>54.73</v>
      </c>
      <c r="C482">
        <v>55.09</v>
      </c>
      <c r="D482">
        <v>54</v>
      </c>
      <c r="E482">
        <v>55.09</v>
      </c>
      <c r="F482">
        <v>83137039</v>
      </c>
      <c r="H482">
        <f t="shared" si="7"/>
        <v>5.6571311918205872E-2</v>
      </c>
    </row>
    <row r="483" spans="1:8" x14ac:dyDescent="0.25">
      <c r="A483" t="s">
        <v>339</v>
      </c>
      <c r="B483">
        <v>51.86</v>
      </c>
      <c r="C483">
        <v>52.21</v>
      </c>
      <c r="D483">
        <v>51.25</v>
      </c>
      <c r="E483">
        <v>52.06</v>
      </c>
      <c r="F483">
        <v>58489190</v>
      </c>
      <c r="H483">
        <f t="shared" si="7"/>
        <v>1.6266818795040147E-2</v>
      </c>
    </row>
    <row r="484" spans="1:8" x14ac:dyDescent="0.25">
      <c r="A484" t="s">
        <v>340</v>
      </c>
      <c r="B484">
        <v>52.01</v>
      </c>
      <c r="C484">
        <v>52.2</v>
      </c>
      <c r="D484">
        <v>51.02</v>
      </c>
      <c r="E484">
        <v>51.22</v>
      </c>
      <c r="F484">
        <v>36266102</v>
      </c>
      <c r="H484">
        <f t="shared" si="7"/>
        <v>-1.8377536262922257E-2</v>
      </c>
    </row>
    <row r="485" spans="1:8" x14ac:dyDescent="0.25">
      <c r="A485" t="s">
        <v>341</v>
      </c>
      <c r="B485">
        <v>51.79</v>
      </c>
      <c r="C485">
        <v>52.44</v>
      </c>
      <c r="D485">
        <v>51.55</v>
      </c>
      <c r="E485">
        <v>52.17</v>
      </c>
      <c r="F485">
        <v>28699484</v>
      </c>
      <c r="H485">
        <f t="shared" si="7"/>
        <v>7.3105365985014154E-3</v>
      </c>
    </row>
    <row r="486" spans="1:8" x14ac:dyDescent="0.25">
      <c r="A486" t="s">
        <v>342</v>
      </c>
      <c r="B486">
        <v>51.94</v>
      </c>
      <c r="C486">
        <v>52.65</v>
      </c>
      <c r="D486">
        <v>51.65</v>
      </c>
      <c r="E486">
        <v>51.79</v>
      </c>
      <c r="F486">
        <v>34497323</v>
      </c>
      <c r="H486">
        <f t="shared" si="7"/>
        <v>-9.6080677642391889E-3</v>
      </c>
    </row>
    <row r="487" spans="1:8" x14ac:dyDescent="0.25">
      <c r="A487" t="s">
        <v>343</v>
      </c>
      <c r="B487">
        <v>51.41</v>
      </c>
      <c r="C487">
        <v>52.33</v>
      </c>
      <c r="D487">
        <v>51.26</v>
      </c>
      <c r="E487">
        <v>52.29</v>
      </c>
      <c r="F487">
        <v>36878402</v>
      </c>
      <c r="H487">
        <f t="shared" si="7"/>
        <v>3.5227929967081614E-2</v>
      </c>
    </row>
    <row r="488" spans="1:8" x14ac:dyDescent="0.25">
      <c r="A488" t="s">
        <v>344</v>
      </c>
      <c r="B488">
        <v>51</v>
      </c>
      <c r="C488">
        <v>51.58</v>
      </c>
      <c r="D488">
        <v>50.3</v>
      </c>
      <c r="E488">
        <v>50.48</v>
      </c>
      <c r="F488">
        <v>40169367</v>
      </c>
      <c r="H488">
        <f t="shared" si="7"/>
        <v>-6.1222665801959533E-3</v>
      </c>
    </row>
    <row r="489" spans="1:8" x14ac:dyDescent="0.25">
      <c r="A489" t="s">
        <v>345</v>
      </c>
      <c r="B489">
        <v>49.98</v>
      </c>
      <c r="C489">
        <v>51.38</v>
      </c>
      <c r="D489">
        <v>49.1</v>
      </c>
      <c r="E489">
        <v>50.79</v>
      </c>
      <c r="F489">
        <v>63162940</v>
      </c>
      <c r="H489">
        <f t="shared" si="7"/>
        <v>4.5387349745515974E-3</v>
      </c>
    </row>
    <row r="490" spans="1:8" x14ac:dyDescent="0.25">
      <c r="A490" t="s">
        <v>346</v>
      </c>
      <c r="B490">
        <v>51.48</v>
      </c>
      <c r="C490">
        <v>51.68</v>
      </c>
      <c r="D490">
        <v>50.06</v>
      </c>
      <c r="E490">
        <v>50.56</v>
      </c>
      <c r="F490">
        <v>43128276</v>
      </c>
      <c r="H490">
        <f t="shared" si="7"/>
        <v>-8.4687852284623839E-3</v>
      </c>
    </row>
    <row r="491" spans="1:8" x14ac:dyDescent="0.25">
      <c r="A491" t="s">
        <v>347</v>
      </c>
      <c r="B491">
        <v>51.31</v>
      </c>
      <c r="C491">
        <v>51.97</v>
      </c>
      <c r="D491">
        <v>50.34</v>
      </c>
      <c r="E491">
        <v>50.99</v>
      </c>
      <c r="F491">
        <v>70739137</v>
      </c>
      <c r="H491">
        <f t="shared" si="7"/>
        <v>-4.0735699367243416E-2</v>
      </c>
    </row>
    <row r="492" spans="1:8" x14ac:dyDescent="0.25">
      <c r="A492" t="s">
        <v>348</v>
      </c>
      <c r="B492">
        <v>52</v>
      </c>
      <c r="C492">
        <v>53.42</v>
      </c>
      <c r="D492">
        <v>51.57</v>
      </c>
      <c r="E492">
        <v>53.11</v>
      </c>
      <c r="F492">
        <v>51429807</v>
      </c>
      <c r="H492">
        <f t="shared" si="7"/>
        <v>2.8068668455866003E-2</v>
      </c>
    </row>
    <row r="493" spans="1:8" x14ac:dyDescent="0.25">
      <c r="A493" t="s">
        <v>349</v>
      </c>
      <c r="B493">
        <v>53.8</v>
      </c>
      <c r="C493">
        <v>54.07</v>
      </c>
      <c r="D493">
        <v>51.3</v>
      </c>
      <c r="E493">
        <v>51.64</v>
      </c>
      <c r="F493">
        <v>66119018</v>
      </c>
      <c r="H493">
        <f t="shared" si="7"/>
        <v>-2.1835765096736303E-2</v>
      </c>
    </row>
    <row r="494" spans="1:8" x14ac:dyDescent="0.25">
      <c r="A494" t="s">
        <v>350</v>
      </c>
      <c r="B494">
        <v>52.76</v>
      </c>
      <c r="C494">
        <v>53.1</v>
      </c>
      <c r="D494">
        <v>52.06</v>
      </c>
      <c r="E494">
        <v>52.78</v>
      </c>
      <c r="F494">
        <v>36095539</v>
      </c>
      <c r="H494">
        <f t="shared" si="7"/>
        <v>9.1359600043007996E-3</v>
      </c>
    </row>
    <row r="495" spans="1:8" x14ac:dyDescent="0.25">
      <c r="A495" t="s">
        <v>351</v>
      </c>
      <c r="B495">
        <v>52.51</v>
      </c>
      <c r="C495">
        <v>52.85</v>
      </c>
      <c r="D495">
        <v>51.46</v>
      </c>
      <c r="E495">
        <v>52.3</v>
      </c>
      <c r="F495">
        <v>36943756</v>
      </c>
      <c r="H495">
        <f t="shared" si="7"/>
        <v>-5.7344931323924787E-4</v>
      </c>
    </row>
    <row r="496" spans="1:8" x14ac:dyDescent="0.25">
      <c r="A496" t="s">
        <v>352</v>
      </c>
      <c r="B496">
        <v>52.37</v>
      </c>
      <c r="C496">
        <v>53.28</v>
      </c>
      <c r="D496">
        <v>52.15</v>
      </c>
      <c r="E496">
        <v>52.33</v>
      </c>
      <c r="F496">
        <v>48753969</v>
      </c>
      <c r="H496">
        <f t="shared" si="7"/>
        <v>3.0622033498149286E-3</v>
      </c>
    </row>
    <row r="497" spans="1:8" x14ac:dyDescent="0.25">
      <c r="A497" t="s">
        <v>353</v>
      </c>
      <c r="B497">
        <v>52.7</v>
      </c>
      <c r="C497">
        <v>53.48</v>
      </c>
      <c r="D497">
        <v>52.07</v>
      </c>
      <c r="E497">
        <v>52.17</v>
      </c>
      <c r="F497">
        <v>56564852</v>
      </c>
      <c r="H497">
        <f t="shared" si="7"/>
        <v>-3.5401927050915834E-2</v>
      </c>
    </row>
    <row r="498" spans="1:8" x14ac:dyDescent="0.25">
      <c r="A498" t="s">
        <v>354</v>
      </c>
      <c r="B498">
        <v>54.32</v>
      </c>
      <c r="C498">
        <v>54.4</v>
      </c>
      <c r="D498">
        <v>53.64</v>
      </c>
      <c r="E498">
        <v>54.05</v>
      </c>
      <c r="F498">
        <v>39518863</v>
      </c>
      <c r="H498">
        <f t="shared" si="7"/>
        <v>-1.8332319083471733E-2</v>
      </c>
    </row>
    <row r="499" spans="1:8" x14ac:dyDescent="0.25">
      <c r="A499" t="s">
        <v>355</v>
      </c>
      <c r="B499">
        <v>54.93</v>
      </c>
      <c r="C499">
        <v>55.39</v>
      </c>
      <c r="D499">
        <v>54.54</v>
      </c>
      <c r="E499">
        <v>55.05</v>
      </c>
      <c r="F499">
        <v>34079674</v>
      </c>
      <c r="H499">
        <f t="shared" si="7"/>
        <v>4.5516692147191005E-3</v>
      </c>
    </row>
    <row r="500" spans="1:8" x14ac:dyDescent="0.25">
      <c r="A500" t="s">
        <v>356</v>
      </c>
      <c r="B500">
        <v>54.32</v>
      </c>
      <c r="C500">
        <v>54.8</v>
      </c>
      <c r="D500">
        <v>53.39</v>
      </c>
      <c r="E500">
        <v>54.8</v>
      </c>
      <c r="F500">
        <v>52843210</v>
      </c>
      <c r="H500">
        <f t="shared" si="7"/>
        <v>-1.2332401492660933E-2</v>
      </c>
    </row>
    <row r="501" spans="1:8" x14ac:dyDescent="0.25">
      <c r="A501" t="s">
        <v>357</v>
      </c>
      <c r="B501">
        <v>56.04</v>
      </c>
      <c r="C501">
        <v>56.19</v>
      </c>
      <c r="D501">
        <v>55.42</v>
      </c>
      <c r="E501">
        <v>55.48</v>
      </c>
      <c r="F501">
        <v>27334061</v>
      </c>
      <c r="H501">
        <f t="shared" si="7"/>
        <v>-1.4849543819896421E-2</v>
      </c>
    </row>
    <row r="502" spans="1:8" x14ac:dyDescent="0.25">
      <c r="A502" t="s">
        <v>358</v>
      </c>
      <c r="B502">
        <v>56.47</v>
      </c>
      <c r="C502">
        <v>56.78</v>
      </c>
      <c r="D502">
        <v>56.29</v>
      </c>
      <c r="E502">
        <v>56.31</v>
      </c>
      <c r="F502">
        <v>21704505</v>
      </c>
      <c r="H502">
        <f t="shared" si="7"/>
        <v>-4.2530632956021735E-3</v>
      </c>
    </row>
    <row r="503" spans="1:8" x14ac:dyDescent="0.25">
      <c r="A503" t="s">
        <v>359</v>
      </c>
      <c r="B503">
        <v>56.29</v>
      </c>
      <c r="C503">
        <v>56.85</v>
      </c>
      <c r="D503">
        <v>56.06</v>
      </c>
      <c r="E503">
        <v>56.55</v>
      </c>
      <c r="F503">
        <v>27731403</v>
      </c>
      <c r="H503">
        <f t="shared" si="7"/>
        <v>1.0666767804195228E-2</v>
      </c>
    </row>
    <row r="504" spans="1:8" x14ac:dyDescent="0.25">
      <c r="A504" t="s">
        <v>360</v>
      </c>
      <c r="B504">
        <v>55.35</v>
      </c>
      <c r="C504">
        <v>55.95</v>
      </c>
      <c r="D504">
        <v>54.98</v>
      </c>
      <c r="E504">
        <v>55.95</v>
      </c>
      <c r="F504">
        <v>22458293</v>
      </c>
      <c r="H504">
        <f t="shared" si="7"/>
        <v>5.0170325625178581E-3</v>
      </c>
    </row>
    <row r="505" spans="1:8" x14ac:dyDescent="0.25">
      <c r="A505" t="s">
        <v>361</v>
      </c>
      <c r="B505">
        <v>55.86</v>
      </c>
      <c r="C505">
        <v>55.96</v>
      </c>
      <c r="D505">
        <v>55.43</v>
      </c>
      <c r="E505">
        <v>55.67</v>
      </c>
      <c r="F505">
        <v>9570002</v>
      </c>
      <c r="H505">
        <f t="shared" si="7"/>
        <v>-2.6908259127597272E-3</v>
      </c>
    </row>
    <row r="506" spans="1:8" x14ac:dyDescent="0.25">
      <c r="A506" t="s">
        <v>362</v>
      </c>
      <c r="B506">
        <v>55.7</v>
      </c>
      <c r="C506">
        <v>55.88</v>
      </c>
      <c r="D506">
        <v>55.44</v>
      </c>
      <c r="E506">
        <v>55.82</v>
      </c>
      <c r="F506">
        <v>27279832</v>
      </c>
      <c r="H506">
        <f t="shared" si="7"/>
        <v>8.4555689535301768E-3</v>
      </c>
    </row>
    <row r="507" spans="1:8" x14ac:dyDescent="0.25">
      <c r="A507" t="s">
        <v>363</v>
      </c>
      <c r="B507">
        <v>54.99</v>
      </c>
      <c r="C507">
        <v>55.48</v>
      </c>
      <c r="D507">
        <v>54.5</v>
      </c>
      <c r="E507">
        <v>55.35</v>
      </c>
      <c r="F507">
        <v>28322241</v>
      </c>
      <c r="H507">
        <f t="shared" si="7"/>
        <v>9.4391697386887793E-3</v>
      </c>
    </row>
    <row r="508" spans="1:8" x14ac:dyDescent="0.25">
      <c r="A508" t="s">
        <v>364</v>
      </c>
      <c r="B508">
        <v>54.88</v>
      </c>
      <c r="C508">
        <v>55.35</v>
      </c>
      <c r="D508">
        <v>54.23</v>
      </c>
      <c r="E508">
        <v>54.83</v>
      </c>
      <c r="F508">
        <v>37246325</v>
      </c>
      <c r="H508">
        <f t="shared" si="7"/>
        <v>1.2848928607070598E-2</v>
      </c>
    </row>
    <row r="509" spans="1:8" x14ac:dyDescent="0.25">
      <c r="A509" t="s">
        <v>365</v>
      </c>
      <c r="B509">
        <v>54.78</v>
      </c>
      <c r="C509">
        <v>56</v>
      </c>
      <c r="D509">
        <v>54.03</v>
      </c>
      <c r="E509">
        <v>54.13</v>
      </c>
      <c r="F509">
        <v>84684164</v>
      </c>
      <c r="H509">
        <f t="shared" si="7"/>
        <v>-2.8591586124351857E-2</v>
      </c>
    </row>
    <row r="510" spans="1:8" x14ac:dyDescent="0.25">
      <c r="A510" t="s">
        <v>366</v>
      </c>
      <c r="B510">
        <v>56.36</v>
      </c>
      <c r="C510">
        <v>56.79</v>
      </c>
      <c r="D510">
        <v>55.53</v>
      </c>
      <c r="E510">
        <v>55.7</v>
      </c>
      <c r="F510">
        <v>41280907</v>
      </c>
      <c r="H510">
        <f t="shared" si="7"/>
        <v>-7.6902820208695913E-3</v>
      </c>
    </row>
    <row r="511" spans="1:8" x14ac:dyDescent="0.25">
      <c r="A511" t="s">
        <v>367</v>
      </c>
      <c r="B511">
        <v>55.54</v>
      </c>
      <c r="C511">
        <v>56.24</v>
      </c>
      <c r="D511">
        <v>54.76</v>
      </c>
      <c r="E511">
        <v>56.13</v>
      </c>
      <c r="F511">
        <v>37503300</v>
      </c>
      <c r="H511">
        <f t="shared" si="7"/>
        <v>1.6707475671058243E-2</v>
      </c>
    </row>
    <row r="512" spans="1:8" x14ac:dyDescent="0.25">
      <c r="A512" t="s">
        <v>368</v>
      </c>
      <c r="B512">
        <v>55.66</v>
      </c>
      <c r="C512">
        <v>55.9</v>
      </c>
      <c r="D512">
        <v>55.09</v>
      </c>
      <c r="E512">
        <v>55.2</v>
      </c>
      <c r="F512">
        <v>39842998</v>
      </c>
      <c r="H512">
        <f t="shared" si="7"/>
        <v>1.0875476873989189E-3</v>
      </c>
    </row>
    <row r="513" spans="1:8" x14ac:dyDescent="0.25">
      <c r="A513" t="s">
        <v>369</v>
      </c>
      <c r="B513">
        <v>54.33</v>
      </c>
      <c r="C513">
        <v>55.21</v>
      </c>
      <c r="D513">
        <v>53.68</v>
      </c>
      <c r="E513">
        <v>55.14</v>
      </c>
      <c r="F513">
        <v>46768924</v>
      </c>
      <c r="H513">
        <f t="shared" si="7"/>
        <v>1.9780864747349143E-2</v>
      </c>
    </row>
    <row r="514" spans="1:8" x14ac:dyDescent="0.25">
      <c r="A514" t="s">
        <v>370</v>
      </c>
      <c r="B514">
        <v>54.71</v>
      </c>
      <c r="C514">
        <v>55.1</v>
      </c>
      <c r="D514">
        <v>54.01</v>
      </c>
      <c r="E514">
        <v>54.06</v>
      </c>
      <c r="F514">
        <v>39549497</v>
      </c>
      <c r="H514">
        <f t="shared" si="7"/>
        <v>-2.2135724996870103E-2</v>
      </c>
    </row>
    <row r="515" spans="1:8" x14ac:dyDescent="0.25">
      <c r="A515" t="s">
        <v>371</v>
      </c>
      <c r="B515">
        <v>55.39</v>
      </c>
      <c r="C515">
        <v>55.66</v>
      </c>
      <c r="D515">
        <v>55.01</v>
      </c>
      <c r="E515">
        <v>55.27</v>
      </c>
      <c r="F515">
        <v>31775826</v>
      </c>
      <c r="H515">
        <f t="shared" ref="H515:H578" si="8">IFERROR(LN(E515/E516),"")</f>
        <v>5.2607831080719739E-3</v>
      </c>
    </row>
    <row r="516" spans="1:8" x14ac:dyDescent="0.25">
      <c r="A516" t="s">
        <v>372</v>
      </c>
      <c r="B516">
        <v>54.75</v>
      </c>
      <c r="C516">
        <v>55.87</v>
      </c>
      <c r="D516">
        <v>54.51</v>
      </c>
      <c r="E516">
        <v>54.98</v>
      </c>
      <c r="F516">
        <v>36373209</v>
      </c>
      <c r="H516">
        <f t="shared" si="8"/>
        <v>-1.4625159120337352E-2</v>
      </c>
    </row>
    <row r="517" spans="1:8" x14ac:dyDescent="0.25">
      <c r="A517" t="s">
        <v>373</v>
      </c>
      <c r="B517">
        <v>55.47</v>
      </c>
      <c r="C517">
        <v>56.1</v>
      </c>
      <c r="D517">
        <v>54.99</v>
      </c>
      <c r="E517">
        <v>55.79</v>
      </c>
      <c r="F517">
        <v>32878026</v>
      </c>
      <c r="H517">
        <f t="shared" si="8"/>
        <v>-3.5842294290533606E-4</v>
      </c>
    </row>
    <row r="518" spans="1:8" x14ac:dyDescent="0.25">
      <c r="A518" t="s">
        <v>374</v>
      </c>
      <c r="B518">
        <v>55.79</v>
      </c>
      <c r="C518">
        <v>55.97</v>
      </c>
      <c r="D518">
        <v>55.29</v>
      </c>
      <c r="E518">
        <v>55.81</v>
      </c>
      <c r="F518">
        <v>30709765</v>
      </c>
      <c r="H518">
        <f t="shared" si="8"/>
        <v>-1.7901902382116682E-3</v>
      </c>
    </row>
    <row r="519" spans="1:8" x14ac:dyDescent="0.25">
      <c r="A519" t="s">
        <v>375</v>
      </c>
      <c r="B519">
        <v>54.12</v>
      </c>
      <c r="C519">
        <v>56.23</v>
      </c>
      <c r="D519">
        <v>54.1</v>
      </c>
      <c r="E519">
        <v>55.91</v>
      </c>
      <c r="F519">
        <v>43963662</v>
      </c>
      <c r="H519">
        <f t="shared" si="8"/>
        <v>3.1062346592953271E-2</v>
      </c>
    </row>
    <row r="520" spans="1:8" x14ac:dyDescent="0.25">
      <c r="A520" t="s">
        <v>376</v>
      </c>
      <c r="B520">
        <v>55.49</v>
      </c>
      <c r="C520">
        <v>55.77</v>
      </c>
      <c r="D520">
        <v>53.93</v>
      </c>
      <c r="E520">
        <v>54.2</v>
      </c>
      <c r="F520">
        <v>38627835</v>
      </c>
      <c r="H520">
        <f t="shared" si="8"/>
        <v>-1.8463187850352673E-2</v>
      </c>
    </row>
    <row r="521" spans="1:8" x14ac:dyDescent="0.25">
      <c r="A521" t="s">
        <v>377</v>
      </c>
      <c r="B521">
        <v>55.32</v>
      </c>
      <c r="C521">
        <v>55.96</v>
      </c>
      <c r="D521">
        <v>55.06</v>
      </c>
      <c r="E521">
        <v>55.21</v>
      </c>
      <c r="F521">
        <v>47244551</v>
      </c>
      <c r="H521">
        <f t="shared" si="8"/>
        <v>-1.8111020605513141E-4</v>
      </c>
    </row>
    <row r="522" spans="1:8" x14ac:dyDescent="0.25">
      <c r="A522" t="s">
        <v>378</v>
      </c>
      <c r="B522">
        <v>54.41</v>
      </c>
      <c r="C522">
        <v>55.23</v>
      </c>
      <c r="D522">
        <v>54.3</v>
      </c>
      <c r="E522">
        <v>55.22</v>
      </c>
      <c r="F522">
        <v>39848647</v>
      </c>
      <c r="H522">
        <f t="shared" si="8"/>
        <v>1.5880592934789772E-2</v>
      </c>
    </row>
    <row r="523" spans="1:8" x14ac:dyDescent="0.25">
      <c r="A523" s="22">
        <v>42338</v>
      </c>
      <c r="B523">
        <v>54.54</v>
      </c>
      <c r="C523">
        <v>54.96</v>
      </c>
      <c r="D523">
        <v>54</v>
      </c>
      <c r="E523">
        <v>54.35</v>
      </c>
      <c r="F523">
        <v>53885371</v>
      </c>
      <c r="H523">
        <f t="shared" si="8"/>
        <v>7.7577042180828355E-3</v>
      </c>
    </row>
    <row r="524" spans="1:8" x14ac:dyDescent="0.25">
      <c r="A524" s="22">
        <v>42335</v>
      </c>
      <c r="B524">
        <v>53.8</v>
      </c>
      <c r="C524">
        <v>54.08</v>
      </c>
      <c r="D524">
        <v>53.79</v>
      </c>
      <c r="E524">
        <v>53.93</v>
      </c>
      <c r="F524">
        <v>9009113</v>
      </c>
      <c r="H524">
        <f t="shared" si="8"/>
        <v>4.4601449146575182E-3</v>
      </c>
    </row>
    <row r="525" spans="1:8" x14ac:dyDescent="0.25">
      <c r="A525" s="22">
        <v>42333</v>
      </c>
      <c r="B525">
        <v>54.09</v>
      </c>
      <c r="C525">
        <v>54.23</v>
      </c>
      <c r="D525">
        <v>53.69</v>
      </c>
      <c r="E525">
        <v>53.69</v>
      </c>
      <c r="F525">
        <v>21005147</v>
      </c>
      <c r="H525">
        <f t="shared" si="8"/>
        <v>-1.0376227986090858E-2</v>
      </c>
    </row>
    <row r="526" spans="1:8" x14ac:dyDescent="0.25">
      <c r="A526" s="22">
        <v>42332</v>
      </c>
      <c r="B526">
        <v>53.92</v>
      </c>
      <c r="C526">
        <v>54.44</v>
      </c>
      <c r="D526">
        <v>53.58</v>
      </c>
      <c r="E526">
        <v>54.25</v>
      </c>
      <c r="F526">
        <v>24482130</v>
      </c>
      <c r="H526">
        <f t="shared" si="8"/>
        <v>1.1066028425460628E-3</v>
      </c>
    </row>
    <row r="527" spans="1:8" x14ac:dyDescent="0.25">
      <c r="A527" s="22">
        <v>42331</v>
      </c>
      <c r="B527">
        <v>54.25</v>
      </c>
      <c r="C527">
        <v>54.46</v>
      </c>
      <c r="D527">
        <v>53.75</v>
      </c>
      <c r="E527">
        <v>54.19</v>
      </c>
      <c r="F527">
        <v>27767280</v>
      </c>
      <c r="H527">
        <f t="shared" si="8"/>
        <v>0</v>
      </c>
    </row>
    <row r="528" spans="1:8" x14ac:dyDescent="0.25">
      <c r="A528" s="22">
        <v>42328</v>
      </c>
      <c r="B528">
        <v>54.25</v>
      </c>
      <c r="C528">
        <v>54.3</v>
      </c>
      <c r="D528">
        <v>53.26</v>
      </c>
      <c r="E528">
        <v>54.19</v>
      </c>
      <c r="F528">
        <v>37100507</v>
      </c>
      <c r="H528">
        <f t="shared" si="8"/>
        <v>4.6240718664390442E-3</v>
      </c>
    </row>
    <row r="529" spans="1:8" x14ac:dyDescent="0.25">
      <c r="A529" s="22">
        <v>42327</v>
      </c>
      <c r="B529">
        <v>53.99</v>
      </c>
      <c r="C529">
        <v>54.66</v>
      </c>
      <c r="D529">
        <v>53.78</v>
      </c>
      <c r="E529">
        <v>53.94</v>
      </c>
      <c r="F529">
        <v>28131212</v>
      </c>
      <c r="H529">
        <f t="shared" si="8"/>
        <v>1.6699141091862653E-3</v>
      </c>
    </row>
    <row r="530" spans="1:8" x14ac:dyDescent="0.25">
      <c r="A530" s="22">
        <v>42326</v>
      </c>
      <c r="B530">
        <v>53</v>
      </c>
      <c r="C530">
        <v>53.98</v>
      </c>
      <c r="D530">
        <v>52.98</v>
      </c>
      <c r="E530">
        <v>53.85</v>
      </c>
      <c r="F530">
        <v>28794418</v>
      </c>
      <c r="H530">
        <f t="shared" si="8"/>
        <v>1.6476688045962331E-2</v>
      </c>
    </row>
    <row r="531" spans="1:8" x14ac:dyDescent="0.25">
      <c r="A531" s="22">
        <v>42325</v>
      </c>
      <c r="B531">
        <v>53.17</v>
      </c>
      <c r="C531">
        <v>53.53</v>
      </c>
      <c r="D531">
        <v>52.85</v>
      </c>
      <c r="E531">
        <v>52.97</v>
      </c>
      <c r="F531">
        <v>31211644</v>
      </c>
      <c r="H531">
        <f t="shared" si="8"/>
        <v>-1.4803980658458782E-2</v>
      </c>
    </row>
    <row r="532" spans="1:8" x14ac:dyDescent="0.25">
      <c r="A532" s="22">
        <v>42324</v>
      </c>
      <c r="B532">
        <v>53.08</v>
      </c>
      <c r="C532">
        <v>53.89</v>
      </c>
      <c r="D532">
        <v>52.85</v>
      </c>
      <c r="E532">
        <v>53.76</v>
      </c>
      <c r="F532">
        <v>31610450</v>
      </c>
      <c r="H532">
        <f t="shared" si="8"/>
        <v>1.7261216560769371E-2</v>
      </c>
    </row>
    <row r="533" spans="1:8" x14ac:dyDescent="0.25">
      <c r="A533" s="22">
        <v>42321</v>
      </c>
      <c r="B533">
        <v>53.07</v>
      </c>
      <c r="C533">
        <v>53.29</v>
      </c>
      <c r="D533">
        <v>52.53</v>
      </c>
      <c r="E533">
        <v>52.84</v>
      </c>
      <c r="F533">
        <v>36399856</v>
      </c>
      <c r="H533">
        <f t="shared" si="8"/>
        <v>-9.0430156563832808E-3</v>
      </c>
    </row>
    <row r="534" spans="1:8" x14ac:dyDescent="0.25">
      <c r="A534" s="22">
        <v>42320</v>
      </c>
      <c r="B534">
        <v>53.48</v>
      </c>
      <c r="C534">
        <v>53.98</v>
      </c>
      <c r="D534">
        <v>53.19</v>
      </c>
      <c r="E534">
        <v>53.32</v>
      </c>
      <c r="F534">
        <v>34485469</v>
      </c>
      <c r="H534">
        <f t="shared" si="8"/>
        <v>-6.1699737661995374E-3</v>
      </c>
    </row>
    <row r="535" spans="1:8" x14ac:dyDescent="0.25">
      <c r="A535" s="22">
        <v>42319</v>
      </c>
      <c r="B535">
        <v>53.7</v>
      </c>
      <c r="C535">
        <v>54.2</v>
      </c>
      <c r="D535">
        <v>53.46</v>
      </c>
      <c r="E535">
        <v>53.65</v>
      </c>
      <c r="F535">
        <v>34004446</v>
      </c>
      <c r="H535">
        <f t="shared" si="8"/>
        <v>2.6129167534942946E-3</v>
      </c>
    </row>
    <row r="536" spans="1:8" x14ac:dyDescent="0.25">
      <c r="A536" s="22">
        <v>42318</v>
      </c>
      <c r="B536">
        <v>54.07</v>
      </c>
      <c r="C536">
        <v>54.13</v>
      </c>
      <c r="D536">
        <v>53.27</v>
      </c>
      <c r="E536">
        <v>53.51</v>
      </c>
      <c r="F536">
        <v>55020334</v>
      </c>
      <c r="H536">
        <f t="shared" si="8"/>
        <v>-1.2074076280806277E-2</v>
      </c>
    </row>
    <row r="537" spans="1:8" x14ac:dyDescent="0.25">
      <c r="A537" s="22">
        <v>42317</v>
      </c>
      <c r="B537">
        <v>54.55</v>
      </c>
      <c r="C537">
        <v>54.87</v>
      </c>
      <c r="D537">
        <v>53.56</v>
      </c>
      <c r="E537">
        <v>54.16</v>
      </c>
      <c r="F537">
        <v>32466376</v>
      </c>
      <c r="H537">
        <f t="shared" si="8"/>
        <v>-1.3934952295750876E-2</v>
      </c>
    </row>
    <row r="538" spans="1:8" x14ac:dyDescent="0.25">
      <c r="A538" s="22">
        <v>42314</v>
      </c>
      <c r="B538">
        <v>54.08</v>
      </c>
      <c r="C538">
        <v>54.98</v>
      </c>
      <c r="D538">
        <v>53.96</v>
      </c>
      <c r="E538">
        <v>54.92</v>
      </c>
      <c r="F538">
        <v>30488633</v>
      </c>
      <c r="H538">
        <f t="shared" si="8"/>
        <v>9.88114169544556E-3</v>
      </c>
    </row>
    <row r="539" spans="1:8" x14ac:dyDescent="0.25">
      <c r="A539" s="22">
        <v>42313</v>
      </c>
      <c r="B539">
        <v>54.49</v>
      </c>
      <c r="C539">
        <v>54.7</v>
      </c>
      <c r="D539">
        <v>54</v>
      </c>
      <c r="E539">
        <v>54.38</v>
      </c>
      <c r="F539">
        <v>30648155</v>
      </c>
      <c r="H539">
        <f t="shared" si="8"/>
        <v>-3.6771465757217634E-4</v>
      </c>
    </row>
    <row r="540" spans="1:8" x14ac:dyDescent="0.25">
      <c r="A540" s="22">
        <v>42312</v>
      </c>
      <c r="B540">
        <v>54.18</v>
      </c>
      <c r="C540">
        <v>54.88</v>
      </c>
      <c r="D540">
        <v>54.06</v>
      </c>
      <c r="E540">
        <v>54.4</v>
      </c>
      <c r="F540">
        <v>37020378</v>
      </c>
      <c r="H540">
        <f t="shared" si="8"/>
        <v>4.6061804148972811E-3</v>
      </c>
    </row>
    <row r="541" spans="1:8" x14ac:dyDescent="0.25">
      <c r="A541" s="22">
        <v>42311</v>
      </c>
      <c r="B541">
        <v>52.93</v>
      </c>
      <c r="C541">
        <v>54.39</v>
      </c>
      <c r="D541">
        <v>52.9</v>
      </c>
      <c r="E541">
        <v>54.15</v>
      </c>
      <c r="F541">
        <v>35842280</v>
      </c>
      <c r="H541">
        <f t="shared" si="8"/>
        <v>1.6947979920088743E-2</v>
      </c>
    </row>
    <row r="542" spans="1:8" x14ac:dyDescent="0.25">
      <c r="A542" s="22">
        <v>42310</v>
      </c>
      <c r="B542">
        <v>52.85</v>
      </c>
      <c r="C542">
        <v>53.36</v>
      </c>
      <c r="D542">
        <v>52.62</v>
      </c>
      <c r="E542">
        <v>53.24</v>
      </c>
      <c r="F542">
        <v>29946039</v>
      </c>
      <c r="H542">
        <f t="shared" si="8"/>
        <v>1.1333706509849212E-2</v>
      </c>
    </row>
    <row r="543" spans="1:8" x14ac:dyDescent="0.25">
      <c r="A543" t="s">
        <v>379</v>
      </c>
      <c r="B543">
        <v>53.32</v>
      </c>
      <c r="C543">
        <v>53.99</v>
      </c>
      <c r="D543">
        <v>52.62</v>
      </c>
      <c r="E543">
        <v>52.64</v>
      </c>
      <c r="F543">
        <v>46473085</v>
      </c>
      <c r="H543">
        <f t="shared" si="8"/>
        <v>-1.358511459030648E-2</v>
      </c>
    </row>
    <row r="544" spans="1:8" x14ac:dyDescent="0.25">
      <c r="A544" t="s">
        <v>380</v>
      </c>
      <c r="B544">
        <v>53.54</v>
      </c>
      <c r="C544">
        <v>53.83</v>
      </c>
      <c r="D544">
        <v>53.22</v>
      </c>
      <c r="E544">
        <v>53.36</v>
      </c>
      <c r="F544">
        <v>30036258</v>
      </c>
      <c r="H544">
        <f t="shared" si="8"/>
        <v>-1.1552205982490243E-2</v>
      </c>
    </row>
    <row r="545" spans="1:8" x14ac:dyDescent="0.25">
      <c r="A545" t="s">
        <v>381</v>
      </c>
      <c r="B545">
        <v>53.54</v>
      </c>
      <c r="C545">
        <v>53.98</v>
      </c>
      <c r="D545">
        <v>52.86</v>
      </c>
      <c r="E545">
        <v>53.98</v>
      </c>
      <c r="F545">
        <v>45353604</v>
      </c>
      <c r="H545">
        <f t="shared" si="8"/>
        <v>5.3868431553804937E-3</v>
      </c>
    </row>
    <row r="546" spans="1:8" x14ac:dyDescent="0.25">
      <c r="A546" t="s">
        <v>382</v>
      </c>
      <c r="B546">
        <v>53.99</v>
      </c>
      <c r="C546">
        <v>54.37</v>
      </c>
      <c r="D546">
        <v>53.58</v>
      </c>
      <c r="E546">
        <v>53.69</v>
      </c>
      <c r="F546">
        <v>48640174</v>
      </c>
      <c r="H546">
        <f t="shared" si="8"/>
        <v>-1.0376227986090858E-2</v>
      </c>
    </row>
    <row r="547" spans="1:8" x14ac:dyDescent="0.25">
      <c r="A547" t="s">
        <v>383</v>
      </c>
      <c r="B547">
        <v>52.53</v>
      </c>
      <c r="C547">
        <v>54.32</v>
      </c>
      <c r="D547">
        <v>52.5</v>
      </c>
      <c r="E547">
        <v>54.25</v>
      </c>
      <c r="F547">
        <v>63486782</v>
      </c>
      <c r="H547">
        <f t="shared" si="8"/>
        <v>2.5766922173210239E-2</v>
      </c>
    </row>
    <row r="548" spans="1:8" x14ac:dyDescent="0.25">
      <c r="A548" t="s">
        <v>384</v>
      </c>
      <c r="B548">
        <v>52.3</v>
      </c>
      <c r="C548">
        <v>54.07</v>
      </c>
      <c r="D548">
        <v>52.25</v>
      </c>
      <c r="E548">
        <v>52.87</v>
      </c>
      <c r="F548">
        <v>134828496</v>
      </c>
      <c r="H548">
        <f t="shared" si="8"/>
        <v>9.60102545706258E-2</v>
      </c>
    </row>
    <row r="549" spans="1:8" x14ac:dyDescent="0.25">
      <c r="A549" t="s">
        <v>385</v>
      </c>
      <c r="B549">
        <v>47.53</v>
      </c>
      <c r="C549">
        <v>48.95</v>
      </c>
      <c r="D549">
        <v>47.09</v>
      </c>
      <c r="E549">
        <v>48.03</v>
      </c>
      <c r="F549">
        <v>54435667</v>
      </c>
      <c r="H549">
        <f t="shared" si="8"/>
        <v>1.7431923085223303E-2</v>
      </c>
    </row>
    <row r="550" spans="1:8" x14ac:dyDescent="0.25">
      <c r="A550" t="s">
        <v>386</v>
      </c>
      <c r="B550">
        <v>47.92</v>
      </c>
      <c r="C550">
        <v>47.99</v>
      </c>
      <c r="D550">
        <v>47.11</v>
      </c>
      <c r="E550">
        <v>47.2</v>
      </c>
      <c r="F550">
        <v>25144337</v>
      </c>
      <c r="H550">
        <f t="shared" si="8"/>
        <v>-1.2003934810360843E-2</v>
      </c>
    </row>
    <row r="551" spans="1:8" x14ac:dyDescent="0.25">
      <c r="A551" t="s">
        <v>387</v>
      </c>
      <c r="B551">
        <v>47.44</v>
      </c>
      <c r="C551">
        <v>47.81</v>
      </c>
      <c r="D551">
        <v>47.02</v>
      </c>
      <c r="E551">
        <v>47.77</v>
      </c>
      <c r="F551">
        <v>30573983</v>
      </c>
      <c r="H551">
        <f t="shared" si="8"/>
        <v>3.1449863431537639E-3</v>
      </c>
    </row>
    <row r="552" spans="1:8" x14ac:dyDescent="0.25">
      <c r="A552" t="s">
        <v>388</v>
      </c>
      <c r="B552">
        <v>47.42</v>
      </c>
      <c r="C552">
        <v>47.88</v>
      </c>
      <c r="D552">
        <v>47.02</v>
      </c>
      <c r="E552">
        <v>47.62</v>
      </c>
      <c r="F552">
        <v>29106758</v>
      </c>
      <c r="H552">
        <f t="shared" si="8"/>
        <v>2.312625859886844E-3</v>
      </c>
    </row>
    <row r="553" spans="1:8" x14ac:dyDescent="0.25">
      <c r="A553" t="s">
        <v>389</v>
      </c>
      <c r="B553">
        <v>47.02</v>
      </c>
      <c r="C553">
        <v>47.54</v>
      </c>
      <c r="D553">
        <v>46.9</v>
      </c>
      <c r="E553">
        <v>47.51</v>
      </c>
      <c r="F553">
        <v>25779279</v>
      </c>
      <c r="H553">
        <f t="shared" si="8"/>
        <v>1.0579870162790845E-2</v>
      </c>
    </row>
    <row r="554" spans="1:8" x14ac:dyDescent="0.25">
      <c r="A554" t="s">
        <v>390</v>
      </c>
      <c r="B554">
        <v>47.01</v>
      </c>
      <c r="C554">
        <v>47.03</v>
      </c>
      <c r="D554">
        <v>46.53</v>
      </c>
      <c r="E554">
        <v>47.01</v>
      </c>
      <c r="F554">
        <v>27118898</v>
      </c>
      <c r="H554">
        <f t="shared" si="8"/>
        <v>7.044537617683793E-3</v>
      </c>
    </row>
    <row r="555" spans="1:8" x14ac:dyDescent="0.25">
      <c r="A555" t="s">
        <v>391</v>
      </c>
      <c r="B555">
        <v>46.65</v>
      </c>
      <c r="C555">
        <v>47.1</v>
      </c>
      <c r="D555">
        <v>46.53</v>
      </c>
      <c r="E555">
        <v>46.68</v>
      </c>
      <c r="F555">
        <v>24645420</v>
      </c>
      <c r="H555">
        <f t="shared" si="8"/>
        <v>-4.488625683139711E-3</v>
      </c>
    </row>
    <row r="556" spans="1:8" x14ac:dyDescent="0.25">
      <c r="A556" t="s">
        <v>392</v>
      </c>
      <c r="B556">
        <v>46.56</v>
      </c>
      <c r="C556">
        <v>47.13</v>
      </c>
      <c r="D556">
        <v>46.56</v>
      </c>
      <c r="E556">
        <v>46.89</v>
      </c>
      <c r="F556">
        <v>18937148</v>
      </c>
      <c r="H556">
        <f t="shared" si="8"/>
        <v>-2.3431686085636965E-3</v>
      </c>
    </row>
    <row r="557" spans="1:8" x14ac:dyDescent="0.25">
      <c r="A557" t="s">
        <v>393</v>
      </c>
      <c r="B557">
        <v>46.98</v>
      </c>
      <c r="C557">
        <v>47.07</v>
      </c>
      <c r="D557">
        <v>46.5</v>
      </c>
      <c r="E557">
        <v>47</v>
      </c>
      <c r="F557">
        <v>19734079</v>
      </c>
      <c r="H557">
        <f t="shared" si="8"/>
        <v>-2.3376910018911463E-3</v>
      </c>
    </row>
    <row r="558" spans="1:8" x14ac:dyDescent="0.25">
      <c r="A558" t="s">
        <v>394</v>
      </c>
      <c r="B558">
        <v>47.45</v>
      </c>
      <c r="C558">
        <v>47.54</v>
      </c>
      <c r="D558">
        <v>46.92</v>
      </c>
      <c r="E558">
        <v>47.11</v>
      </c>
      <c r="F558">
        <v>28397372</v>
      </c>
      <c r="H558">
        <f t="shared" si="8"/>
        <v>-7.1912323439872212E-3</v>
      </c>
    </row>
    <row r="559" spans="1:8" x14ac:dyDescent="0.25">
      <c r="A559" t="s">
        <v>395</v>
      </c>
      <c r="B559">
        <v>46.56</v>
      </c>
      <c r="C559">
        <v>47.52</v>
      </c>
      <c r="D559">
        <v>46.5</v>
      </c>
      <c r="E559">
        <v>47.45</v>
      </c>
      <c r="F559">
        <v>33679346</v>
      </c>
      <c r="H559">
        <f t="shared" si="8"/>
        <v>1.3793322132335988E-2</v>
      </c>
    </row>
    <row r="560" spans="1:8" x14ac:dyDescent="0.25">
      <c r="A560" t="s">
        <v>396</v>
      </c>
      <c r="B560">
        <v>47.1</v>
      </c>
      <c r="C560">
        <v>47.35</v>
      </c>
      <c r="D560">
        <v>45.95</v>
      </c>
      <c r="E560">
        <v>46.8</v>
      </c>
      <c r="F560">
        <v>27381389</v>
      </c>
      <c r="H560">
        <f t="shared" si="8"/>
        <v>1.0689471889049637E-3</v>
      </c>
    </row>
    <row r="561" spans="1:8" x14ac:dyDescent="0.25">
      <c r="A561" t="s">
        <v>397</v>
      </c>
      <c r="B561">
        <v>46.33</v>
      </c>
      <c r="C561">
        <v>47.18</v>
      </c>
      <c r="D561">
        <v>46.22</v>
      </c>
      <c r="E561">
        <v>46.75</v>
      </c>
      <c r="F561">
        <v>27017160</v>
      </c>
      <c r="H561">
        <f t="shared" si="8"/>
        <v>2.5701449144665614E-3</v>
      </c>
    </row>
    <row r="562" spans="1:8" x14ac:dyDescent="0.25">
      <c r="A562" t="s">
        <v>398</v>
      </c>
      <c r="B562">
        <v>45.74</v>
      </c>
      <c r="C562">
        <v>46.89</v>
      </c>
      <c r="D562">
        <v>45.7</v>
      </c>
      <c r="E562">
        <v>46.63</v>
      </c>
      <c r="F562">
        <v>33015524</v>
      </c>
      <c r="H562">
        <f t="shared" si="8"/>
        <v>2.2994505544438357E-2</v>
      </c>
    </row>
    <row r="563" spans="1:8" x14ac:dyDescent="0.25">
      <c r="A563" t="s">
        <v>399</v>
      </c>
      <c r="B563">
        <v>44.27</v>
      </c>
      <c r="C563">
        <v>45.57</v>
      </c>
      <c r="D563">
        <v>43.92</v>
      </c>
      <c r="E563">
        <v>45.57</v>
      </c>
      <c r="F563">
        <v>41571518</v>
      </c>
      <c r="H563">
        <f t="shared" si="8"/>
        <v>2.1291556135617829E-2</v>
      </c>
    </row>
    <row r="564" spans="1:8" x14ac:dyDescent="0.25">
      <c r="A564" t="s">
        <v>400</v>
      </c>
      <c r="B564">
        <v>44.75</v>
      </c>
      <c r="C564">
        <v>44.75</v>
      </c>
      <c r="D564">
        <v>43.75</v>
      </c>
      <c r="E564">
        <v>44.61</v>
      </c>
      <c r="F564">
        <v>28470381</v>
      </c>
      <c r="H564">
        <f t="shared" si="8"/>
        <v>7.8767145172697842E-3</v>
      </c>
    </row>
    <row r="565" spans="1:8" x14ac:dyDescent="0.25">
      <c r="A565" t="s">
        <v>401</v>
      </c>
      <c r="B565">
        <v>43.88</v>
      </c>
      <c r="C565">
        <v>44.3</v>
      </c>
      <c r="D565">
        <v>43.66</v>
      </c>
      <c r="E565">
        <v>44.26</v>
      </c>
      <c r="F565">
        <v>34589501</v>
      </c>
      <c r="H565">
        <f t="shared" si="8"/>
        <v>1.870065899722358E-2</v>
      </c>
    </row>
    <row r="566" spans="1:8" x14ac:dyDescent="0.25">
      <c r="A566" t="s">
        <v>402</v>
      </c>
      <c r="B566">
        <v>43.37</v>
      </c>
      <c r="C566">
        <v>43.57</v>
      </c>
      <c r="D566">
        <v>43.05</v>
      </c>
      <c r="E566">
        <v>43.44</v>
      </c>
      <c r="F566">
        <v>32653952</v>
      </c>
      <c r="H566">
        <f t="shared" si="8"/>
        <v>3.459014171790785E-3</v>
      </c>
    </row>
    <row r="567" spans="1:8" x14ac:dyDescent="0.25">
      <c r="A567" t="s">
        <v>403</v>
      </c>
      <c r="B567">
        <v>43.83</v>
      </c>
      <c r="C567">
        <v>44.08</v>
      </c>
      <c r="D567">
        <v>43.2</v>
      </c>
      <c r="E567">
        <v>43.29</v>
      </c>
      <c r="F567">
        <v>27219415</v>
      </c>
      <c r="H567">
        <f t="shared" si="8"/>
        <v>-1.4903405502574919E-2</v>
      </c>
    </row>
    <row r="568" spans="1:8" x14ac:dyDescent="0.25">
      <c r="A568" t="s">
        <v>404</v>
      </c>
      <c r="B568">
        <v>44.48</v>
      </c>
      <c r="C568">
        <v>44.73</v>
      </c>
      <c r="D568">
        <v>43.76</v>
      </c>
      <c r="E568">
        <v>43.94</v>
      </c>
      <c r="F568">
        <v>29177316</v>
      </c>
      <c r="H568">
        <f t="shared" si="8"/>
        <v>6.8298238283808345E-4</v>
      </c>
    </row>
    <row r="569" spans="1:8" x14ac:dyDescent="0.25">
      <c r="A569" t="s">
        <v>405</v>
      </c>
      <c r="B569">
        <v>43.45</v>
      </c>
      <c r="C569">
        <v>44.13</v>
      </c>
      <c r="D569">
        <v>43.27</v>
      </c>
      <c r="E569">
        <v>43.91</v>
      </c>
      <c r="F569">
        <v>27652655</v>
      </c>
      <c r="H569">
        <f t="shared" si="8"/>
        <v>9.1136939550343565E-4</v>
      </c>
    </row>
    <row r="570" spans="1:8" x14ac:dyDescent="0.25">
      <c r="A570" t="s">
        <v>406</v>
      </c>
      <c r="B570">
        <v>43.93</v>
      </c>
      <c r="C570">
        <v>44.17</v>
      </c>
      <c r="D570">
        <v>43.51</v>
      </c>
      <c r="E570">
        <v>43.87</v>
      </c>
      <c r="F570">
        <v>17057235</v>
      </c>
      <c r="H570">
        <f t="shared" si="8"/>
        <v>-6.8360490300304504E-4</v>
      </c>
    </row>
    <row r="571" spans="1:8" x14ac:dyDescent="0.25">
      <c r="A571" t="s">
        <v>407</v>
      </c>
      <c r="B571">
        <v>43.38</v>
      </c>
      <c r="C571">
        <v>44.05</v>
      </c>
      <c r="D571">
        <v>43.31</v>
      </c>
      <c r="E571">
        <v>43.9</v>
      </c>
      <c r="F571">
        <v>27824121</v>
      </c>
      <c r="H571">
        <f t="shared" si="8"/>
        <v>-4.7721940357226822E-3</v>
      </c>
    </row>
    <row r="572" spans="1:8" x14ac:dyDescent="0.25">
      <c r="A572" t="s">
        <v>408</v>
      </c>
      <c r="B572">
        <v>43.62</v>
      </c>
      <c r="C572">
        <v>44.47</v>
      </c>
      <c r="D572">
        <v>43.6</v>
      </c>
      <c r="E572">
        <v>44.11</v>
      </c>
      <c r="F572">
        <v>26075359</v>
      </c>
      <c r="H572">
        <f t="shared" si="8"/>
        <v>1.4385451863839724E-2</v>
      </c>
    </row>
    <row r="573" spans="1:8" x14ac:dyDescent="0.25">
      <c r="A573" t="s">
        <v>409</v>
      </c>
      <c r="B573">
        <v>43.5</v>
      </c>
      <c r="C573">
        <v>43.99</v>
      </c>
      <c r="D573">
        <v>43.33</v>
      </c>
      <c r="E573">
        <v>43.48</v>
      </c>
      <c r="F573">
        <v>62221607</v>
      </c>
      <c r="H573">
        <f t="shared" si="8"/>
        <v>-1.755430920092985E-2</v>
      </c>
    </row>
    <row r="574" spans="1:8" x14ac:dyDescent="0.25">
      <c r="A574" t="s">
        <v>410</v>
      </c>
      <c r="B574">
        <v>44.29</v>
      </c>
      <c r="C574">
        <v>45</v>
      </c>
      <c r="D574">
        <v>44.08</v>
      </c>
      <c r="E574">
        <v>44.25</v>
      </c>
      <c r="F574">
        <v>29817918</v>
      </c>
      <c r="H574">
        <f t="shared" si="8"/>
        <v>-1.129305597151414E-3</v>
      </c>
    </row>
    <row r="575" spans="1:8" x14ac:dyDescent="0.25">
      <c r="A575" t="s">
        <v>411</v>
      </c>
      <c r="B575">
        <v>43.97</v>
      </c>
      <c r="C575">
        <v>44.38</v>
      </c>
      <c r="D575">
        <v>43.84</v>
      </c>
      <c r="E575">
        <v>44.3</v>
      </c>
      <c r="F575">
        <v>23256716</v>
      </c>
      <c r="H575">
        <f t="shared" si="8"/>
        <v>7.2496919244748759E-3</v>
      </c>
    </row>
    <row r="576" spans="1:8" x14ac:dyDescent="0.25">
      <c r="A576" t="s">
        <v>412</v>
      </c>
      <c r="B576">
        <v>43.19</v>
      </c>
      <c r="C576">
        <v>44.29</v>
      </c>
      <c r="D576">
        <v>43.08</v>
      </c>
      <c r="E576">
        <v>43.98</v>
      </c>
      <c r="F576">
        <v>28662129</v>
      </c>
      <c r="H576">
        <f t="shared" si="8"/>
        <v>2.1605069273086013E-2</v>
      </c>
    </row>
    <row r="577" spans="1:8" x14ac:dyDescent="0.25">
      <c r="A577" t="s">
        <v>413</v>
      </c>
      <c r="B577">
        <v>43.43</v>
      </c>
      <c r="C577">
        <v>43.44</v>
      </c>
      <c r="D577">
        <v>42.86</v>
      </c>
      <c r="E577">
        <v>43.04</v>
      </c>
      <c r="F577">
        <v>23633284</v>
      </c>
      <c r="H577">
        <f t="shared" si="8"/>
        <v>-1.017114639947969E-2</v>
      </c>
    </row>
    <row r="578" spans="1:8" x14ac:dyDescent="0.25">
      <c r="A578" t="s">
        <v>414</v>
      </c>
      <c r="B578">
        <v>43.14</v>
      </c>
      <c r="C578">
        <v>43.59</v>
      </c>
      <c r="D578">
        <v>42.94</v>
      </c>
      <c r="E578">
        <v>43.48</v>
      </c>
      <c r="F578">
        <v>26184379</v>
      </c>
      <c r="H578">
        <f t="shared" si="8"/>
        <v>4.3794007991193578E-3</v>
      </c>
    </row>
    <row r="579" spans="1:8" x14ac:dyDescent="0.25">
      <c r="A579" t="s">
        <v>415</v>
      </c>
      <c r="B579">
        <v>43.12</v>
      </c>
      <c r="C579">
        <v>43.79</v>
      </c>
      <c r="D579">
        <v>42.74</v>
      </c>
      <c r="E579">
        <v>43.29</v>
      </c>
      <c r="F579">
        <v>31234165</v>
      </c>
      <c r="H579">
        <f t="shared" ref="H579:H642" si="9">IFERROR(LN(E579/E580),"")</f>
        <v>5.094962387869985E-3</v>
      </c>
    </row>
    <row r="580" spans="1:8" x14ac:dyDescent="0.25">
      <c r="A580" t="s">
        <v>416</v>
      </c>
      <c r="B580">
        <v>44.21</v>
      </c>
      <c r="C580">
        <v>44.4</v>
      </c>
      <c r="D580">
        <v>42.91</v>
      </c>
      <c r="E580">
        <v>43.07</v>
      </c>
      <c r="F580">
        <v>33318847</v>
      </c>
      <c r="H580">
        <f t="shared" si="9"/>
        <v>-1.8859804634123459E-2</v>
      </c>
    </row>
    <row r="581" spans="1:8" x14ac:dyDescent="0.25">
      <c r="A581" t="s">
        <v>417</v>
      </c>
      <c r="B581">
        <v>43.3</v>
      </c>
      <c r="C581">
        <v>44</v>
      </c>
      <c r="D581">
        <v>43.2</v>
      </c>
      <c r="E581">
        <v>43.89</v>
      </c>
      <c r="F581">
        <v>32204941</v>
      </c>
      <c r="H581">
        <f t="shared" si="9"/>
        <v>2.9597536188322011E-2</v>
      </c>
    </row>
    <row r="582" spans="1:8" x14ac:dyDescent="0.25">
      <c r="A582" t="s">
        <v>418</v>
      </c>
      <c r="B582">
        <v>42.81</v>
      </c>
      <c r="C582">
        <v>43.04</v>
      </c>
      <c r="D582">
        <v>42.2</v>
      </c>
      <c r="E582">
        <v>42.61</v>
      </c>
      <c r="F582">
        <v>36771788</v>
      </c>
      <c r="H582">
        <f t="shared" si="9"/>
        <v>-2.0671970582817702E-2</v>
      </c>
    </row>
    <row r="583" spans="1:8" x14ac:dyDescent="0.25">
      <c r="A583" t="s">
        <v>419</v>
      </c>
      <c r="B583">
        <v>43.41</v>
      </c>
      <c r="C583">
        <v>43.98</v>
      </c>
      <c r="D583">
        <v>43.28</v>
      </c>
      <c r="E583">
        <v>43.5</v>
      </c>
      <c r="F583">
        <v>28053165</v>
      </c>
      <c r="H583">
        <f t="shared" si="9"/>
        <v>3.2235809632477344E-3</v>
      </c>
    </row>
    <row r="584" spans="1:8" x14ac:dyDescent="0.25">
      <c r="A584" t="s">
        <v>420</v>
      </c>
      <c r="B584">
        <v>42.36</v>
      </c>
      <c r="C584">
        <v>43.38</v>
      </c>
      <c r="D584">
        <v>41.88</v>
      </c>
      <c r="E584">
        <v>43.36</v>
      </c>
      <c r="F584">
        <v>37490396</v>
      </c>
      <c r="H584">
        <f t="shared" si="9"/>
        <v>3.6162663130903286E-2</v>
      </c>
    </row>
    <row r="585" spans="1:8" x14ac:dyDescent="0.25">
      <c r="A585" t="s">
        <v>421</v>
      </c>
      <c r="B585">
        <v>42.17</v>
      </c>
      <c r="C585">
        <v>42.59</v>
      </c>
      <c r="D585">
        <v>41.66</v>
      </c>
      <c r="E585">
        <v>41.82</v>
      </c>
      <c r="F585">
        <v>49194736</v>
      </c>
      <c r="H585">
        <f t="shared" si="9"/>
        <v>-3.9845908547199785E-2</v>
      </c>
    </row>
    <row r="586" spans="1:8" x14ac:dyDescent="0.25">
      <c r="A586" t="s">
        <v>422</v>
      </c>
      <c r="B586">
        <v>43.56</v>
      </c>
      <c r="C586">
        <v>43.93</v>
      </c>
      <c r="D586">
        <v>43.1</v>
      </c>
      <c r="E586">
        <v>43.52</v>
      </c>
      <c r="F586">
        <v>34159135</v>
      </c>
      <c r="H586">
        <f t="shared" si="9"/>
        <v>-9.376855440000928E-3</v>
      </c>
    </row>
    <row r="587" spans="1:8" x14ac:dyDescent="0.25">
      <c r="A587" t="s">
        <v>423</v>
      </c>
      <c r="B587">
        <v>43.4</v>
      </c>
      <c r="C587">
        <v>44.15</v>
      </c>
      <c r="D587">
        <v>43.39</v>
      </c>
      <c r="E587">
        <v>43.93</v>
      </c>
      <c r="F587">
        <v>28104231</v>
      </c>
      <c r="H587">
        <f t="shared" si="9"/>
        <v>6.8313790656262879E-4</v>
      </c>
    </row>
    <row r="588" spans="1:8" x14ac:dyDescent="0.25">
      <c r="A588" t="s">
        <v>424</v>
      </c>
      <c r="B588">
        <v>43.23</v>
      </c>
      <c r="C588">
        <v>43.95</v>
      </c>
      <c r="D588">
        <v>42.92</v>
      </c>
      <c r="E588">
        <v>43.9</v>
      </c>
      <c r="F588">
        <v>50498307</v>
      </c>
      <c r="H588">
        <f t="shared" si="9"/>
        <v>2.748123522775045E-2</v>
      </c>
    </row>
    <row r="589" spans="1:8" x14ac:dyDescent="0.25">
      <c r="A589" t="s">
        <v>425</v>
      </c>
      <c r="B589">
        <v>42.01</v>
      </c>
      <c r="C589">
        <v>42.84</v>
      </c>
      <c r="D589">
        <v>41.06</v>
      </c>
      <c r="E589">
        <v>42.71</v>
      </c>
      <c r="F589">
        <v>63031299</v>
      </c>
      <c r="H589">
        <f t="shared" si="9"/>
        <v>5.3872125965600981E-2</v>
      </c>
    </row>
    <row r="590" spans="1:8" x14ac:dyDescent="0.25">
      <c r="A590" t="s">
        <v>426</v>
      </c>
      <c r="B590">
        <v>42.56</v>
      </c>
      <c r="C590">
        <v>43.24</v>
      </c>
      <c r="D590">
        <v>40.39</v>
      </c>
      <c r="E590">
        <v>40.47</v>
      </c>
      <c r="F590">
        <v>70239286</v>
      </c>
      <c r="H590">
        <f t="shared" si="9"/>
        <v>-2.9460438557337276E-2</v>
      </c>
    </row>
    <row r="591" spans="1:8" x14ac:dyDescent="0.25">
      <c r="A591" t="s">
        <v>427</v>
      </c>
      <c r="B591">
        <v>40.450000000000003</v>
      </c>
      <c r="C591">
        <v>43.31</v>
      </c>
      <c r="D591">
        <v>39.72</v>
      </c>
      <c r="E591">
        <v>41.68</v>
      </c>
      <c r="F591">
        <v>88049620</v>
      </c>
      <c r="H591">
        <f t="shared" si="9"/>
        <v>-3.2805301620907688E-2</v>
      </c>
    </row>
    <row r="592" spans="1:8" x14ac:dyDescent="0.25">
      <c r="A592" t="s">
        <v>428</v>
      </c>
      <c r="B592">
        <v>45.3</v>
      </c>
      <c r="C592">
        <v>45.48</v>
      </c>
      <c r="D592">
        <v>43.07</v>
      </c>
      <c r="E592">
        <v>43.07</v>
      </c>
      <c r="F592">
        <v>68835485</v>
      </c>
      <c r="H592">
        <f t="shared" si="9"/>
        <v>-5.8395942035630137E-2</v>
      </c>
    </row>
    <row r="593" spans="1:8" x14ac:dyDescent="0.25">
      <c r="A593" t="s">
        <v>429</v>
      </c>
      <c r="B593">
        <v>46.07</v>
      </c>
      <c r="C593">
        <v>46.47</v>
      </c>
      <c r="D593">
        <v>45.66</v>
      </c>
      <c r="E593">
        <v>45.66</v>
      </c>
      <c r="F593">
        <v>35671759</v>
      </c>
      <c r="H593">
        <f t="shared" si="9"/>
        <v>-2.0592469283000129E-2</v>
      </c>
    </row>
    <row r="594" spans="1:8" x14ac:dyDescent="0.25">
      <c r="A594" t="s">
        <v>430</v>
      </c>
      <c r="B594">
        <v>46.78</v>
      </c>
      <c r="C594">
        <v>47.08</v>
      </c>
      <c r="D594">
        <v>46.3</v>
      </c>
      <c r="E594">
        <v>46.61</v>
      </c>
      <c r="F594">
        <v>31485511</v>
      </c>
      <c r="H594">
        <f t="shared" si="9"/>
        <v>-1.4060734420495505E-2</v>
      </c>
    </row>
    <row r="595" spans="1:8" x14ac:dyDescent="0.25">
      <c r="A595" t="s">
        <v>431</v>
      </c>
      <c r="B595">
        <v>46.84</v>
      </c>
      <c r="C595">
        <v>47.43</v>
      </c>
      <c r="D595">
        <v>46.7</v>
      </c>
      <c r="E595">
        <v>47.27</v>
      </c>
      <c r="F595">
        <v>23574104</v>
      </c>
      <c r="H595">
        <f t="shared" si="9"/>
        <v>-1.057194305040937E-3</v>
      </c>
    </row>
    <row r="596" spans="1:8" x14ac:dyDescent="0.25">
      <c r="A596" t="s">
        <v>432</v>
      </c>
      <c r="B596">
        <v>46.81</v>
      </c>
      <c r="C596">
        <v>47.45</v>
      </c>
      <c r="D596">
        <v>46.57</v>
      </c>
      <c r="E596">
        <v>47.32</v>
      </c>
      <c r="F596">
        <v>21099746</v>
      </c>
      <c r="H596">
        <f t="shared" si="9"/>
        <v>6.7854374001273627E-3</v>
      </c>
    </row>
    <row r="597" spans="1:8" x14ac:dyDescent="0.25">
      <c r="A597" t="s">
        <v>433</v>
      </c>
      <c r="B597">
        <v>46.53</v>
      </c>
      <c r="C597">
        <v>47.1</v>
      </c>
      <c r="D597">
        <v>46.52</v>
      </c>
      <c r="E597">
        <v>47</v>
      </c>
      <c r="F597">
        <v>21473402</v>
      </c>
      <c r="H597">
        <f t="shared" si="9"/>
        <v>5.7612449977238354E-3</v>
      </c>
    </row>
    <row r="598" spans="1:8" x14ac:dyDescent="0.25">
      <c r="A598" t="s">
        <v>434</v>
      </c>
      <c r="B598">
        <v>47.06</v>
      </c>
      <c r="C598">
        <v>47.1</v>
      </c>
      <c r="D598">
        <v>46.49</v>
      </c>
      <c r="E598">
        <v>46.73</v>
      </c>
      <c r="F598">
        <v>22627241</v>
      </c>
      <c r="H598">
        <f t="shared" si="9"/>
        <v>-2.1397239837716241E-4</v>
      </c>
    </row>
    <row r="599" spans="1:8" x14ac:dyDescent="0.25">
      <c r="A599" t="s">
        <v>435</v>
      </c>
      <c r="B599">
        <v>46.19</v>
      </c>
      <c r="C599">
        <v>46.9</v>
      </c>
      <c r="D599">
        <v>45.7</v>
      </c>
      <c r="E599">
        <v>46.74</v>
      </c>
      <c r="F599">
        <v>30198532</v>
      </c>
      <c r="H599">
        <f t="shared" si="9"/>
        <v>7.0853758576276474E-3</v>
      </c>
    </row>
    <row r="600" spans="1:8" x14ac:dyDescent="0.25">
      <c r="A600" t="s">
        <v>436</v>
      </c>
      <c r="B600">
        <v>46.82</v>
      </c>
      <c r="C600">
        <v>46.94</v>
      </c>
      <c r="D600">
        <v>45.9</v>
      </c>
      <c r="E600">
        <v>46.41</v>
      </c>
      <c r="F600">
        <v>29237402</v>
      </c>
      <c r="H600">
        <f t="shared" si="9"/>
        <v>-1.9629390665072202E-2</v>
      </c>
    </row>
    <row r="601" spans="1:8" x14ac:dyDescent="0.25">
      <c r="A601" t="s">
        <v>437</v>
      </c>
      <c r="B601">
        <v>46.95</v>
      </c>
      <c r="C601">
        <v>47.49</v>
      </c>
      <c r="D601">
        <v>46.84</v>
      </c>
      <c r="E601">
        <v>47.33</v>
      </c>
      <c r="F601">
        <v>23079870</v>
      </c>
      <c r="H601">
        <f t="shared" si="9"/>
        <v>1.2544014807444647E-2</v>
      </c>
    </row>
    <row r="602" spans="1:8" x14ac:dyDescent="0.25">
      <c r="A602" t="s">
        <v>438</v>
      </c>
      <c r="B602">
        <v>46.39</v>
      </c>
      <c r="C602">
        <v>46.78</v>
      </c>
      <c r="D602">
        <v>46.26</v>
      </c>
      <c r="E602">
        <v>46.74</v>
      </c>
      <c r="F602">
        <v>19163038</v>
      </c>
      <c r="H602">
        <f t="shared" si="9"/>
        <v>2.5706955031008917E-3</v>
      </c>
    </row>
    <row r="603" spans="1:8" x14ac:dyDescent="0.25">
      <c r="A603" t="s">
        <v>439</v>
      </c>
      <c r="B603">
        <v>47.71</v>
      </c>
      <c r="C603">
        <v>47.77</v>
      </c>
      <c r="D603">
        <v>46.33</v>
      </c>
      <c r="E603">
        <v>46.62</v>
      </c>
      <c r="F603">
        <v>27368000</v>
      </c>
      <c r="H603">
        <f t="shared" si="9"/>
        <v>-2.0382871267200557E-2</v>
      </c>
    </row>
    <row r="604" spans="1:8" x14ac:dyDescent="0.25">
      <c r="A604" t="s">
        <v>440</v>
      </c>
      <c r="B604">
        <v>47.98</v>
      </c>
      <c r="C604">
        <v>48.41</v>
      </c>
      <c r="D604">
        <v>47.54</v>
      </c>
      <c r="E604">
        <v>47.58</v>
      </c>
      <c r="F604">
        <v>26959655</v>
      </c>
      <c r="H604">
        <f t="shared" si="9"/>
        <v>8.4104294276372219E-4</v>
      </c>
    </row>
    <row r="605" spans="1:8" x14ac:dyDescent="0.25">
      <c r="A605" t="s">
        <v>441</v>
      </c>
      <c r="B605">
        <v>46.75</v>
      </c>
      <c r="C605">
        <v>47.71</v>
      </c>
      <c r="D605">
        <v>46.68</v>
      </c>
      <c r="E605">
        <v>47.54</v>
      </c>
      <c r="F605">
        <v>33403916</v>
      </c>
      <c r="H605">
        <f t="shared" si="9"/>
        <v>1.547460662006866E-2</v>
      </c>
    </row>
    <row r="606" spans="1:8" x14ac:dyDescent="0.25">
      <c r="A606" t="s">
        <v>442</v>
      </c>
      <c r="B606">
        <v>46.98</v>
      </c>
      <c r="C606">
        <v>47</v>
      </c>
      <c r="D606">
        <v>46.45</v>
      </c>
      <c r="E606">
        <v>46.81</v>
      </c>
      <c r="F606">
        <v>24125886</v>
      </c>
      <c r="H606">
        <f t="shared" si="9"/>
        <v>2.3526906371275969E-3</v>
      </c>
    </row>
    <row r="607" spans="1:8" x14ac:dyDescent="0.25">
      <c r="A607" t="s">
        <v>443</v>
      </c>
      <c r="B607">
        <v>47.29</v>
      </c>
      <c r="C607">
        <v>47.37</v>
      </c>
      <c r="D607">
        <v>46.5</v>
      </c>
      <c r="E607">
        <v>46.7</v>
      </c>
      <c r="F607">
        <v>31201480</v>
      </c>
      <c r="H607">
        <f t="shared" si="9"/>
        <v>-3.8469805939055218E-3</v>
      </c>
    </row>
    <row r="608" spans="1:8" x14ac:dyDescent="0.25">
      <c r="A608" t="s">
        <v>444</v>
      </c>
      <c r="B608">
        <v>46.26</v>
      </c>
      <c r="C608">
        <v>47.4</v>
      </c>
      <c r="D608">
        <v>45.93</v>
      </c>
      <c r="E608">
        <v>46.88</v>
      </c>
      <c r="F608">
        <v>39777883</v>
      </c>
      <c r="H608">
        <f t="shared" si="9"/>
        <v>1.2665190225578091E-2</v>
      </c>
    </row>
    <row r="609" spans="1:8" x14ac:dyDescent="0.25">
      <c r="A609" t="s">
        <v>445</v>
      </c>
      <c r="B609">
        <v>45.4</v>
      </c>
      <c r="C609">
        <v>46.78</v>
      </c>
      <c r="D609">
        <v>45.26</v>
      </c>
      <c r="E609">
        <v>46.29</v>
      </c>
      <c r="F609">
        <v>40945864</v>
      </c>
      <c r="H609">
        <f t="shared" si="9"/>
        <v>2.0736309963796089E-2</v>
      </c>
    </row>
    <row r="610" spans="1:8" x14ac:dyDescent="0.25">
      <c r="A610" t="s">
        <v>446</v>
      </c>
      <c r="B610">
        <v>45.58</v>
      </c>
      <c r="C610">
        <v>45.64</v>
      </c>
      <c r="D610">
        <v>44.79</v>
      </c>
      <c r="E610">
        <v>45.34</v>
      </c>
      <c r="F610">
        <v>34328948</v>
      </c>
      <c r="H610">
        <f t="shared" si="9"/>
        <v>-2.2053148176268261E-4</v>
      </c>
    </row>
    <row r="611" spans="1:8" x14ac:dyDescent="0.25">
      <c r="A611" t="s">
        <v>447</v>
      </c>
      <c r="B611">
        <v>45.94</v>
      </c>
      <c r="C611">
        <v>46.01</v>
      </c>
      <c r="D611">
        <v>45.25</v>
      </c>
      <c r="E611">
        <v>45.35</v>
      </c>
      <c r="F611">
        <v>39701420</v>
      </c>
      <c r="H611">
        <f t="shared" si="9"/>
        <v>-1.292602069980653E-2</v>
      </c>
    </row>
    <row r="612" spans="1:8" x14ac:dyDescent="0.25">
      <c r="A612" t="s">
        <v>448</v>
      </c>
      <c r="B612">
        <v>45.91</v>
      </c>
      <c r="C612">
        <v>46.32</v>
      </c>
      <c r="D612">
        <v>45.8</v>
      </c>
      <c r="E612">
        <v>45.94</v>
      </c>
      <c r="F612">
        <v>32333244</v>
      </c>
      <c r="H612">
        <f t="shared" si="9"/>
        <v>-3.6936489576620533E-3</v>
      </c>
    </row>
    <row r="613" spans="1:8" x14ac:dyDescent="0.25">
      <c r="A613" t="s">
        <v>449</v>
      </c>
      <c r="B613">
        <v>45.27</v>
      </c>
      <c r="C613">
        <v>46.23</v>
      </c>
      <c r="D613">
        <v>45.1</v>
      </c>
      <c r="E613">
        <v>46.11</v>
      </c>
      <c r="F613">
        <v>33934010</v>
      </c>
      <c r="H613">
        <f t="shared" si="9"/>
        <v>1.24387855830207E-2</v>
      </c>
    </row>
    <row r="614" spans="1:8" x14ac:dyDescent="0.25">
      <c r="A614" t="s">
        <v>450</v>
      </c>
      <c r="B614">
        <v>45.44</v>
      </c>
      <c r="C614">
        <v>46.93</v>
      </c>
      <c r="D614">
        <v>45.2</v>
      </c>
      <c r="E614">
        <v>45.54</v>
      </c>
      <c r="F614">
        <v>59152427</v>
      </c>
      <c r="H614">
        <f t="shared" si="9"/>
        <v>-3.7496312462249229E-2</v>
      </c>
    </row>
    <row r="615" spans="1:8" x14ac:dyDescent="0.25">
      <c r="A615" t="s">
        <v>451</v>
      </c>
      <c r="B615">
        <v>46.78</v>
      </c>
      <c r="C615">
        <v>47.33</v>
      </c>
      <c r="D615">
        <v>46.48</v>
      </c>
      <c r="E615">
        <v>47.28</v>
      </c>
      <c r="F615">
        <v>42781899</v>
      </c>
      <c r="H615">
        <f t="shared" si="9"/>
        <v>7.6433493125680659E-3</v>
      </c>
    </row>
    <row r="616" spans="1:8" x14ac:dyDescent="0.25">
      <c r="A616" t="s">
        <v>452</v>
      </c>
      <c r="B616">
        <v>46.65</v>
      </c>
      <c r="C616">
        <v>47.13</v>
      </c>
      <c r="D616">
        <v>46.44</v>
      </c>
      <c r="E616">
        <v>46.92</v>
      </c>
      <c r="F616">
        <v>30631905</v>
      </c>
      <c r="H616">
        <f t="shared" si="9"/>
        <v>6.4143901776637004E-3</v>
      </c>
    </row>
    <row r="617" spans="1:8" x14ac:dyDescent="0.25">
      <c r="A617" t="s">
        <v>453</v>
      </c>
      <c r="B617">
        <v>46.55</v>
      </c>
      <c r="C617">
        <v>46.78</v>
      </c>
      <c r="D617">
        <v>46.26</v>
      </c>
      <c r="E617">
        <v>46.62</v>
      </c>
      <c r="F617">
        <v>29467107</v>
      </c>
      <c r="H617">
        <f t="shared" si="9"/>
        <v>-8.5763298567280552E-4</v>
      </c>
    </row>
    <row r="618" spans="1:8" x14ac:dyDescent="0.25">
      <c r="A618" t="s">
        <v>454</v>
      </c>
      <c r="B618">
        <v>46.01</v>
      </c>
      <c r="C618">
        <v>46.69</v>
      </c>
      <c r="D618">
        <v>45.96</v>
      </c>
      <c r="E618">
        <v>46.66</v>
      </c>
      <c r="F618">
        <v>26271673</v>
      </c>
      <c r="H618">
        <f t="shared" si="9"/>
        <v>1.9476919521741364E-2</v>
      </c>
    </row>
    <row r="619" spans="1:8" x14ac:dyDescent="0.25">
      <c r="A619" t="s">
        <v>455</v>
      </c>
      <c r="B619">
        <v>45.68</v>
      </c>
      <c r="C619">
        <v>45.89</v>
      </c>
      <c r="D619">
        <v>45.43</v>
      </c>
      <c r="E619">
        <v>45.76</v>
      </c>
      <c r="F619">
        <v>26629615</v>
      </c>
      <c r="H619">
        <f t="shared" si="9"/>
        <v>3.0641302153004758E-3</v>
      </c>
    </row>
    <row r="620" spans="1:8" x14ac:dyDescent="0.25">
      <c r="A620" t="s">
        <v>456</v>
      </c>
      <c r="B620">
        <v>45.45</v>
      </c>
      <c r="C620">
        <v>45.96</v>
      </c>
      <c r="D620">
        <v>45.31</v>
      </c>
      <c r="E620">
        <v>45.62</v>
      </c>
      <c r="F620">
        <v>22880260</v>
      </c>
      <c r="H620">
        <f t="shared" si="9"/>
        <v>1.7551562206482799E-3</v>
      </c>
    </row>
    <row r="621" spans="1:8" x14ac:dyDescent="0.25">
      <c r="A621" t="s">
        <v>457</v>
      </c>
      <c r="B621">
        <v>44.98</v>
      </c>
      <c r="C621">
        <v>45.62</v>
      </c>
      <c r="D621">
        <v>44.95</v>
      </c>
      <c r="E621">
        <v>45.54</v>
      </c>
      <c r="F621">
        <v>28178329</v>
      </c>
      <c r="H621">
        <f t="shared" si="9"/>
        <v>2.063301149542008E-2</v>
      </c>
    </row>
    <row r="622" spans="1:8" x14ac:dyDescent="0.25">
      <c r="A622" t="s">
        <v>458</v>
      </c>
      <c r="B622">
        <v>45.01</v>
      </c>
      <c r="C622">
        <v>45.14</v>
      </c>
      <c r="D622">
        <v>44.57</v>
      </c>
      <c r="E622">
        <v>44.61</v>
      </c>
      <c r="F622">
        <v>25465757</v>
      </c>
      <c r="H622">
        <f t="shared" si="9"/>
        <v>2.019522732829212E-3</v>
      </c>
    </row>
    <row r="623" spans="1:8" x14ac:dyDescent="0.25">
      <c r="A623" t="s">
        <v>459</v>
      </c>
      <c r="B623">
        <v>44.75</v>
      </c>
      <c r="C623">
        <v>45.22</v>
      </c>
      <c r="D623">
        <v>44.5</v>
      </c>
      <c r="E623">
        <v>44.52</v>
      </c>
      <c r="F623">
        <v>32424672</v>
      </c>
      <c r="H623">
        <f t="shared" si="9"/>
        <v>6.3091691932647556E-3</v>
      </c>
    </row>
    <row r="624" spans="1:8" x14ac:dyDescent="0.25">
      <c r="A624" t="s">
        <v>460</v>
      </c>
      <c r="B624">
        <v>44.44</v>
      </c>
      <c r="C624">
        <v>44.9</v>
      </c>
      <c r="D624">
        <v>44.03</v>
      </c>
      <c r="E624">
        <v>44.24</v>
      </c>
      <c r="F624">
        <v>39785901</v>
      </c>
      <c r="H624">
        <f t="shared" si="9"/>
        <v>-1.3553198370105078E-3</v>
      </c>
    </row>
    <row r="625" spans="1:8" x14ac:dyDescent="0.25">
      <c r="A625" t="s">
        <v>461</v>
      </c>
      <c r="B625">
        <v>44.34</v>
      </c>
      <c r="C625">
        <v>44.49</v>
      </c>
      <c r="D625">
        <v>43.32</v>
      </c>
      <c r="E625">
        <v>44.3</v>
      </c>
      <c r="F625">
        <v>36435827</v>
      </c>
      <c r="H625">
        <f t="shared" si="9"/>
        <v>-2.0295417948539667E-3</v>
      </c>
    </row>
    <row r="626" spans="1:8" x14ac:dyDescent="0.25">
      <c r="A626" t="s">
        <v>462</v>
      </c>
      <c r="B626">
        <v>43.96</v>
      </c>
      <c r="C626">
        <v>44.48</v>
      </c>
      <c r="D626">
        <v>43.95</v>
      </c>
      <c r="E626">
        <v>44.39</v>
      </c>
      <c r="F626">
        <v>23033961</v>
      </c>
      <c r="H626">
        <f t="shared" si="9"/>
        <v>-2.2525059223513813E-4</v>
      </c>
    </row>
    <row r="627" spans="1:8" x14ac:dyDescent="0.25">
      <c r="A627" t="s">
        <v>463</v>
      </c>
      <c r="B627">
        <v>44.48</v>
      </c>
      <c r="C627">
        <v>44.75</v>
      </c>
      <c r="D627">
        <v>44.06</v>
      </c>
      <c r="E627">
        <v>44.4</v>
      </c>
      <c r="F627">
        <v>21752013</v>
      </c>
      <c r="H627">
        <f t="shared" si="9"/>
        <v>-9.0049533325020626E-4</v>
      </c>
    </row>
    <row r="628" spans="1:8" x14ac:dyDescent="0.25">
      <c r="A628" t="s">
        <v>464</v>
      </c>
      <c r="B628">
        <v>44.46</v>
      </c>
      <c r="C628">
        <v>45.23</v>
      </c>
      <c r="D628">
        <v>44.1</v>
      </c>
      <c r="E628">
        <v>44.44</v>
      </c>
      <c r="F628">
        <v>28343907</v>
      </c>
      <c r="H628">
        <f t="shared" si="9"/>
        <v>6.5470377214601437E-3</v>
      </c>
    </row>
    <row r="629" spans="1:8" x14ac:dyDescent="0.25">
      <c r="A629" t="s">
        <v>465</v>
      </c>
      <c r="B629">
        <v>44.71</v>
      </c>
      <c r="C629">
        <v>44.72</v>
      </c>
      <c r="D629">
        <v>43.94</v>
      </c>
      <c r="E629">
        <v>44.15</v>
      </c>
      <c r="F629">
        <v>35945384</v>
      </c>
      <c r="H629">
        <f t="shared" si="9"/>
        <v>-4.9706383408491114E-3</v>
      </c>
    </row>
    <row r="630" spans="1:8" x14ac:dyDescent="0.25">
      <c r="A630" t="s">
        <v>466</v>
      </c>
      <c r="B630">
        <v>45.04</v>
      </c>
      <c r="C630">
        <v>45.23</v>
      </c>
      <c r="D630">
        <v>44.36</v>
      </c>
      <c r="E630">
        <v>44.37</v>
      </c>
      <c r="F630">
        <v>34081746</v>
      </c>
      <c r="H630">
        <f t="shared" si="9"/>
        <v>-1.9860074814573192E-2</v>
      </c>
    </row>
    <row r="631" spans="1:8" x14ac:dyDescent="0.25">
      <c r="A631" t="s">
        <v>467</v>
      </c>
      <c r="B631">
        <v>45.65</v>
      </c>
      <c r="C631">
        <v>46.28</v>
      </c>
      <c r="D631">
        <v>45.03</v>
      </c>
      <c r="E631">
        <v>45.26</v>
      </c>
      <c r="F631">
        <v>49835287</v>
      </c>
      <c r="H631">
        <f t="shared" si="9"/>
        <v>-8.5799668355862006E-3</v>
      </c>
    </row>
    <row r="632" spans="1:8" x14ac:dyDescent="0.25">
      <c r="A632" t="s">
        <v>468</v>
      </c>
      <c r="B632">
        <v>46.03</v>
      </c>
      <c r="C632">
        <v>46.06</v>
      </c>
      <c r="D632">
        <v>45.5</v>
      </c>
      <c r="E632">
        <v>45.65</v>
      </c>
      <c r="F632">
        <v>20615995</v>
      </c>
      <c r="H632">
        <f t="shared" si="9"/>
        <v>2.1908204710256702E-4</v>
      </c>
    </row>
    <row r="633" spans="1:8" x14ac:dyDescent="0.25">
      <c r="A633" t="s">
        <v>469</v>
      </c>
      <c r="B633">
        <v>45.67</v>
      </c>
      <c r="C633">
        <v>46.24</v>
      </c>
      <c r="D633">
        <v>45.55</v>
      </c>
      <c r="E633">
        <v>45.64</v>
      </c>
      <c r="F633">
        <v>34890901</v>
      </c>
      <c r="H633">
        <f t="shared" si="9"/>
        <v>-5.8984332672556801E-3</v>
      </c>
    </row>
    <row r="634" spans="1:8" x14ac:dyDescent="0.25">
      <c r="A634" t="s">
        <v>470</v>
      </c>
      <c r="B634">
        <v>46.13</v>
      </c>
      <c r="C634">
        <v>46.28</v>
      </c>
      <c r="D634">
        <v>45.62</v>
      </c>
      <c r="E634">
        <v>45.91</v>
      </c>
      <c r="F634">
        <v>25896473</v>
      </c>
      <c r="H634">
        <f t="shared" si="9"/>
        <v>-6.9459797390033868E-3</v>
      </c>
    </row>
    <row r="635" spans="1:8" x14ac:dyDescent="0.25">
      <c r="A635" t="s">
        <v>471</v>
      </c>
      <c r="B635">
        <v>46.33</v>
      </c>
      <c r="C635">
        <v>46.72</v>
      </c>
      <c r="D635">
        <v>46.16</v>
      </c>
      <c r="E635">
        <v>46.23</v>
      </c>
      <c r="F635">
        <v>20318055</v>
      </c>
      <c r="H635">
        <f t="shared" si="9"/>
        <v>2.8159879975312337E-3</v>
      </c>
    </row>
    <row r="636" spans="1:8" x14ac:dyDescent="0.25">
      <c r="A636" t="s">
        <v>472</v>
      </c>
      <c r="B636">
        <v>46.79</v>
      </c>
      <c r="C636">
        <v>46.82</v>
      </c>
      <c r="D636">
        <v>45.99</v>
      </c>
      <c r="E636">
        <v>46.1</v>
      </c>
      <c r="F636">
        <v>63837036</v>
      </c>
      <c r="H636">
        <f t="shared" si="9"/>
        <v>-1.3359388517368738E-2</v>
      </c>
    </row>
    <row r="637" spans="1:8" x14ac:dyDescent="0.25">
      <c r="A637" t="s">
        <v>473</v>
      </c>
      <c r="B637">
        <v>46.22</v>
      </c>
      <c r="C637">
        <v>46.8</v>
      </c>
      <c r="D637">
        <v>46.17</v>
      </c>
      <c r="E637">
        <v>46.72</v>
      </c>
      <c r="F637">
        <v>32658343</v>
      </c>
      <c r="H637">
        <f t="shared" si="9"/>
        <v>1.618332870183499E-2</v>
      </c>
    </row>
    <row r="638" spans="1:8" x14ac:dyDescent="0.25">
      <c r="A638" t="s">
        <v>474</v>
      </c>
      <c r="B638">
        <v>45.73</v>
      </c>
      <c r="C638">
        <v>46.07</v>
      </c>
      <c r="D638">
        <v>45.36</v>
      </c>
      <c r="E638">
        <v>45.97</v>
      </c>
      <c r="F638">
        <v>28704061</v>
      </c>
      <c r="H638">
        <f t="shared" si="9"/>
        <v>3.0501112971039182E-3</v>
      </c>
    </row>
    <row r="639" spans="1:8" x14ac:dyDescent="0.25">
      <c r="A639" t="s">
        <v>475</v>
      </c>
      <c r="B639">
        <v>45.35</v>
      </c>
      <c r="C639">
        <v>46.24</v>
      </c>
      <c r="D639">
        <v>45.3</v>
      </c>
      <c r="E639">
        <v>45.83</v>
      </c>
      <c r="F639">
        <v>27070306</v>
      </c>
      <c r="H639">
        <f t="shared" si="9"/>
        <v>7.6662296386973694E-3</v>
      </c>
    </row>
    <row r="640" spans="1:8" x14ac:dyDescent="0.25">
      <c r="A640" t="s">
        <v>476</v>
      </c>
      <c r="B640">
        <v>45.45</v>
      </c>
      <c r="C640">
        <v>45.65</v>
      </c>
      <c r="D640">
        <v>45.02</v>
      </c>
      <c r="E640">
        <v>45.48</v>
      </c>
      <c r="F640">
        <v>33254517</v>
      </c>
      <c r="H640">
        <f t="shared" si="9"/>
        <v>-1.0716340935801323E-2</v>
      </c>
    </row>
    <row r="641" spans="1:8" x14ac:dyDescent="0.25">
      <c r="A641" t="s">
        <v>477</v>
      </c>
      <c r="B641">
        <v>46.22</v>
      </c>
      <c r="C641">
        <v>46.47</v>
      </c>
      <c r="D641">
        <v>45.9</v>
      </c>
      <c r="E641">
        <v>45.97</v>
      </c>
      <c r="F641">
        <v>23930972</v>
      </c>
      <c r="H641">
        <f t="shared" si="9"/>
        <v>-1.0172147011554116E-2</v>
      </c>
    </row>
    <row r="642" spans="1:8" x14ac:dyDescent="0.25">
      <c r="A642" t="s">
        <v>478</v>
      </c>
      <c r="B642">
        <v>46.66</v>
      </c>
      <c r="C642">
        <v>46.92</v>
      </c>
      <c r="D642">
        <v>46.13</v>
      </c>
      <c r="E642">
        <v>46.44</v>
      </c>
      <c r="F642">
        <v>27347758</v>
      </c>
      <c r="H642">
        <f t="shared" si="9"/>
        <v>-3.6539535549588212E-3</v>
      </c>
    </row>
    <row r="643" spans="1:8" x14ac:dyDescent="0.25">
      <c r="A643" t="s">
        <v>479</v>
      </c>
      <c r="B643">
        <v>45.79</v>
      </c>
      <c r="C643">
        <v>46.83</v>
      </c>
      <c r="D643">
        <v>45.69</v>
      </c>
      <c r="E643">
        <v>46.61</v>
      </c>
      <c r="F643">
        <v>28417405</v>
      </c>
      <c r="H643">
        <f t="shared" ref="H643:H706" si="10">IFERROR(LN(E643/E644),"")</f>
        <v>2.0811503343672086E-2</v>
      </c>
    </row>
    <row r="644" spans="1:8" x14ac:dyDescent="0.25">
      <c r="A644" t="s">
        <v>480</v>
      </c>
      <c r="B644">
        <v>45.76</v>
      </c>
      <c r="C644">
        <v>45.94</v>
      </c>
      <c r="D644">
        <v>45.46</v>
      </c>
      <c r="E644">
        <v>45.65</v>
      </c>
      <c r="F644">
        <v>24406057</v>
      </c>
      <c r="H644">
        <f t="shared" si="10"/>
        <v>-1.7509306289862649E-3</v>
      </c>
    </row>
    <row r="645" spans="1:8" x14ac:dyDescent="0.25">
      <c r="A645" t="s">
        <v>481</v>
      </c>
      <c r="B645">
        <v>46.3</v>
      </c>
      <c r="C645">
        <v>46.43</v>
      </c>
      <c r="D645">
        <v>45.67</v>
      </c>
      <c r="E645">
        <v>45.73</v>
      </c>
      <c r="F645">
        <v>22121634</v>
      </c>
      <c r="H645">
        <f t="shared" si="10"/>
        <v>-8.9257150756438426E-3</v>
      </c>
    </row>
    <row r="646" spans="1:8" x14ac:dyDescent="0.25">
      <c r="A646" t="s">
        <v>482</v>
      </c>
      <c r="B646">
        <v>46.31</v>
      </c>
      <c r="C646">
        <v>46.52</v>
      </c>
      <c r="D646">
        <v>45.84</v>
      </c>
      <c r="E646">
        <v>46.14</v>
      </c>
      <c r="F646">
        <v>25438086</v>
      </c>
      <c r="H646">
        <f t="shared" si="10"/>
        <v>-4.7567657259433632E-3</v>
      </c>
    </row>
    <row r="647" spans="1:8" x14ac:dyDescent="0.25">
      <c r="A647" t="s">
        <v>483</v>
      </c>
      <c r="B647">
        <v>46.79</v>
      </c>
      <c r="C647">
        <v>47.16</v>
      </c>
      <c r="D647">
        <v>46.2</v>
      </c>
      <c r="E647">
        <v>46.36</v>
      </c>
      <c r="F647">
        <v>27745512</v>
      </c>
      <c r="H647">
        <f t="shared" si="10"/>
        <v>-1.0513990212880332E-2</v>
      </c>
    </row>
    <row r="648" spans="1:8" x14ac:dyDescent="0.25">
      <c r="A648" t="s">
        <v>484</v>
      </c>
      <c r="B648">
        <v>47.37</v>
      </c>
      <c r="C648">
        <v>47.74</v>
      </c>
      <c r="D648">
        <v>46.82</v>
      </c>
      <c r="E648">
        <v>46.85</v>
      </c>
      <c r="F648">
        <v>28002154</v>
      </c>
      <c r="H648">
        <f t="shared" si="10"/>
        <v>-1.4930151008434797E-3</v>
      </c>
    </row>
    <row r="649" spans="1:8" x14ac:dyDescent="0.25">
      <c r="A649" t="s">
        <v>485</v>
      </c>
      <c r="B649">
        <v>46.93</v>
      </c>
      <c r="C649">
        <v>47.35</v>
      </c>
      <c r="D649">
        <v>46.62</v>
      </c>
      <c r="E649">
        <v>46.92</v>
      </c>
      <c r="F649">
        <v>21498326</v>
      </c>
      <c r="H649">
        <f t="shared" si="10"/>
        <v>-6.5852601227509031E-3</v>
      </c>
    </row>
    <row r="650" spans="1:8" x14ac:dyDescent="0.25">
      <c r="A650" t="s">
        <v>486</v>
      </c>
      <c r="B650">
        <v>47.06</v>
      </c>
      <c r="C650">
        <v>47.77</v>
      </c>
      <c r="D650">
        <v>46.62</v>
      </c>
      <c r="E650">
        <v>47.23</v>
      </c>
      <c r="F650">
        <v>28837332</v>
      </c>
      <c r="H650">
        <f t="shared" si="10"/>
        <v>7.8648508283760098E-3</v>
      </c>
    </row>
    <row r="651" spans="1:8" x14ac:dyDescent="0.25">
      <c r="A651" t="s">
        <v>487</v>
      </c>
      <c r="B651">
        <v>47.43</v>
      </c>
      <c r="C651">
        <v>47.57</v>
      </c>
      <c r="D651">
        <v>46.59</v>
      </c>
      <c r="E651">
        <v>46.86</v>
      </c>
      <c r="F651">
        <v>36519594</v>
      </c>
      <c r="H651">
        <f t="shared" si="10"/>
        <v>-1.25120919762873E-2</v>
      </c>
    </row>
    <row r="652" spans="1:8" x14ac:dyDescent="0.25">
      <c r="A652" t="s">
        <v>488</v>
      </c>
      <c r="B652">
        <v>47.5</v>
      </c>
      <c r="C652">
        <v>48.02</v>
      </c>
      <c r="D652">
        <v>47.39</v>
      </c>
      <c r="E652">
        <v>47.45</v>
      </c>
      <c r="F652">
        <v>19283666</v>
      </c>
      <c r="H652">
        <f t="shared" si="10"/>
        <v>-3.3662981504904333E-3</v>
      </c>
    </row>
    <row r="653" spans="1:8" x14ac:dyDescent="0.25">
      <c r="A653" t="s">
        <v>489</v>
      </c>
      <c r="B653">
        <v>46.82</v>
      </c>
      <c r="C653">
        <v>47.77</v>
      </c>
      <c r="D653">
        <v>46.62</v>
      </c>
      <c r="E653">
        <v>47.61</v>
      </c>
      <c r="F653">
        <v>27335639</v>
      </c>
      <c r="H653">
        <f t="shared" si="10"/>
        <v>2.1656897377721938E-2</v>
      </c>
    </row>
    <row r="654" spans="1:8" x14ac:dyDescent="0.25">
      <c r="A654" t="s">
        <v>490</v>
      </c>
      <c r="B654">
        <v>46.83</v>
      </c>
      <c r="C654">
        <v>46.88</v>
      </c>
      <c r="D654">
        <v>46.19</v>
      </c>
      <c r="E654">
        <v>46.59</v>
      </c>
      <c r="F654">
        <v>29581860</v>
      </c>
      <c r="H654">
        <f t="shared" si="10"/>
        <v>-6.6317496235282205E-3</v>
      </c>
    </row>
    <row r="655" spans="1:8" x14ac:dyDescent="0.25">
      <c r="A655" t="s">
        <v>491</v>
      </c>
      <c r="B655">
        <v>47.3</v>
      </c>
      <c r="C655">
        <v>47.35</v>
      </c>
      <c r="D655">
        <v>46.82</v>
      </c>
      <c r="E655">
        <v>46.9</v>
      </c>
      <c r="F655">
        <v>25720583</v>
      </c>
      <c r="H655">
        <f t="shared" si="10"/>
        <v>-1.1026405185025812E-2</v>
      </c>
    </row>
    <row r="656" spans="1:8" x14ac:dyDescent="0.25">
      <c r="A656" t="s">
        <v>492</v>
      </c>
      <c r="B656">
        <v>47.28</v>
      </c>
      <c r="C656">
        <v>47.6</v>
      </c>
      <c r="D656">
        <v>47</v>
      </c>
      <c r="E656">
        <v>47.42</v>
      </c>
      <c r="F656">
        <v>22410698</v>
      </c>
      <c r="H656">
        <f t="shared" si="10"/>
        <v>-3.3684242375521057E-3</v>
      </c>
    </row>
    <row r="657" spans="1:8" x14ac:dyDescent="0.25">
      <c r="A657" t="s">
        <v>493</v>
      </c>
      <c r="B657">
        <v>47.39</v>
      </c>
      <c r="C657">
        <v>47.93</v>
      </c>
      <c r="D657">
        <v>47.27</v>
      </c>
      <c r="E657">
        <v>47.58</v>
      </c>
      <c r="F657">
        <v>25047919</v>
      </c>
      <c r="H657">
        <f t="shared" si="10"/>
        <v>0</v>
      </c>
    </row>
    <row r="658" spans="1:8" x14ac:dyDescent="0.25">
      <c r="A658" t="s">
        <v>494</v>
      </c>
      <c r="B658">
        <v>47.56</v>
      </c>
      <c r="C658">
        <v>47.81</v>
      </c>
      <c r="D658">
        <v>47.18</v>
      </c>
      <c r="E658">
        <v>47.58</v>
      </c>
      <c r="F658">
        <v>28574813</v>
      </c>
      <c r="H658">
        <f t="shared" si="10"/>
        <v>-8.9968176680373709E-3</v>
      </c>
    </row>
    <row r="659" spans="1:8" x14ac:dyDescent="0.25">
      <c r="A659" t="s">
        <v>495</v>
      </c>
      <c r="B659">
        <v>47.98</v>
      </c>
      <c r="C659">
        <v>48.22</v>
      </c>
      <c r="D659">
        <v>47.61</v>
      </c>
      <c r="E659">
        <v>48.01</v>
      </c>
      <c r="F659">
        <v>24136502</v>
      </c>
      <c r="H659">
        <f t="shared" si="10"/>
        <v>-6.0222381156780263E-3</v>
      </c>
    </row>
    <row r="660" spans="1:8" x14ac:dyDescent="0.25">
      <c r="A660" t="s">
        <v>496</v>
      </c>
      <c r="B660">
        <v>48.87</v>
      </c>
      <c r="C660">
        <v>48.9</v>
      </c>
      <c r="D660">
        <v>48.05</v>
      </c>
      <c r="E660">
        <v>48.3</v>
      </c>
      <c r="F660">
        <v>28642694</v>
      </c>
      <c r="H660">
        <f t="shared" si="10"/>
        <v>-8.6580627431146542E-3</v>
      </c>
    </row>
    <row r="661" spans="1:8" x14ac:dyDescent="0.25">
      <c r="A661" t="s">
        <v>497</v>
      </c>
      <c r="B661">
        <v>48.03</v>
      </c>
      <c r="C661">
        <v>48.82</v>
      </c>
      <c r="D661">
        <v>48.03</v>
      </c>
      <c r="E661">
        <v>48.72</v>
      </c>
      <c r="F661">
        <v>32980892</v>
      </c>
      <c r="H661">
        <f t="shared" si="10"/>
        <v>2.2836782342924852E-2</v>
      </c>
    </row>
    <row r="662" spans="1:8" x14ac:dyDescent="0.25">
      <c r="A662" t="s">
        <v>498</v>
      </c>
      <c r="B662">
        <v>48.19</v>
      </c>
      <c r="C662">
        <v>48.32</v>
      </c>
      <c r="D662">
        <v>47.57</v>
      </c>
      <c r="E662">
        <v>47.62</v>
      </c>
      <c r="F662">
        <v>34184613</v>
      </c>
      <c r="H662">
        <f t="shared" si="10"/>
        <v>5.68602142662928E-3</v>
      </c>
    </row>
    <row r="663" spans="1:8" x14ac:dyDescent="0.25">
      <c r="A663" t="s">
        <v>499</v>
      </c>
      <c r="B663">
        <v>46.85</v>
      </c>
      <c r="C663">
        <v>47.68</v>
      </c>
      <c r="D663">
        <v>46.42</v>
      </c>
      <c r="E663">
        <v>47.35</v>
      </c>
      <c r="F663">
        <v>29928264</v>
      </c>
      <c r="H663">
        <f t="shared" si="10"/>
        <v>-4.2229730357304867E-4</v>
      </c>
    </row>
    <row r="664" spans="1:8" x14ac:dyDescent="0.25">
      <c r="A664" t="s">
        <v>500</v>
      </c>
      <c r="B664">
        <v>47.55</v>
      </c>
      <c r="C664">
        <v>47.91</v>
      </c>
      <c r="D664">
        <v>47.37</v>
      </c>
      <c r="E664">
        <v>47.37</v>
      </c>
      <c r="F664">
        <v>24609416</v>
      </c>
      <c r="H664">
        <f t="shared" si="10"/>
        <v>-7.9899499910788402E-3</v>
      </c>
    </row>
    <row r="665" spans="1:8" x14ac:dyDescent="0.25">
      <c r="A665" t="s">
        <v>501</v>
      </c>
      <c r="B665">
        <v>47.55</v>
      </c>
      <c r="C665">
        <v>47.98</v>
      </c>
      <c r="D665">
        <v>47.52</v>
      </c>
      <c r="E665">
        <v>47.75</v>
      </c>
      <c r="F665">
        <v>35364911</v>
      </c>
      <c r="H665">
        <f t="shared" si="10"/>
        <v>2.2234902251887574E-2</v>
      </c>
    </row>
    <row r="666" spans="1:8" x14ac:dyDescent="0.25">
      <c r="A666" t="s">
        <v>502</v>
      </c>
      <c r="B666">
        <v>46.27</v>
      </c>
      <c r="C666">
        <v>47.08</v>
      </c>
      <c r="D666">
        <v>46.16</v>
      </c>
      <c r="E666">
        <v>46.7</v>
      </c>
      <c r="F666">
        <v>32971654</v>
      </c>
      <c r="H666">
        <f t="shared" si="10"/>
        <v>9.0342623493757483E-3</v>
      </c>
    </row>
    <row r="667" spans="1:8" x14ac:dyDescent="0.25">
      <c r="A667" t="s">
        <v>503</v>
      </c>
      <c r="B667">
        <v>47.57</v>
      </c>
      <c r="C667">
        <v>47.77</v>
      </c>
      <c r="D667">
        <v>46.02</v>
      </c>
      <c r="E667">
        <v>46.28</v>
      </c>
      <c r="F667">
        <v>52433020</v>
      </c>
      <c r="H667">
        <f t="shared" si="10"/>
        <v>-2.8122858911898509E-2</v>
      </c>
    </row>
    <row r="668" spans="1:8" x14ac:dyDescent="0.25">
      <c r="A668" t="s">
        <v>504</v>
      </c>
      <c r="B668">
        <v>47.82</v>
      </c>
      <c r="C668">
        <v>48.16</v>
      </c>
      <c r="D668">
        <v>47.31</v>
      </c>
      <c r="E668">
        <v>47.6</v>
      </c>
      <c r="F668">
        <v>50369191</v>
      </c>
      <c r="H668">
        <f t="shared" si="10"/>
        <v>-1.3355791181555735E-2</v>
      </c>
    </row>
    <row r="669" spans="1:8" x14ac:dyDescent="0.25">
      <c r="A669" t="s">
        <v>505</v>
      </c>
      <c r="B669">
        <v>48.37</v>
      </c>
      <c r="C669">
        <v>48.87</v>
      </c>
      <c r="D669">
        <v>48.18</v>
      </c>
      <c r="E669">
        <v>48.24</v>
      </c>
      <c r="F669">
        <v>34039485</v>
      </c>
      <c r="H669">
        <f t="shared" si="10"/>
        <v>-8.668784936446388E-3</v>
      </c>
    </row>
    <row r="670" spans="1:8" x14ac:dyDescent="0.25">
      <c r="A670" t="s">
        <v>506</v>
      </c>
      <c r="B670">
        <v>48.58</v>
      </c>
      <c r="C670">
        <v>48.88</v>
      </c>
      <c r="D670">
        <v>48.4</v>
      </c>
      <c r="E670">
        <v>48.66</v>
      </c>
      <c r="F670">
        <v>38937336</v>
      </c>
      <c r="H670">
        <f t="shared" si="10"/>
        <v>4.1109969746499836E-4</v>
      </c>
    </row>
    <row r="671" spans="1:8" x14ac:dyDescent="0.25">
      <c r="A671" s="22">
        <v>42124</v>
      </c>
      <c r="B671">
        <v>48.7</v>
      </c>
      <c r="C671">
        <v>49.54</v>
      </c>
      <c r="D671">
        <v>48.6</v>
      </c>
      <c r="E671">
        <v>48.64</v>
      </c>
      <c r="F671">
        <v>64725457</v>
      </c>
      <c r="H671">
        <f t="shared" si="10"/>
        <v>-8.5978011724317429E-3</v>
      </c>
    </row>
    <row r="672" spans="1:8" x14ac:dyDescent="0.25">
      <c r="A672" s="22">
        <v>42123</v>
      </c>
      <c r="B672">
        <v>48.72</v>
      </c>
      <c r="C672">
        <v>49.31</v>
      </c>
      <c r="D672">
        <v>48.5</v>
      </c>
      <c r="E672">
        <v>49.06</v>
      </c>
      <c r="F672">
        <v>47804562</v>
      </c>
      <c r="H672">
        <f t="shared" si="10"/>
        <v>-2.0362458674907454E-3</v>
      </c>
    </row>
    <row r="673" spans="1:8" x14ac:dyDescent="0.25">
      <c r="A673" s="22">
        <v>42122</v>
      </c>
      <c r="B673">
        <v>47.78</v>
      </c>
      <c r="C673">
        <v>49.21</v>
      </c>
      <c r="D673">
        <v>47.7</v>
      </c>
      <c r="E673">
        <v>49.16</v>
      </c>
      <c r="F673">
        <v>60730778</v>
      </c>
      <c r="H673">
        <f t="shared" si="10"/>
        <v>2.3254469021101076E-2</v>
      </c>
    </row>
    <row r="674" spans="1:8" x14ac:dyDescent="0.25">
      <c r="A674" s="22">
        <v>42121</v>
      </c>
      <c r="B674">
        <v>47.23</v>
      </c>
      <c r="C674">
        <v>48.13</v>
      </c>
      <c r="D674">
        <v>47.22</v>
      </c>
      <c r="E674">
        <v>48.03</v>
      </c>
      <c r="F674">
        <v>59248172</v>
      </c>
      <c r="H674">
        <f t="shared" si="10"/>
        <v>3.3368122723154655E-3</v>
      </c>
    </row>
    <row r="675" spans="1:8" x14ac:dyDescent="0.25">
      <c r="A675" s="22">
        <v>42118</v>
      </c>
      <c r="B675">
        <v>45.66</v>
      </c>
      <c r="C675">
        <v>48.14</v>
      </c>
      <c r="D675">
        <v>45.65</v>
      </c>
      <c r="E675">
        <v>47.87</v>
      </c>
      <c r="F675">
        <v>130933665</v>
      </c>
      <c r="H675">
        <f t="shared" si="10"/>
        <v>9.9413007296204517E-2</v>
      </c>
    </row>
    <row r="676" spans="1:8" x14ac:dyDescent="0.25">
      <c r="A676" s="22">
        <v>42117</v>
      </c>
      <c r="B676">
        <v>42.89</v>
      </c>
      <c r="C676">
        <v>43.61</v>
      </c>
      <c r="D676">
        <v>42.8</v>
      </c>
      <c r="E676">
        <v>43.34</v>
      </c>
      <c r="F676">
        <v>46309530</v>
      </c>
      <c r="H676">
        <f t="shared" si="10"/>
        <v>8.3411048938486585E-3</v>
      </c>
    </row>
    <row r="677" spans="1:8" x14ac:dyDescent="0.25">
      <c r="A677" s="22">
        <v>42116</v>
      </c>
      <c r="B677">
        <v>42.67</v>
      </c>
      <c r="C677">
        <v>43.13</v>
      </c>
      <c r="D677">
        <v>42.55</v>
      </c>
      <c r="E677">
        <v>42.98</v>
      </c>
      <c r="F677">
        <v>25064273</v>
      </c>
      <c r="H677">
        <f t="shared" si="10"/>
        <v>7.9421113567751372E-3</v>
      </c>
    </row>
    <row r="678" spans="1:8" x14ac:dyDescent="0.25">
      <c r="A678" s="22">
        <v>42115</v>
      </c>
      <c r="B678">
        <v>43</v>
      </c>
      <c r="C678">
        <v>43.15</v>
      </c>
      <c r="D678">
        <v>42.53</v>
      </c>
      <c r="E678">
        <v>42.64</v>
      </c>
      <c r="F678">
        <v>26013844</v>
      </c>
      <c r="H678">
        <f t="shared" si="10"/>
        <v>-6.0790460763821153E-3</v>
      </c>
    </row>
    <row r="679" spans="1:8" x14ac:dyDescent="0.25">
      <c r="A679" s="22">
        <v>42114</v>
      </c>
      <c r="B679">
        <v>41.73</v>
      </c>
      <c r="C679">
        <v>43.17</v>
      </c>
      <c r="D679">
        <v>41.68</v>
      </c>
      <c r="E679">
        <v>42.9</v>
      </c>
      <c r="F679">
        <v>46057733</v>
      </c>
      <c r="H679">
        <f t="shared" si="10"/>
        <v>3.0291004968483009E-2</v>
      </c>
    </row>
    <row r="680" spans="1:8" x14ac:dyDescent="0.25">
      <c r="A680" s="22">
        <v>42111</v>
      </c>
      <c r="B680">
        <v>41.67</v>
      </c>
      <c r="C680">
        <v>41.74</v>
      </c>
      <c r="D680">
        <v>41.16</v>
      </c>
      <c r="E680">
        <v>41.62</v>
      </c>
      <c r="F680">
        <v>42387608</v>
      </c>
      <c r="H680">
        <f t="shared" si="10"/>
        <v>-1.2891083267618529E-2</v>
      </c>
    </row>
    <row r="681" spans="1:8" x14ac:dyDescent="0.25">
      <c r="A681" s="22">
        <v>42110</v>
      </c>
      <c r="B681">
        <v>41.95</v>
      </c>
      <c r="C681">
        <v>42.34</v>
      </c>
      <c r="D681">
        <v>41.82</v>
      </c>
      <c r="E681">
        <v>42.16</v>
      </c>
      <c r="F681">
        <v>22509652</v>
      </c>
      <c r="H681">
        <f t="shared" si="10"/>
        <v>-2.369107954803842E-3</v>
      </c>
    </row>
    <row r="682" spans="1:8" x14ac:dyDescent="0.25">
      <c r="A682" s="22">
        <v>42109</v>
      </c>
      <c r="B682">
        <v>41.76</v>
      </c>
      <c r="C682">
        <v>42.46</v>
      </c>
      <c r="D682">
        <v>41.68</v>
      </c>
      <c r="E682">
        <v>42.26</v>
      </c>
      <c r="F682">
        <v>27343581</v>
      </c>
      <c r="H682">
        <f t="shared" si="10"/>
        <v>1.4539643575058924E-2</v>
      </c>
    </row>
    <row r="683" spans="1:8" x14ac:dyDescent="0.25">
      <c r="A683" s="22">
        <v>42108</v>
      </c>
      <c r="B683">
        <v>41.8</v>
      </c>
      <c r="C683">
        <v>42.03</v>
      </c>
      <c r="D683">
        <v>41.39</v>
      </c>
      <c r="E683">
        <v>41.65</v>
      </c>
      <c r="F683">
        <v>24244382</v>
      </c>
      <c r="H683">
        <f t="shared" si="10"/>
        <v>-2.6375749615315772E-3</v>
      </c>
    </row>
    <row r="684" spans="1:8" x14ac:dyDescent="0.25">
      <c r="A684" s="22">
        <v>42107</v>
      </c>
      <c r="B684">
        <v>41.4</v>
      </c>
      <c r="C684">
        <v>42.06</v>
      </c>
      <c r="D684">
        <v>41.39</v>
      </c>
      <c r="E684">
        <v>41.76</v>
      </c>
      <c r="F684">
        <v>30276692</v>
      </c>
      <c r="H684">
        <f t="shared" si="10"/>
        <v>9.5831344181159721E-4</v>
      </c>
    </row>
    <row r="685" spans="1:8" x14ac:dyDescent="0.25">
      <c r="A685" s="22">
        <v>42104</v>
      </c>
      <c r="B685">
        <v>41.63</v>
      </c>
      <c r="C685">
        <v>41.95</v>
      </c>
      <c r="D685">
        <v>41.41</v>
      </c>
      <c r="E685">
        <v>41.72</v>
      </c>
      <c r="F685">
        <v>28022002</v>
      </c>
      <c r="H685">
        <f t="shared" si="10"/>
        <v>5.7692467712451368E-3</v>
      </c>
    </row>
    <row r="686" spans="1:8" x14ac:dyDescent="0.25">
      <c r="A686" s="22">
        <v>42103</v>
      </c>
      <c r="B686">
        <v>41.25</v>
      </c>
      <c r="C686">
        <v>41.62</v>
      </c>
      <c r="D686">
        <v>41.25</v>
      </c>
      <c r="E686">
        <v>41.48</v>
      </c>
      <c r="F686">
        <v>25723861</v>
      </c>
      <c r="H686">
        <f t="shared" si="10"/>
        <v>1.4475273938882711E-3</v>
      </c>
    </row>
    <row r="687" spans="1:8" x14ac:dyDescent="0.25">
      <c r="A687" s="22">
        <v>42102</v>
      </c>
      <c r="B687">
        <v>41.46</v>
      </c>
      <c r="C687">
        <v>41.69</v>
      </c>
      <c r="D687">
        <v>41.04</v>
      </c>
      <c r="E687">
        <v>41.42</v>
      </c>
      <c r="F687">
        <v>24753438</v>
      </c>
      <c r="H687">
        <f t="shared" si="10"/>
        <v>-2.6522016752240024E-3</v>
      </c>
    </row>
    <row r="688" spans="1:8" x14ac:dyDescent="0.25">
      <c r="A688" s="22">
        <v>42101</v>
      </c>
      <c r="B688">
        <v>41.61</v>
      </c>
      <c r="C688">
        <v>41.91</v>
      </c>
      <c r="D688">
        <v>41.31</v>
      </c>
      <c r="E688">
        <v>41.53</v>
      </c>
      <c r="F688">
        <v>28809375</v>
      </c>
      <c r="H688">
        <f t="shared" si="10"/>
        <v>-2.4076080530399807E-4</v>
      </c>
    </row>
    <row r="689" spans="1:8" x14ac:dyDescent="0.25">
      <c r="A689" s="22">
        <v>42100</v>
      </c>
      <c r="B689">
        <v>40.340000000000003</v>
      </c>
      <c r="C689">
        <v>41.78</v>
      </c>
      <c r="D689">
        <v>40.18</v>
      </c>
      <c r="E689">
        <v>41.54</v>
      </c>
      <c r="F689">
        <v>39223692</v>
      </c>
      <c r="H689">
        <f t="shared" si="10"/>
        <v>3.0553519244710246E-2</v>
      </c>
    </row>
    <row r="690" spans="1:8" x14ac:dyDescent="0.25">
      <c r="A690" s="22">
        <v>42096</v>
      </c>
      <c r="B690">
        <v>40.659999999999997</v>
      </c>
      <c r="C690">
        <v>40.74</v>
      </c>
      <c r="D690">
        <v>40.119999999999997</v>
      </c>
      <c r="E690">
        <v>40.29</v>
      </c>
      <c r="F690">
        <v>37487476</v>
      </c>
      <c r="H690">
        <f t="shared" si="10"/>
        <v>-1.0616073039011416E-2</v>
      </c>
    </row>
    <row r="691" spans="1:8" x14ac:dyDescent="0.25">
      <c r="A691" s="22">
        <v>42095</v>
      </c>
      <c r="B691">
        <v>40.6</v>
      </c>
      <c r="C691">
        <v>40.76</v>
      </c>
      <c r="D691">
        <v>40.31</v>
      </c>
      <c r="E691">
        <v>40.72</v>
      </c>
      <c r="F691">
        <v>36865322</v>
      </c>
      <c r="H691">
        <f t="shared" si="10"/>
        <v>1.4745640420668511E-3</v>
      </c>
    </row>
    <row r="692" spans="1:8" x14ac:dyDescent="0.25">
      <c r="A692" s="22">
        <v>42094</v>
      </c>
      <c r="B692">
        <v>40.78</v>
      </c>
      <c r="C692">
        <v>41.03</v>
      </c>
      <c r="D692">
        <v>40.54</v>
      </c>
      <c r="E692">
        <v>40.659999999999997</v>
      </c>
      <c r="F692">
        <v>34887219</v>
      </c>
      <c r="H692">
        <f t="shared" si="10"/>
        <v>-7.3511725310518817E-3</v>
      </c>
    </row>
    <row r="693" spans="1:8" x14ac:dyDescent="0.25">
      <c r="A693" s="22">
        <v>42093</v>
      </c>
      <c r="B693">
        <v>41.1</v>
      </c>
      <c r="C693">
        <v>41.54</v>
      </c>
      <c r="D693">
        <v>40.909999999999997</v>
      </c>
      <c r="E693">
        <v>40.96</v>
      </c>
      <c r="F693">
        <v>35049662</v>
      </c>
      <c r="H693">
        <f t="shared" si="10"/>
        <v>-2.4411082752736184E-4</v>
      </c>
    </row>
    <row r="694" spans="1:8" x14ac:dyDescent="0.25">
      <c r="A694" s="22">
        <v>42090</v>
      </c>
      <c r="B694">
        <v>41.12</v>
      </c>
      <c r="C694">
        <v>41.43</v>
      </c>
      <c r="D694">
        <v>40.83</v>
      </c>
      <c r="E694">
        <v>40.97</v>
      </c>
      <c r="F694">
        <v>34401398</v>
      </c>
      <c r="H694">
        <f t="shared" si="10"/>
        <v>-5.8408537919462898E-3</v>
      </c>
    </row>
    <row r="695" spans="1:8" x14ac:dyDescent="0.25">
      <c r="A695" s="22">
        <v>42089</v>
      </c>
      <c r="B695">
        <v>41.22</v>
      </c>
      <c r="C695">
        <v>41.61</v>
      </c>
      <c r="D695">
        <v>40.92</v>
      </c>
      <c r="E695">
        <v>41.21</v>
      </c>
      <c r="F695">
        <v>37495627</v>
      </c>
      <c r="H695">
        <f t="shared" si="10"/>
        <v>-6.0481616569075837E-3</v>
      </c>
    </row>
    <row r="696" spans="1:8" x14ac:dyDescent="0.25">
      <c r="A696" s="22">
        <v>42088</v>
      </c>
      <c r="B696">
        <v>42.92</v>
      </c>
      <c r="C696">
        <v>42.92</v>
      </c>
      <c r="D696">
        <v>41.44</v>
      </c>
      <c r="E696">
        <v>41.46</v>
      </c>
      <c r="F696">
        <v>43469907</v>
      </c>
      <c r="H696">
        <f t="shared" si="10"/>
        <v>-3.414271892633771E-2</v>
      </c>
    </row>
    <row r="697" spans="1:8" x14ac:dyDescent="0.25">
      <c r="A697" s="22">
        <v>42087</v>
      </c>
      <c r="B697">
        <v>42.78</v>
      </c>
      <c r="C697">
        <v>43.17</v>
      </c>
      <c r="D697">
        <v>42.75</v>
      </c>
      <c r="E697">
        <v>42.9</v>
      </c>
      <c r="F697">
        <v>25513252</v>
      </c>
      <c r="H697">
        <f t="shared" si="10"/>
        <v>9.3283588854032782E-4</v>
      </c>
    </row>
    <row r="698" spans="1:8" x14ac:dyDescent="0.25">
      <c r="A698" s="22">
        <v>42086</v>
      </c>
      <c r="B698">
        <v>42.88</v>
      </c>
      <c r="C698">
        <v>43.13</v>
      </c>
      <c r="D698">
        <v>42.78</v>
      </c>
      <c r="E698">
        <v>42.86</v>
      </c>
      <c r="F698">
        <v>26246086</v>
      </c>
      <c r="H698">
        <f t="shared" si="10"/>
        <v>-4.6652671711570822E-4</v>
      </c>
    </row>
    <row r="699" spans="1:8" x14ac:dyDescent="0.25">
      <c r="A699" s="22">
        <v>42083</v>
      </c>
      <c r="B699">
        <v>42.56</v>
      </c>
      <c r="C699">
        <v>42.98</v>
      </c>
      <c r="D699">
        <v>42.49</v>
      </c>
      <c r="E699">
        <v>42.88</v>
      </c>
      <c r="F699">
        <v>71904529</v>
      </c>
      <c r="H699">
        <f t="shared" si="10"/>
        <v>1.4091355760509704E-2</v>
      </c>
    </row>
    <row r="700" spans="1:8" x14ac:dyDescent="0.25">
      <c r="A700" s="22">
        <v>42082</v>
      </c>
      <c r="B700">
        <v>42.26</v>
      </c>
      <c r="C700">
        <v>42.59</v>
      </c>
      <c r="D700">
        <v>42.22</v>
      </c>
      <c r="E700">
        <v>42.28</v>
      </c>
      <c r="F700">
        <v>33879066</v>
      </c>
      <c r="H700">
        <f t="shared" si="10"/>
        <v>-5.1899149283341928E-3</v>
      </c>
    </row>
    <row r="701" spans="1:8" x14ac:dyDescent="0.25">
      <c r="A701" s="22">
        <v>42081</v>
      </c>
      <c r="B701">
        <v>41.43</v>
      </c>
      <c r="C701">
        <v>42.83</v>
      </c>
      <c r="D701">
        <v>41.33</v>
      </c>
      <c r="E701">
        <v>42.5</v>
      </c>
      <c r="F701">
        <v>44194771</v>
      </c>
      <c r="H701">
        <f t="shared" si="10"/>
        <v>1.9002947125615264E-2</v>
      </c>
    </row>
    <row r="702" spans="1:8" x14ac:dyDescent="0.25">
      <c r="A702" s="22">
        <v>42080</v>
      </c>
      <c r="B702">
        <v>41.37</v>
      </c>
      <c r="C702">
        <v>41.83</v>
      </c>
      <c r="D702">
        <v>41.15</v>
      </c>
      <c r="E702">
        <v>41.7</v>
      </c>
      <c r="F702">
        <v>31673448</v>
      </c>
      <c r="H702">
        <f t="shared" si="10"/>
        <v>3.3629625737291642E-3</v>
      </c>
    </row>
    <row r="703" spans="1:8" x14ac:dyDescent="0.25">
      <c r="A703" s="22">
        <v>42079</v>
      </c>
      <c r="B703">
        <v>41.47</v>
      </c>
      <c r="C703">
        <v>41.64</v>
      </c>
      <c r="D703">
        <v>41.28</v>
      </c>
      <c r="E703">
        <v>41.56</v>
      </c>
      <c r="F703">
        <v>35273452</v>
      </c>
      <c r="H703">
        <f t="shared" si="10"/>
        <v>4.3404939136295756E-3</v>
      </c>
    </row>
    <row r="704" spans="1:8" x14ac:dyDescent="0.25">
      <c r="A704" s="22">
        <v>42076</v>
      </c>
      <c r="B704">
        <v>40.700000000000003</v>
      </c>
      <c r="C704">
        <v>41.47</v>
      </c>
      <c r="D704">
        <v>40.61</v>
      </c>
      <c r="E704">
        <v>41.38</v>
      </c>
      <c r="F704">
        <v>58007705</v>
      </c>
      <c r="H704">
        <f t="shared" si="10"/>
        <v>8.7379196731624236E-3</v>
      </c>
    </row>
    <row r="705" spans="1:8" x14ac:dyDescent="0.25">
      <c r="A705" s="22">
        <v>42075</v>
      </c>
      <c r="B705">
        <v>41.33</v>
      </c>
      <c r="C705">
        <v>41.65</v>
      </c>
      <c r="D705">
        <v>40.86</v>
      </c>
      <c r="E705">
        <v>41.02</v>
      </c>
      <c r="F705">
        <v>59992502</v>
      </c>
      <c r="H705">
        <f t="shared" si="10"/>
        <v>-2.313356174825228E-2</v>
      </c>
    </row>
    <row r="706" spans="1:8" x14ac:dyDescent="0.25">
      <c r="A706" s="22">
        <v>42074</v>
      </c>
      <c r="B706">
        <v>42.31</v>
      </c>
      <c r="C706">
        <v>42.37</v>
      </c>
      <c r="D706">
        <v>41.84</v>
      </c>
      <c r="E706">
        <v>41.98</v>
      </c>
      <c r="F706">
        <v>32215314</v>
      </c>
      <c r="H706">
        <f t="shared" si="10"/>
        <v>-1.1903346245384675E-3</v>
      </c>
    </row>
    <row r="707" spans="1:8" x14ac:dyDescent="0.25">
      <c r="A707" s="22">
        <v>42073</v>
      </c>
      <c r="B707">
        <v>42.35</v>
      </c>
      <c r="C707">
        <v>42.71</v>
      </c>
      <c r="D707">
        <v>42.03</v>
      </c>
      <c r="E707">
        <v>42.03</v>
      </c>
      <c r="F707">
        <v>39159730</v>
      </c>
      <c r="H707">
        <f t="shared" ref="H707:H770" si="11">IFERROR(LN(E707/E708),"")</f>
        <v>-1.9321996026763467E-2</v>
      </c>
    </row>
    <row r="708" spans="1:8" x14ac:dyDescent="0.25">
      <c r="A708" s="22">
        <v>42072</v>
      </c>
      <c r="B708">
        <v>42.19</v>
      </c>
      <c r="C708">
        <v>43.12</v>
      </c>
      <c r="D708">
        <v>42.19</v>
      </c>
      <c r="E708">
        <v>42.85</v>
      </c>
      <c r="F708">
        <v>32107957</v>
      </c>
      <c r="H708">
        <f t="shared" si="11"/>
        <v>1.1501124310583224E-2</v>
      </c>
    </row>
    <row r="709" spans="1:8" x14ac:dyDescent="0.25">
      <c r="A709" s="22">
        <v>42069</v>
      </c>
      <c r="B709">
        <v>43</v>
      </c>
      <c r="C709">
        <v>43.11</v>
      </c>
      <c r="D709">
        <v>42.15</v>
      </c>
      <c r="E709">
        <v>42.36</v>
      </c>
      <c r="F709">
        <v>36248785</v>
      </c>
      <c r="H709">
        <f t="shared" si="11"/>
        <v>-1.7550468025837589E-2</v>
      </c>
    </row>
    <row r="710" spans="1:8" x14ac:dyDescent="0.25">
      <c r="A710" s="22">
        <v>42068</v>
      </c>
      <c r="B710">
        <v>43.07</v>
      </c>
      <c r="C710">
        <v>43.24</v>
      </c>
      <c r="D710">
        <v>42.82</v>
      </c>
      <c r="E710">
        <v>43.11</v>
      </c>
      <c r="F710">
        <v>23193541</v>
      </c>
      <c r="H710">
        <f t="shared" si="11"/>
        <v>1.1604968228261113E-3</v>
      </c>
    </row>
    <row r="711" spans="1:8" x14ac:dyDescent="0.25">
      <c r="A711" s="22">
        <v>42067</v>
      </c>
      <c r="B711">
        <v>43.01</v>
      </c>
      <c r="C711">
        <v>43.21</v>
      </c>
      <c r="D711">
        <v>42.88</v>
      </c>
      <c r="E711">
        <v>43.06</v>
      </c>
      <c r="F711">
        <v>25748692</v>
      </c>
      <c r="H711">
        <f t="shared" si="11"/>
        <v>-5.0961426020091185E-3</v>
      </c>
    </row>
    <row r="712" spans="1:8" x14ac:dyDescent="0.25">
      <c r="A712" s="22">
        <v>42066</v>
      </c>
      <c r="B712">
        <v>43.56</v>
      </c>
      <c r="C712">
        <v>43.82</v>
      </c>
      <c r="D712">
        <v>43.09</v>
      </c>
      <c r="E712">
        <v>43.28</v>
      </c>
      <c r="F712">
        <v>31748648</v>
      </c>
      <c r="H712">
        <f t="shared" si="11"/>
        <v>-1.3768000868803421E-2</v>
      </c>
    </row>
    <row r="713" spans="1:8" x14ac:dyDescent="0.25">
      <c r="A713" s="22">
        <v>42065</v>
      </c>
      <c r="B713">
        <v>43.67</v>
      </c>
      <c r="C713">
        <v>44.19</v>
      </c>
      <c r="D713">
        <v>43.55</v>
      </c>
      <c r="E713">
        <v>43.88</v>
      </c>
      <c r="F713">
        <v>31924049</v>
      </c>
      <c r="H713">
        <f t="shared" si="11"/>
        <v>6.839165888375561E-4</v>
      </c>
    </row>
    <row r="714" spans="1:8" x14ac:dyDescent="0.25">
      <c r="A714" s="22">
        <v>42062</v>
      </c>
      <c r="B714">
        <v>44.13</v>
      </c>
      <c r="C714">
        <v>44.2</v>
      </c>
      <c r="D714">
        <v>43.66</v>
      </c>
      <c r="E714">
        <v>43.85</v>
      </c>
      <c r="F714">
        <v>33807740</v>
      </c>
      <c r="H714">
        <f t="shared" si="11"/>
        <v>-4.7776225560050723E-3</v>
      </c>
    </row>
    <row r="715" spans="1:8" x14ac:dyDescent="0.25">
      <c r="A715" s="22">
        <v>42061</v>
      </c>
      <c r="B715">
        <v>43.99</v>
      </c>
      <c r="C715">
        <v>44.23</v>
      </c>
      <c r="D715">
        <v>43.89</v>
      </c>
      <c r="E715">
        <v>44.06</v>
      </c>
      <c r="F715">
        <v>28957329</v>
      </c>
      <c r="H715">
        <f t="shared" si="11"/>
        <v>1.5900060135686615E-3</v>
      </c>
    </row>
    <row r="716" spans="1:8" x14ac:dyDescent="0.25">
      <c r="A716" s="22">
        <v>42060</v>
      </c>
      <c r="B716">
        <v>43.95</v>
      </c>
      <c r="C716">
        <v>44.09</v>
      </c>
      <c r="D716">
        <v>43.8</v>
      </c>
      <c r="E716">
        <v>43.99</v>
      </c>
      <c r="F716">
        <v>29759820</v>
      </c>
      <c r="H716">
        <f t="shared" si="11"/>
        <v>-2.2706640092179497E-3</v>
      </c>
    </row>
    <row r="717" spans="1:8" x14ac:dyDescent="0.25">
      <c r="A717" s="22">
        <v>42059</v>
      </c>
      <c r="B717">
        <v>44.15</v>
      </c>
      <c r="C717">
        <v>44.3</v>
      </c>
      <c r="D717">
        <v>43.92</v>
      </c>
      <c r="E717">
        <v>44.09</v>
      </c>
      <c r="F717">
        <v>25271747</v>
      </c>
      <c r="H717">
        <f t="shared" si="11"/>
        <v>-1.3599276801226513E-3</v>
      </c>
    </row>
    <row r="718" spans="1:8" x14ac:dyDescent="0.25">
      <c r="A718" s="22">
        <v>42058</v>
      </c>
      <c r="B718">
        <v>43.7</v>
      </c>
      <c r="C718">
        <v>44.19</v>
      </c>
      <c r="D718">
        <v>43.65</v>
      </c>
      <c r="E718">
        <v>44.15</v>
      </c>
      <c r="F718">
        <v>32518754</v>
      </c>
      <c r="H718">
        <f t="shared" si="11"/>
        <v>6.5901840602269734E-3</v>
      </c>
    </row>
    <row r="719" spans="1:8" x14ac:dyDescent="0.25">
      <c r="A719" s="22">
        <v>42055</v>
      </c>
      <c r="B719">
        <v>43.51</v>
      </c>
      <c r="C719">
        <v>43.88</v>
      </c>
      <c r="D719">
        <v>43.29</v>
      </c>
      <c r="E719">
        <v>43.86</v>
      </c>
      <c r="F719">
        <v>29721133</v>
      </c>
      <c r="H719">
        <f t="shared" si="11"/>
        <v>8.2418048951037881E-3</v>
      </c>
    </row>
    <row r="720" spans="1:8" x14ac:dyDescent="0.25">
      <c r="A720" s="22">
        <v>42054</v>
      </c>
      <c r="B720">
        <v>43.18</v>
      </c>
      <c r="C720">
        <v>43.53</v>
      </c>
      <c r="D720">
        <v>43.05</v>
      </c>
      <c r="E720">
        <v>43.5</v>
      </c>
      <c r="F720">
        <v>27603420</v>
      </c>
      <c r="H720">
        <f t="shared" si="11"/>
        <v>-6.8941746956777041E-4</v>
      </c>
    </row>
    <row r="721" spans="1:8" x14ac:dyDescent="0.25">
      <c r="A721" s="22">
        <v>42053</v>
      </c>
      <c r="B721">
        <v>43.63</v>
      </c>
      <c r="C721">
        <v>43.7</v>
      </c>
      <c r="D721">
        <v>43.39</v>
      </c>
      <c r="E721">
        <v>43.53</v>
      </c>
      <c r="F721">
        <v>27111657</v>
      </c>
      <c r="H721">
        <f t="shared" si="11"/>
        <v>-1.1479739522676346E-3</v>
      </c>
    </row>
    <row r="722" spans="1:8" x14ac:dyDescent="0.25">
      <c r="A722" s="22">
        <v>42052</v>
      </c>
      <c r="B722">
        <v>43.97</v>
      </c>
      <c r="C722">
        <v>44</v>
      </c>
      <c r="D722">
        <v>43.19</v>
      </c>
      <c r="E722">
        <v>43.58</v>
      </c>
      <c r="F722">
        <v>33695749</v>
      </c>
      <c r="H722">
        <f t="shared" si="11"/>
        <v>-6.6323856616487794E-3</v>
      </c>
    </row>
    <row r="723" spans="1:8" x14ac:dyDescent="0.25">
      <c r="A723" s="22">
        <v>42048</v>
      </c>
      <c r="B723">
        <v>43.38</v>
      </c>
      <c r="C723">
        <v>43.87</v>
      </c>
      <c r="D723">
        <v>43.15</v>
      </c>
      <c r="E723">
        <v>43.87</v>
      </c>
      <c r="F723">
        <v>40264887</v>
      </c>
      <c r="H723">
        <f t="shared" si="11"/>
        <v>1.7939763550375912E-2</v>
      </c>
    </row>
    <row r="724" spans="1:8" x14ac:dyDescent="0.25">
      <c r="A724" s="22">
        <v>42047</v>
      </c>
      <c r="B724">
        <v>42.66</v>
      </c>
      <c r="C724">
        <v>43.09</v>
      </c>
      <c r="D724">
        <v>42.51</v>
      </c>
      <c r="E724">
        <v>43.09</v>
      </c>
      <c r="F724">
        <v>33268831</v>
      </c>
      <c r="H724">
        <f t="shared" si="11"/>
        <v>1.6614398787593663E-2</v>
      </c>
    </row>
    <row r="725" spans="1:8" x14ac:dyDescent="0.25">
      <c r="A725" s="22">
        <v>42046</v>
      </c>
      <c r="B725">
        <v>42.65</v>
      </c>
      <c r="C725">
        <v>42.65</v>
      </c>
      <c r="D725">
        <v>42.21</v>
      </c>
      <c r="E725">
        <v>42.38</v>
      </c>
      <c r="F725">
        <v>38262509</v>
      </c>
      <c r="H725">
        <f t="shared" si="11"/>
        <v>-5.1777004351716456E-3</v>
      </c>
    </row>
    <row r="726" spans="1:8" x14ac:dyDescent="0.25">
      <c r="A726" s="22">
        <v>42045</v>
      </c>
      <c r="B726">
        <v>42.74</v>
      </c>
      <c r="C726">
        <v>42.77</v>
      </c>
      <c r="D726">
        <v>42.18</v>
      </c>
      <c r="E726">
        <v>42.6</v>
      </c>
      <c r="F726">
        <v>29670676</v>
      </c>
      <c r="H726">
        <f t="shared" si="11"/>
        <v>5.6497325421191276E-3</v>
      </c>
    </row>
    <row r="727" spans="1:8" x14ac:dyDescent="0.25">
      <c r="A727" s="22">
        <v>42044</v>
      </c>
      <c r="B727">
        <v>42.24</v>
      </c>
      <c r="C727">
        <v>42.74</v>
      </c>
      <c r="D727">
        <v>42.21</v>
      </c>
      <c r="E727">
        <v>42.36</v>
      </c>
      <c r="F727">
        <v>31381061</v>
      </c>
      <c r="H727">
        <f t="shared" si="11"/>
        <v>-1.1796627532935963E-3</v>
      </c>
    </row>
    <row r="728" spans="1:8" x14ac:dyDescent="0.25">
      <c r="A728" s="22">
        <v>42041</v>
      </c>
      <c r="B728">
        <v>42.68</v>
      </c>
      <c r="C728">
        <v>42.79</v>
      </c>
      <c r="D728">
        <v>42.15</v>
      </c>
      <c r="E728">
        <v>42.41</v>
      </c>
      <c r="F728">
        <v>34616554</v>
      </c>
      <c r="H728">
        <f t="shared" si="11"/>
        <v>-9.42729270857073E-4</v>
      </c>
    </row>
    <row r="729" spans="1:8" x14ac:dyDescent="0.25">
      <c r="A729" s="22">
        <v>42040</v>
      </c>
      <c r="B729">
        <v>42.22</v>
      </c>
      <c r="C729">
        <v>42.64</v>
      </c>
      <c r="D729">
        <v>41.86</v>
      </c>
      <c r="E729">
        <v>42.45</v>
      </c>
      <c r="F729">
        <v>36548168</v>
      </c>
      <c r="H729">
        <f t="shared" si="11"/>
        <v>1.4474093000688953E-2</v>
      </c>
    </row>
    <row r="730" spans="1:8" x14ac:dyDescent="0.25">
      <c r="A730" s="22">
        <v>42039</v>
      </c>
      <c r="B730">
        <v>41.94</v>
      </c>
      <c r="C730">
        <v>42.21</v>
      </c>
      <c r="D730">
        <v>41.36</v>
      </c>
      <c r="E730">
        <v>41.84</v>
      </c>
      <c r="F730">
        <v>41614812</v>
      </c>
      <c r="H730">
        <f t="shared" si="11"/>
        <v>5.7526524894498414E-3</v>
      </c>
    </row>
    <row r="731" spans="1:8" x14ac:dyDescent="0.25">
      <c r="A731" s="22">
        <v>42038</v>
      </c>
      <c r="B731">
        <v>41.63</v>
      </c>
      <c r="C731">
        <v>41.93</v>
      </c>
      <c r="D731">
        <v>41.04</v>
      </c>
      <c r="E731">
        <v>41.6</v>
      </c>
      <c r="F731">
        <v>52082448</v>
      </c>
      <c r="H731">
        <f t="shared" si="11"/>
        <v>7.7220460939103185E-3</v>
      </c>
    </row>
    <row r="732" spans="1:8" x14ac:dyDescent="0.25">
      <c r="A732" s="22">
        <v>42037</v>
      </c>
      <c r="B732">
        <v>40.590000000000003</v>
      </c>
      <c r="C732">
        <v>41.37</v>
      </c>
      <c r="D732">
        <v>40.229999999999997</v>
      </c>
      <c r="E732">
        <v>41.28</v>
      </c>
      <c r="F732">
        <v>50352532</v>
      </c>
      <c r="H732">
        <f t="shared" si="11"/>
        <v>2.1548336206202928E-2</v>
      </c>
    </row>
    <row r="733" spans="1:8" x14ac:dyDescent="0.25">
      <c r="A733" t="s">
        <v>507</v>
      </c>
      <c r="B733">
        <v>41.55</v>
      </c>
      <c r="C733">
        <v>41.58</v>
      </c>
      <c r="D733">
        <v>40.35</v>
      </c>
      <c r="E733">
        <v>40.4</v>
      </c>
      <c r="F733">
        <v>78004944</v>
      </c>
      <c r="H733">
        <f t="shared" si="11"/>
        <v>-3.9077900214186313E-2</v>
      </c>
    </row>
    <row r="734" spans="1:8" x14ac:dyDescent="0.25">
      <c r="A734" t="s">
        <v>508</v>
      </c>
      <c r="B734">
        <v>40.93</v>
      </c>
      <c r="C734">
        <v>42.12</v>
      </c>
      <c r="D734">
        <v>40.79</v>
      </c>
      <c r="E734">
        <v>42.01</v>
      </c>
      <c r="F734">
        <v>63585273</v>
      </c>
      <c r="H734">
        <f t="shared" si="11"/>
        <v>1.971217673330131E-2</v>
      </c>
    </row>
    <row r="735" spans="1:8" x14ac:dyDescent="0.25">
      <c r="A735" t="s">
        <v>509</v>
      </c>
      <c r="B735">
        <v>42.74</v>
      </c>
      <c r="C735">
        <v>42.79</v>
      </c>
      <c r="D735">
        <v>41.16</v>
      </c>
      <c r="E735">
        <v>41.19</v>
      </c>
      <c r="F735">
        <v>84507078</v>
      </c>
      <c r="H735">
        <f t="shared" si="11"/>
        <v>-3.5066204595215082E-2</v>
      </c>
    </row>
    <row r="736" spans="1:8" x14ac:dyDescent="0.25">
      <c r="A736" t="s">
        <v>510</v>
      </c>
      <c r="B736">
        <v>42.95</v>
      </c>
      <c r="C736">
        <v>43.2</v>
      </c>
      <c r="D736">
        <v>42.1</v>
      </c>
      <c r="E736">
        <v>42.66</v>
      </c>
      <c r="F736">
        <v>169163953</v>
      </c>
      <c r="H736">
        <f t="shared" si="11"/>
        <v>-9.7098631992834666E-2</v>
      </c>
    </row>
    <row r="737" spans="1:8" x14ac:dyDescent="0.25">
      <c r="A737" t="s">
        <v>511</v>
      </c>
      <c r="B737">
        <v>47</v>
      </c>
      <c r="C737">
        <v>47.13</v>
      </c>
      <c r="D737">
        <v>46.24</v>
      </c>
      <c r="E737">
        <v>47.01</v>
      </c>
      <c r="F737">
        <v>42525530</v>
      </c>
      <c r="H737">
        <f t="shared" si="11"/>
        <v>-3.6097289434898886E-3</v>
      </c>
    </row>
    <row r="738" spans="1:8" x14ac:dyDescent="0.25">
      <c r="A738" t="s">
        <v>512</v>
      </c>
      <c r="B738">
        <v>47.36</v>
      </c>
      <c r="C738">
        <v>47.39</v>
      </c>
      <c r="D738">
        <v>46.8</v>
      </c>
      <c r="E738">
        <v>47.18</v>
      </c>
      <c r="F738">
        <v>26211594</v>
      </c>
      <c r="H738">
        <f t="shared" si="11"/>
        <v>1.0603330438893649E-3</v>
      </c>
    </row>
    <row r="739" spans="1:8" x14ac:dyDescent="0.25">
      <c r="A739" t="s">
        <v>513</v>
      </c>
      <c r="B739">
        <v>46.38</v>
      </c>
      <c r="C739">
        <v>47.14</v>
      </c>
      <c r="D739">
        <v>46.08</v>
      </c>
      <c r="E739">
        <v>47.13</v>
      </c>
      <c r="F739">
        <v>35898035</v>
      </c>
      <c r="H739">
        <f t="shared" si="11"/>
        <v>2.6008988924328548E-2</v>
      </c>
    </row>
    <row r="740" spans="1:8" x14ac:dyDescent="0.25">
      <c r="A740" t="s">
        <v>514</v>
      </c>
      <c r="B740">
        <v>45.94</v>
      </c>
      <c r="C740">
        <v>46.14</v>
      </c>
      <c r="D740">
        <v>45.48</v>
      </c>
      <c r="E740">
        <v>45.92</v>
      </c>
      <c r="F740">
        <v>39081143</v>
      </c>
      <c r="H740">
        <f t="shared" si="11"/>
        <v>-1.0183166752341277E-2</v>
      </c>
    </row>
    <row r="741" spans="1:8" x14ac:dyDescent="0.25">
      <c r="A741" t="s">
        <v>515</v>
      </c>
      <c r="B741">
        <v>46.3</v>
      </c>
      <c r="C741">
        <v>46.65</v>
      </c>
      <c r="D741">
        <v>45.57</v>
      </c>
      <c r="E741">
        <v>46.39</v>
      </c>
      <c r="F741">
        <v>36161860</v>
      </c>
      <c r="H741">
        <f t="shared" si="11"/>
        <v>3.2386943995301736E-3</v>
      </c>
    </row>
    <row r="742" spans="1:8" x14ac:dyDescent="0.25">
      <c r="A742" t="s">
        <v>516</v>
      </c>
      <c r="B742">
        <v>45.31</v>
      </c>
      <c r="C742">
        <v>46.28</v>
      </c>
      <c r="D742">
        <v>45.17</v>
      </c>
      <c r="E742">
        <v>46.24</v>
      </c>
      <c r="F742">
        <v>35695289</v>
      </c>
      <c r="H742">
        <f t="shared" si="11"/>
        <v>1.6572555481786863E-2</v>
      </c>
    </row>
    <row r="743" spans="1:8" x14ac:dyDescent="0.25">
      <c r="A743" t="s">
        <v>517</v>
      </c>
      <c r="B743">
        <v>46.22</v>
      </c>
      <c r="C743">
        <v>46.38</v>
      </c>
      <c r="D743">
        <v>45.41</v>
      </c>
      <c r="E743">
        <v>45.48</v>
      </c>
      <c r="F743">
        <v>32750779</v>
      </c>
      <c r="H743">
        <f t="shared" si="11"/>
        <v>-1.0498784098219695E-2</v>
      </c>
    </row>
    <row r="744" spans="1:8" x14ac:dyDescent="0.25">
      <c r="A744" t="s">
        <v>518</v>
      </c>
      <c r="B744">
        <v>45.96</v>
      </c>
      <c r="C744">
        <v>46.24</v>
      </c>
      <c r="D744">
        <v>45.62</v>
      </c>
      <c r="E744">
        <v>45.96</v>
      </c>
      <c r="F744">
        <v>29719580</v>
      </c>
      <c r="H744">
        <f t="shared" si="11"/>
        <v>-8.6655654909959662E-3</v>
      </c>
    </row>
    <row r="745" spans="1:8" x14ac:dyDescent="0.25">
      <c r="A745" t="s">
        <v>519</v>
      </c>
      <c r="B745">
        <v>46.97</v>
      </c>
      <c r="C745">
        <v>47.91</v>
      </c>
      <c r="D745">
        <v>46.06</v>
      </c>
      <c r="E745">
        <v>46.36</v>
      </c>
      <c r="F745">
        <v>35270601</v>
      </c>
      <c r="H745">
        <f t="shared" si="11"/>
        <v>-5.163522660049269E-3</v>
      </c>
    </row>
    <row r="746" spans="1:8" x14ac:dyDescent="0.25">
      <c r="A746" t="s">
        <v>520</v>
      </c>
      <c r="B746">
        <v>47.42</v>
      </c>
      <c r="C746">
        <v>47.54</v>
      </c>
      <c r="D746">
        <v>46.36</v>
      </c>
      <c r="E746">
        <v>46.6</v>
      </c>
      <c r="F746">
        <v>23651887</v>
      </c>
      <c r="H746">
        <f t="shared" si="11"/>
        <v>-1.2581464606695885E-2</v>
      </c>
    </row>
    <row r="747" spans="1:8" x14ac:dyDescent="0.25">
      <c r="A747" t="s">
        <v>521</v>
      </c>
      <c r="B747">
        <v>47.61</v>
      </c>
      <c r="C747">
        <v>47.82</v>
      </c>
      <c r="D747">
        <v>46.9</v>
      </c>
      <c r="E747">
        <v>47.19</v>
      </c>
      <c r="F747">
        <v>23944181</v>
      </c>
      <c r="H747">
        <f t="shared" si="11"/>
        <v>-8.4406493947230682E-3</v>
      </c>
    </row>
    <row r="748" spans="1:8" x14ac:dyDescent="0.25">
      <c r="A748" t="s">
        <v>522</v>
      </c>
      <c r="B748">
        <v>46.75</v>
      </c>
      <c r="C748">
        <v>47.75</v>
      </c>
      <c r="D748">
        <v>46.72</v>
      </c>
      <c r="E748">
        <v>47.59</v>
      </c>
      <c r="F748">
        <v>29645202</v>
      </c>
      <c r="H748">
        <f t="shared" si="11"/>
        <v>2.8993717132885122E-2</v>
      </c>
    </row>
    <row r="749" spans="1:8" x14ac:dyDescent="0.25">
      <c r="A749" t="s">
        <v>523</v>
      </c>
      <c r="B749">
        <v>45.98</v>
      </c>
      <c r="C749">
        <v>46.46</v>
      </c>
      <c r="D749">
        <v>45.49</v>
      </c>
      <c r="E749">
        <v>46.23</v>
      </c>
      <c r="F749">
        <v>29114061</v>
      </c>
      <c r="H749">
        <f t="shared" si="11"/>
        <v>1.2625330959156548E-2</v>
      </c>
    </row>
    <row r="750" spans="1:8" x14ac:dyDescent="0.25">
      <c r="A750" t="s">
        <v>524</v>
      </c>
      <c r="B750">
        <v>46.38</v>
      </c>
      <c r="C750">
        <v>46.75</v>
      </c>
      <c r="D750">
        <v>45.54</v>
      </c>
      <c r="E750">
        <v>45.65</v>
      </c>
      <c r="F750">
        <v>36447854</v>
      </c>
      <c r="H750">
        <f t="shared" si="11"/>
        <v>-1.4570226223762419E-2</v>
      </c>
    </row>
    <row r="751" spans="1:8" x14ac:dyDescent="0.25">
      <c r="A751" t="s">
        <v>525</v>
      </c>
      <c r="B751">
        <v>46.37</v>
      </c>
      <c r="C751">
        <v>46.73</v>
      </c>
      <c r="D751">
        <v>46.25</v>
      </c>
      <c r="E751">
        <v>46.32</v>
      </c>
      <c r="F751">
        <v>39673865</v>
      </c>
      <c r="H751">
        <f t="shared" si="11"/>
        <v>-9.4543033391278064E-3</v>
      </c>
    </row>
    <row r="752" spans="1:8" x14ac:dyDescent="0.25">
      <c r="A752" t="s">
        <v>526</v>
      </c>
      <c r="B752">
        <v>46.66</v>
      </c>
      <c r="C752">
        <v>47.42</v>
      </c>
      <c r="D752">
        <v>46.54</v>
      </c>
      <c r="E752">
        <v>46.76</v>
      </c>
      <c r="F752">
        <v>27913852</v>
      </c>
      <c r="H752">
        <f t="shared" si="11"/>
        <v>6.6516713440199996E-3</v>
      </c>
    </row>
    <row r="753" spans="1:8" x14ac:dyDescent="0.25">
      <c r="A753" t="s">
        <v>527</v>
      </c>
      <c r="B753">
        <v>46.73</v>
      </c>
      <c r="C753">
        <v>47.44</v>
      </c>
      <c r="D753">
        <v>46.45</v>
      </c>
      <c r="E753">
        <v>46.45</v>
      </c>
      <c r="F753">
        <v>21552450</v>
      </c>
      <c r="H753">
        <f t="shared" si="11"/>
        <v>-1.2196577852075953E-2</v>
      </c>
    </row>
    <row r="754" spans="1:8" x14ac:dyDescent="0.25">
      <c r="A754" t="s">
        <v>528</v>
      </c>
      <c r="B754">
        <v>47.44</v>
      </c>
      <c r="C754">
        <v>47.62</v>
      </c>
      <c r="D754">
        <v>46.84</v>
      </c>
      <c r="E754">
        <v>47.02</v>
      </c>
      <c r="F754">
        <v>16384692</v>
      </c>
      <c r="H754">
        <f t="shared" si="11"/>
        <v>-9.1034819440134421E-3</v>
      </c>
    </row>
    <row r="755" spans="1:8" x14ac:dyDescent="0.25">
      <c r="A755" t="s">
        <v>529</v>
      </c>
      <c r="B755">
        <v>47.7</v>
      </c>
      <c r="C755">
        <v>47.78</v>
      </c>
      <c r="D755">
        <v>47.26</v>
      </c>
      <c r="E755">
        <v>47.45</v>
      </c>
      <c r="F755">
        <v>14439518</v>
      </c>
      <c r="H755">
        <f t="shared" si="11"/>
        <v>-9.0213556338355119E-3</v>
      </c>
    </row>
    <row r="756" spans="1:8" x14ac:dyDescent="0.25">
      <c r="A756" t="s">
        <v>530</v>
      </c>
      <c r="B756">
        <v>48.41</v>
      </c>
      <c r="C756">
        <v>48.41</v>
      </c>
      <c r="D756">
        <v>47.82</v>
      </c>
      <c r="E756">
        <v>47.88</v>
      </c>
      <c r="F756">
        <v>13197817</v>
      </c>
      <c r="H756">
        <f t="shared" si="11"/>
        <v>-5.4155516651534534E-3</v>
      </c>
    </row>
    <row r="757" spans="1:8" x14ac:dyDescent="0.25">
      <c r="A757" t="s">
        <v>531</v>
      </c>
      <c r="B757">
        <v>48.64</v>
      </c>
      <c r="C757">
        <v>48.64</v>
      </c>
      <c r="D757">
        <v>48.08</v>
      </c>
      <c r="E757">
        <v>48.14</v>
      </c>
      <c r="F757">
        <v>11442790</v>
      </c>
      <c r="H757">
        <f t="shared" si="11"/>
        <v>-6.4189059818494055E-3</v>
      </c>
    </row>
    <row r="758" spans="1:8" x14ac:dyDescent="0.25">
      <c r="A758" t="s">
        <v>532</v>
      </c>
      <c r="B758">
        <v>48.37</v>
      </c>
      <c r="C758">
        <v>48.8</v>
      </c>
      <c r="D758">
        <v>48.13</v>
      </c>
      <c r="E758">
        <v>48.45</v>
      </c>
      <c r="F758">
        <v>23656529</v>
      </c>
      <c r="H758">
        <f t="shared" si="11"/>
        <v>9.7480809252267573E-3</v>
      </c>
    </row>
    <row r="759" spans="1:8" x14ac:dyDescent="0.25">
      <c r="A759" t="s">
        <v>533</v>
      </c>
      <c r="B759">
        <v>47.78</v>
      </c>
      <c r="C759">
        <v>48.12</v>
      </c>
      <c r="D759">
        <v>47.71</v>
      </c>
      <c r="E759">
        <v>47.98</v>
      </c>
      <c r="F759">
        <v>26565984</v>
      </c>
      <c r="H759">
        <f t="shared" si="11"/>
        <v>6.6917857409525376E-3</v>
      </c>
    </row>
    <row r="760" spans="1:8" x14ac:dyDescent="0.25">
      <c r="A760" t="s">
        <v>534</v>
      </c>
      <c r="B760">
        <v>47.63</v>
      </c>
      <c r="C760">
        <v>48.1</v>
      </c>
      <c r="D760">
        <v>47.17</v>
      </c>
      <c r="E760">
        <v>47.66</v>
      </c>
      <c r="F760">
        <v>64551182</v>
      </c>
      <c r="H760">
        <f t="shared" si="11"/>
        <v>2.9417966162064383E-3</v>
      </c>
    </row>
    <row r="761" spans="1:8" x14ac:dyDescent="0.25">
      <c r="A761" t="s">
        <v>535</v>
      </c>
      <c r="B761">
        <v>46.58</v>
      </c>
      <c r="C761">
        <v>47.52</v>
      </c>
      <c r="D761">
        <v>46.34</v>
      </c>
      <c r="E761">
        <v>47.52</v>
      </c>
      <c r="F761">
        <v>40105550</v>
      </c>
      <c r="H761">
        <f t="shared" si="11"/>
        <v>3.8177486459754335E-2</v>
      </c>
    </row>
    <row r="762" spans="1:8" x14ac:dyDescent="0.25">
      <c r="A762" t="s">
        <v>536</v>
      </c>
      <c r="B762">
        <v>45.05</v>
      </c>
      <c r="C762">
        <v>45.94</v>
      </c>
      <c r="D762">
        <v>44.9</v>
      </c>
      <c r="E762">
        <v>45.74</v>
      </c>
      <c r="F762">
        <v>34970865</v>
      </c>
      <c r="H762">
        <f t="shared" si="11"/>
        <v>1.2761449313173917E-2</v>
      </c>
    </row>
    <row r="763" spans="1:8" x14ac:dyDescent="0.25">
      <c r="A763" t="s">
        <v>537</v>
      </c>
      <c r="B763">
        <v>45.9</v>
      </c>
      <c r="C763">
        <v>46.34</v>
      </c>
      <c r="D763">
        <v>45.13</v>
      </c>
      <c r="E763">
        <v>45.16</v>
      </c>
      <c r="F763">
        <v>47801392</v>
      </c>
      <c r="H763">
        <f t="shared" si="11"/>
        <v>-3.2889820680263041E-2</v>
      </c>
    </row>
    <row r="764" spans="1:8" x14ac:dyDescent="0.25">
      <c r="A764" t="s">
        <v>538</v>
      </c>
      <c r="B764">
        <v>47.2</v>
      </c>
      <c r="C764">
        <v>47.67</v>
      </c>
      <c r="D764">
        <v>46.55</v>
      </c>
      <c r="E764">
        <v>46.67</v>
      </c>
      <c r="F764">
        <v>29247761</v>
      </c>
      <c r="H764">
        <f t="shared" si="11"/>
        <v>-5.9816456925476475E-3</v>
      </c>
    </row>
    <row r="765" spans="1:8" x14ac:dyDescent="0.25">
      <c r="A765" t="s">
        <v>539</v>
      </c>
      <c r="B765">
        <v>46.78</v>
      </c>
      <c r="C765">
        <v>47.73</v>
      </c>
      <c r="D765">
        <v>46.67</v>
      </c>
      <c r="E765">
        <v>46.95</v>
      </c>
      <c r="F765">
        <v>34248371</v>
      </c>
      <c r="H765">
        <f t="shared" si="11"/>
        <v>-4.6748916418984073E-3</v>
      </c>
    </row>
    <row r="766" spans="1:8" x14ac:dyDescent="0.25">
      <c r="A766" t="s">
        <v>540</v>
      </c>
      <c r="B766">
        <v>47.08</v>
      </c>
      <c r="C766">
        <v>47.74</v>
      </c>
      <c r="D766">
        <v>46.68</v>
      </c>
      <c r="E766">
        <v>47.17</v>
      </c>
      <c r="F766">
        <v>29061918</v>
      </c>
      <c r="H766">
        <f t="shared" si="11"/>
        <v>5.7404218439365802E-3</v>
      </c>
    </row>
    <row r="767" spans="1:8" x14ac:dyDescent="0.25">
      <c r="A767" t="s">
        <v>541</v>
      </c>
      <c r="B767">
        <v>47.58</v>
      </c>
      <c r="C767">
        <v>47.66</v>
      </c>
      <c r="D767">
        <v>46.7</v>
      </c>
      <c r="E767">
        <v>46.9</v>
      </c>
      <c r="F767">
        <v>30431788</v>
      </c>
      <c r="H767">
        <f t="shared" si="11"/>
        <v>-1.4604979680785469E-2</v>
      </c>
    </row>
    <row r="768" spans="1:8" x14ac:dyDescent="0.25">
      <c r="A768" t="s">
        <v>542</v>
      </c>
      <c r="B768">
        <v>47.11</v>
      </c>
      <c r="C768">
        <v>47.92</v>
      </c>
      <c r="D768">
        <v>47.05</v>
      </c>
      <c r="E768">
        <v>47.59</v>
      </c>
      <c r="F768">
        <v>24330506</v>
      </c>
      <c r="H768">
        <f t="shared" si="11"/>
        <v>-2.3087427612764047E-3</v>
      </c>
    </row>
    <row r="769" spans="1:8" x14ac:dyDescent="0.25">
      <c r="A769" t="s">
        <v>543</v>
      </c>
      <c r="B769">
        <v>48.26</v>
      </c>
      <c r="C769">
        <v>48.35</v>
      </c>
      <c r="D769">
        <v>47.44</v>
      </c>
      <c r="E769">
        <v>47.7</v>
      </c>
      <c r="F769">
        <v>26663107</v>
      </c>
      <c r="H769">
        <f t="shared" si="11"/>
        <v>-1.4981553615616833E-2</v>
      </c>
    </row>
    <row r="770" spans="1:8" x14ac:dyDescent="0.25">
      <c r="A770" t="s">
        <v>544</v>
      </c>
      <c r="B770">
        <v>48.82</v>
      </c>
      <c r="C770">
        <v>48.97</v>
      </c>
      <c r="D770">
        <v>48.38</v>
      </c>
      <c r="E770">
        <v>48.42</v>
      </c>
      <c r="F770">
        <v>27313449</v>
      </c>
      <c r="H770">
        <f t="shared" si="11"/>
        <v>-8.6366977325915435E-3</v>
      </c>
    </row>
    <row r="771" spans="1:8" x14ac:dyDescent="0.25">
      <c r="A771" t="s">
        <v>545</v>
      </c>
      <c r="B771">
        <v>48.39</v>
      </c>
      <c r="C771">
        <v>49.06</v>
      </c>
      <c r="D771">
        <v>48.2</v>
      </c>
      <c r="E771">
        <v>48.84</v>
      </c>
      <c r="F771">
        <v>30345132</v>
      </c>
      <c r="H771">
        <f t="shared" ref="H771:H834" si="12">IFERROR(LN(E771/E772),"")</f>
        <v>1.5683359015551995E-2</v>
      </c>
    </row>
    <row r="772" spans="1:8" x14ac:dyDescent="0.25">
      <c r="A772" t="s">
        <v>546</v>
      </c>
      <c r="B772">
        <v>48.44</v>
      </c>
      <c r="C772">
        <v>48.5</v>
      </c>
      <c r="D772">
        <v>47.8</v>
      </c>
      <c r="E772">
        <v>48.08</v>
      </c>
      <c r="F772">
        <v>23534752</v>
      </c>
      <c r="H772">
        <f t="shared" si="12"/>
        <v>-7.872425161427641E-3</v>
      </c>
    </row>
    <row r="773" spans="1:8" x14ac:dyDescent="0.25">
      <c r="A773" t="s">
        <v>547</v>
      </c>
      <c r="B773">
        <v>48.84</v>
      </c>
      <c r="C773">
        <v>49.05</v>
      </c>
      <c r="D773">
        <v>48.2</v>
      </c>
      <c r="E773">
        <v>48.46</v>
      </c>
      <c r="F773">
        <v>25773478</v>
      </c>
      <c r="H773">
        <f t="shared" si="12"/>
        <v>-3.2962534995975559E-3</v>
      </c>
    </row>
    <row r="774" spans="1:8" x14ac:dyDescent="0.25">
      <c r="A774" t="s">
        <v>548</v>
      </c>
      <c r="B774">
        <v>47.88</v>
      </c>
      <c r="C774">
        <v>48.78</v>
      </c>
      <c r="D774">
        <v>47.71</v>
      </c>
      <c r="E774">
        <v>48.62</v>
      </c>
      <c r="F774">
        <v>31191575</v>
      </c>
      <c r="H774">
        <f t="shared" si="12"/>
        <v>1.680014624996529E-2</v>
      </c>
    </row>
    <row r="775" spans="1:8" x14ac:dyDescent="0.25">
      <c r="A775" s="22">
        <v>41971</v>
      </c>
      <c r="B775">
        <v>47.95</v>
      </c>
      <c r="C775">
        <v>48.2</v>
      </c>
      <c r="D775">
        <v>47.61</v>
      </c>
      <c r="E775">
        <v>47.81</v>
      </c>
      <c r="F775">
        <v>21534426</v>
      </c>
      <c r="H775">
        <f t="shared" si="12"/>
        <v>1.2557557112727522E-3</v>
      </c>
    </row>
    <row r="776" spans="1:8" x14ac:dyDescent="0.25">
      <c r="A776" s="22">
        <v>41969</v>
      </c>
      <c r="B776">
        <v>47.49</v>
      </c>
      <c r="C776">
        <v>47.99</v>
      </c>
      <c r="D776">
        <v>47.28</v>
      </c>
      <c r="E776">
        <v>47.75</v>
      </c>
      <c r="F776">
        <v>27164877</v>
      </c>
      <c r="H776">
        <f t="shared" si="12"/>
        <v>5.8811343635126363E-3</v>
      </c>
    </row>
    <row r="777" spans="1:8" x14ac:dyDescent="0.25">
      <c r="A777" s="22">
        <v>41968</v>
      </c>
      <c r="B777">
        <v>47.66</v>
      </c>
      <c r="C777">
        <v>47.97</v>
      </c>
      <c r="D777">
        <v>47.45</v>
      </c>
      <c r="E777">
        <v>47.47</v>
      </c>
      <c r="F777">
        <v>28007993</v>
      </c>
      <c r="H777">
        <f t="shared" si="12"/>
        <v>-2.5247225697924698E-3</v>
      </c>
    </row>
    <row r="778" spans="1:8" x14ac:dyDescent="0.25">
      <c r="A778" s="22">
        <v>41967</v>
      </c>
      <c r="B778">
        <v>47.99</v>
      </c>
      <c r="C778">
        <v>48</v>
      </c>
      <c r="D778">
        <v>47.39</v>
      </c>
      <c r="E778">
        <v>47.59</v>
      </c>
      <c r="F778">
        <v>35434245</v>
      </c>
      <c r="H778">
        <f t="shared" si="12"/>
        <v>-8.1616022785292678E-3</v>
      </c>
    </row>
    <row r="779" spans="1:8" x14ac:dyDescent="0.25">
      <c r="A779" s="22">
        <v>41964</v>
      </c>
      <c r="B779">
        <v>49.02</v>
      </c>
      <c r="C779">
        <v>49.05</v>
      </c>
      <c r="D779">
        <v>47.57</v>
      </c>
      <c r="E779">
        <v>47.98</v>
      </c>
      <c r="F779">
        <v>42884795</v>
      </c>
      <c r="H779">
        <f t="shared" si="12"/>
        <v>-1.4894772676995724E-2</v>
      </c>
    </row>
    <row r="780" spans="1:8" x14ac:dyDescent="0.25">
      <c r="A780" s="22">
        <v>41963</v>
      </c>
      <c r="B780">
        <v>48</v>
      </c>
      <c r="C780">
        <v>48.7</v>
      </c>
      <c r="D780">
        <v>47.87</v>
      </c>
      <c r="E780">
        <v>48.7</v>
      </c>
      <c r="F780">
        <v>21510587</v>
      </c>
      <c r="H780">
        <f t="shared" si="12"/>
        <v>9.9051573355191606E-3</v>
      </c>
    </row>
    <row r="781" spans="1:8" x14ac:dyDescent="0.25">
      <c r="A781" s="22">
        <v>41962</v>
      </c>
      <c r="B781">
        <v>48.66</v>
      </c>
      <c r="C781">
        <v>48.75</v>
      </c>
      <c r="D781">
        <v>47.93</v>
      </c>
      <c r="E781">
        <v>48.22</v>
      </c>
      <c r="F781">
        <v>26177450</v>
      </c>
      <c r="H781">
        <f t="shared" si="12"/>
        <v>-1.07261754440352E-2</v>
      </c>
    </row>
    <row r="782" spans="1:8" x14ac:dyDescent="0.25">
      <c r="A782" s="22">
        <v>41961</v>
      </c>
      <c r="B782">
        <v>49.13</v>
      </c>
      <c r="C782">
        <v>49.32</v>
      </c>
      <c r="D782">
        <v>48.7</v>
      </c>
      <c r="E782">
        <v>48.74</v>
      </c>
      <c r="F782">
        <v>23996457</v>
      </c>
      <c r="H782">
        <f t="shared" si="12"/>
        <v>-1.4664213896209916E-2</v>
      </c>
    </row>
    <row r="783" spans="1:8" x14ac:dyDescent="0.25">
      <c r="A783" s="22">
        <v>41960</v>
      </c>
      <c r="B783">
        <v>49.41</v>
      </c>
      <c r="C783">
        <v>49.7</v>
      </c>
      <c r="D783">
        <v>49.14</v>
      </c>
      <c r="E783">
        <v>49.46</v>
      </c>
      <c r="F783">
        <v>30318648</v>
      </c>
      <c r="H783">
        <f t="shared" si="12"/>
        <v>-2.4232645137742129E-3</v>
      </c>
    </row>
    <row r="784" spans="1:8" x14ac:dyDescent="0.25">
      <c r="A784" s="22">
        <v>41957</v>
      </c>
      <c r="B784">
        <v>49.74</v>
      </c>
      <c r="C784">
        <v>50.04</v>
      </c>
      <c r="D784">
        <v>49.39</v>
      </c>
      <c r="E784">
        <v>49.58</v>
      </c>
      <c r="F784">
        <v>29081657</v>
      </c>
      <c r="H784">
        <f t="shared" si="12"/>
        <v>-6.0489970591314423E-4</v>
      </c>
    </row>
    <row r="785" spans="1:8" x14ac:dyDescent="0.25">
      <c r="A785" s="22">
        <v>41956</v>
      </c>
      <c r="B785">
        <v>48.81</v>
      </c>
      <c r="C785">
        <v>49.64</v>
      </c>
      <c r="D785">
        <v>48.7</v>
      </c>
      <c r="E785">
        <v>49.61</v>
      </c>
      <c r="F785">
        <v>26210433</v>
      </c>
      <c r="H785">
        <f t="shared" si="12"/>
        <v>1.6872033525183183E-2</v>
      </c>
    </row>
    <row r="786" spans="1:8" x14ac:dyDescent="0.25">
      <c r="A786" s="22">
        <v>41955</v>
      </c>
      <c r="B786">
        <v>48.56</v>
      </c>
      <c r="C786">
        <v>48.92</v>
      </c>
      <c r="D786">
        <v>48.52</v>
      </c>
      <c r="E786">
        <v>48.78</v>
      </c>
      <c r="F786">
        <v>22722123</v>
      </c>
      <c r="H786">
        <f t="shared" si="12"/>
        <v>-1.8433184942891127E-3</v>
      </c>
    </row>
    <row r="787" spans="1:8" x14ac:dyDescent="0.25">
      <c r="A787" s="22">
        <v>41954</v>
      </c>
      <c r="B787">
        <v>48.85</v>
      </c>
      <c r="C787">
        <v>48.93</v>
      </c>
      <c r="D787">
        <v>48.64</v>
      </c>
      <c r="E787">
        <v>48.87</v>
      </c>
      <c r="F787">
        <v>23445239</v>
      </c>
      <c r="H787">
        <f t="shared" si="12"/>
        <v>-4.0916530849084243E-4</v>
      </c>
    </row>
    <row r="788" spans="1:8" x14ac:dyDescent="0.25">
      <c r="A788" s="22">
        <v>41953</v>
      </c>
      <c r="B788">
        <v>48.65</v>
      </c>
      <c r="C788">
        <v>49.15</v>
      </c>
      <c r="D788">
        <v>48.55</v>
      </c>
      <c r="E788">
        <v>48.89</v>
      </c>
      <c r="F788">
        <v>36370067</v>
      </c>
      <c r="H788">
        <f t="shared" si="12"/>
        <v>4.3046084712277501E-3</v>
      </c>
    </row>
    <row r="789" spans="1:8" x14ac:dyDescent="0.25">
      <c r="A789" s="22">
        <v>41950</v>
      </c>
      <c r="B789">
        <v>48.92</v>
      </c>
      <c r="C789">
        <v>48.92</v>
      </c>
      <c r="D789">
        <v>48.29</v>
      </c>
      <c r="E789">
        <v>48.68</v>
      </c>
      <c r="F789">
        <v>28000598</v>
      </c>
      <c r="H789">
        <f t="shared" si="12"/>
        <v>-4.1076196921776696E-4</v>
      </c>
    </row>
    <row r="790" spans="1:8" x14ac:dyDescent="0.25">
      <c r="A790" s="22">
        <v>41949</v>
      </c>
      <c r="B790">
        <v>47.86</v>
      </c>
      <c r="C790">
        <v>48.86</v>
      </c>
      <c r="D790">
        <v>47.79</v>
      </c>
      <c r="E790">
        <v>48.7</v>
      </c>
      <c r="F790">
        <v>33037841</v>
      </c>
      <c r="H790">
        <f t="shared" si="12"/>
        <v>1.7398947608316822E-2</v>
      </c>
    </row>
    <row r="791" spans="1:8" x14ac:dyDescent="0.25">
      <c r="A791" s="22">
        <v>41948</v>
      </c>
      <c r="B791">
        <v>47.8</v>
      </c>
      <c r="C791">
        <v>47.9</v>
      </c>
      <c r="D791">
        <v>47.26</v>
      </c>
      <c r="E791">
        <v>47.86</v>
      </c>
      <c r="F791">
        <v>22449594</v>
      </c>
      <c r="H791">
        <f t="shared" si="12"/>
        <v>6.0777720360371008E-3</v>
      </c>
    </row>
    <row r="792" spans="1:8" x14ac:dyDescent="0.25">
      <c r="A792" s="22">
        <v>41947</v>
      </c>
      <c r="B792">
        <v>47.3</v>
      </c>
      <c r="C792">
        <v>47.73</v>
      </c>
      <c r="D792">
        <v>47.25</v>
      </c>
      <c r="E792">
        <v>47.57</v>
      </c>
      <c r="F792">
        <v>21530813</v>
      </c>
      <c r="H792">
        <f t="shared" si="12"/>
        <v>2.7365557547201352E-3</v>
      </c>
    </row>
    <row r="793" spans="1:8" x14ac:dyDescent="0.25">
      <c r="A793" s="22">
        <v>41946</v>
      </c>
      <c r="B793">
        <v>46.89</v>
      </c>
      <c r="C793">
        <v>47.46</v>
      </c>
      <c r="D793">
        <v>46.73</v>
      </c>
      <c r="E793">
        <v>47.44</v>
      </c>
      <c r="F793">
        <v>23130397</v>
      </c>
      <c r="H793">
        <f t="shared" si="12"/>
        <v>1.0382549035197888E-2</v>
      </c>
    </row>
    <row r="794" spans="1:8" x14ac:dyDescent="0.25">
      <c r="A794" t="s">
        <v>549</v>
      </c>
      <c r="B794">
        <v>46.94</v>
      </c>
      <c r="C794">
        <v>46.97</v>
      </c>
      <c r="D794">
        <v>46.48</v>
      </c>
      <c r="E794">
        <v>46.95</v>
      </c>
      <c r="F794">
        <v>35849656</v>
      </c>
      <c r="H794">
        <f t="shared" si="12"/>
        <v>1.9355442952956291E-2</v>
      </c>
    </row>
    <row r="795" spans="1:8" x14ac:dyDescent="0.25">
      <c r="A795" t="s">
        <v>550</v>
      </c>
      <c r="B795">
        <v>46.32</v>
      </c>
      <c r="C795">
        <v>46.32</v>
      </c>
      <c r="D795">
        <v>45.77</v>
      </c>
      <c r="E795">
        <v>46.05</v>
      </c>
      <c r="F795">
        <v>30073873</v>
      </c>
      <c r="H795">
        <f t="shared" si="12"/>
        <v>-1.2301870906295273E-2</v>
      </c>
    </row>
    <row r="796" spans="1:8" x14ac:dyDescent="0.25">
      <c r="A796" t="s">
        <v>551</v>
      </c>
      <c r="B796">
        <v>46.44</v>
      </c>
      <c r="C796">
        <v>46.7</v>
      </c>
      <c r="D796">
        <v>46.34</v>
      </c>
      <c r="E796">
        <v>46.62</v>
      </c>
      <c r="F796">
        <v>30283622</v>
      </c>
      <c r="H796">
        <f t="shared" si="12"/>
        <v>2.7923979051175246E-3</v>
      </c>
    </row>
    <row r="797" spans="1:8" x14ac:dyDescent="0.25">
      <c r="A797" t="s">
        <v>552</v>
      </c>
      <c r="B797">
        <v>45.86</v>
      </c>
      <c r="C797">
        <v>46.5</v>
      </c>
      <c r="D797">
        <v>45.77</v>
      </c>
      <c r="E797">
        <v>46.49</v>
      </c>
      <c r="F797">
        <v>29049750</v>
      </c>
      <c r="H797">
        <f t="shared" si="12"/>
        <v>1.2554277441362833E-2</v>
      </c>
    </row>
    <row r="798" spans="1:8" x14ac:dyDescent="0.25">
      <c r="A798" t="s">
        <v>553</v>
      </c>
      <c r="B798">
        <v>45.71</v>
      </c>
      <c r="C798">
        <v>46.1</v>
      </c>
      <c r="D798">
        <v>45.71</v>
      </c>
      <c r="E798">
        <v>45.91</v>
      </c>
      <c r="F798">
        <v>30371308</v>
      </c>
      <c r="H798">
        <f t="shared" si="12"/>
        <v>-4.7805393085985672E-3</v>
      </c>
    </row>
    <row r="799" spans="1:8" x14ac:dyDescent="0.25">
      <c r="A799" t="s">
        <v>554</v>
      </c>
      <c r="B799">
        <v>46.83</v>
      </c>
      <c r="C799">
        <v>46.9</v>
      </c>
      <c r="D799">
        <v>45.18</v>
      </c>
      <c r="E799">
        <v>46.13</v>
      </c>
      <c r="F799">
        <v>61081039</v>
      </c>
      <c r="H799">
        <f t="shared" si="12"/>
        <v>2.4356662091142997E-2</v>
      </c>
    </row>
    <row r="800" spans="1:8" x14ac:dyDescent="0.25">
      <c r="A800" t="s">
        <v>555</v>
      </c>
      <c r="B800">
        <v>44.62</v>
      </c>
      <c r="C800">
        <v>45.44</v>
      </c>
      <c r="D800">
        <v>44.53</v>
      </c>
      <c r="E800">
        <v>45.02</v>
      </c>
      <c r="F800">
        <v>45451869</v>
      </c>
      <c r="H800">
        <f t="shared" si="12"/>
        <v>1.4317917974138328E-2</v>
      </c>
    </row>
    <row r="801" spans="1:8" x14ac:dyDescent="0.25">
      <c r="A801" t="s">
        <v>556</v>
      </c>
      <c r="B801">
        <v>45</v>
      </c>
      <c r="C801">
        <v>45.07</v>
      </c>
      <c r="D801">
        <v>44.22</v>
      </c>
      <c r="E801">
        <v>44.38</v>
      </c>
      <c r="F801">
        <v>33579817</v>
      </c>
      <c r="H801">
        <f t="shared" si="12"/>
        <v>-1.1203343709992986E-2</v>
      </c>
    </row>
    <row r="802" spans="1:8" x14ac:dyDescent="0.25">
      <c r="A802" t="s">
        <v>557</v>
      </c>
      <c r="B802">
        <v>44.36</v>
      </c>
      <c r="C802">
        <v>44.98</v>
      </c>
      <c r="D802">
        <v>44.19</v>
      </c>
      <c r="E802">
        <v>44.88</v>
      </c>
      <c r="F802">
        <v>36433824</v>
      </c>
      <c r="H802">
        <f t="shared" si="12"/>
        <v>1.798609636978192E-2</v>
      </c>
    </row>
    <row r="803" spans="1:8" x14ac:dyDescent="0.25">
      <c r="A803" t="s">
        <v>558</v>
      </c>
      <c r="B803">
        <v>43.06</v>
      </c>
      <c r="C803">
        <v>44.14</v>
      </c>
      <c r="D803">
        <v>42.81</v>
      </c>
      <c r="E803">
        <v>44.08</v>
      </c>
      <c r="F803">
        <v>34530887</v>
      </c>
      <c r="H803">
        <f t="shared" si="12"/>
        <v>1.0261177709140734E-2</v>
      </c>
    </row>
    <row r="804" spans="1:8" x14ac:dyDescent="0.25">
      <c r="A804" t="s">
        <v>559</v>
      </c>
      <c r="B804">
        <v>43.2</v>
      </c>
      <c r="C804">
        <v>43.94</v>
      </c>
      <c r="D804">
        <v>42.79</v>
      </c>
      <c r="E804">
        <v>43.63</v>
      </c>
      <c r="F804">
        <v>40683346</v>
      </c>
      <c r="H804">
        <f t="shared" si="12"/>
        <v>2.0609737244516705E-2</v>
      </c>
    </row>
    <row r="805" spans="1:8" x14ac:dyDescent="0.25">
      <c r="A805" t="s">
        <v>560</v>
      </c>
      <c r="B805">
        <v>42.53</v>
      </c>
      <c r="C805">
        <v>43.08</v>
      </c>
      <c r="D805">
        <v>42.22</v>
      </c>
      <c r="E805">
        <v>42.74</v>
      </c>
      <c r="F805">
        <v>49040989</v>
      </c>
      <c r="H805">
        <f t="shared" si="12"/>
        <v>-1.1168101187738252E-2</v>
      </c>
    </row>
    <row r="806" spans="1:8" x14ac:dyDescent="0.25">
      <c r="A806" t="s">
        <v>561</v>
      </c>
      <c r="B806">
        <v>43</v>
      </c>
      <c r="C806">
        <v>43.39</v>
      </c>
      <c r="D806">
        <v>42.1</v>
      </c>
      <c r="E806">
        <v>43.22</v>
      </c>
      <c r="F806">
        <v>60220961</v>
      </c>
      <c r="H806">
        <f t="shared" si="12"/>
        <v>-1.1731014346089232E-2</v>
      </c>
    </row>
    <row r="807" spans="1:8" x14ac:dyDescent="0.25">
      <c r="A807" t="s">
        <v>562</v>
      </c>
      <c r="B807">
        <v>43.87</v>
      </c>
      <c r="C807">
        <v>44.38</v>
      </c>
      <c r="D807">
        <v>43.56</v>
      </c>
      <c r="E807">
        <v>43.73</v>
      </c>
      <c r="F807">
        <v>38120558</v>
      </c>
      <c r="H807">
        <f t="shared" si="12"/>
        <v>1.8310831392180107E-3</v>
      </c>
    </row>
    <row r="808" spans="1:8" x14ac:dyDescent="0.25">
      <c r="A808" t="s">
        <v>563</v>
      </c>
      <c r="B808">
        <v>43.82</v>
      </c>
      <c r="C808">
        <v>44.56</v>
      </c>
      <c r="D808">
        <v>43.49</v>
      </c>
      <c r="E808">
        <v>43.65</v>
      </c>
      <c r="F808">
        <v>37100207</v>
      </c>
      <c r="H808">
        <f t="shared" si="12"/>
        <v>-8.6679374820513647E-3</v>
      </c>
    </row>
    <row r="809" spans="1:8" x14ac:dyDescent="0.25">
      <c r="A809" t="s">
        <v>564</v>
      </c>
      <c r="B809">
        <v>45.6</v>
      </c>
      <c r="C809">
        <v>46.12</v>
      </c>
      <c r="D809">
        <v>43.95</v>
      </c>
      <c r="E809">
        <v>44.03</v>
      </c>
      <c r="F809">
        <v>51978146</v>
      </c>
      <c r="H809">
        <f t="shared" si="12"/>
        <v>-4.0503978934811419E-2</v>
      </c>
    </row>
    <row r="810" spans="1:8" x14ac:dyDescent="0.25">
      <c r="A810" t="s">
        <v>565</v>
      </c>
      <c r="B810">
        <v>46.5</v>
      </c>
      <c r="C810">
        <v>46.8</v>
      </c>
      <c r="D810">
        <v>45.74</v>
      </c>
      <c r="E810">
        <v>45.85</v>
      </c>
      <c r="F810">
        <v>34426595</v>
      </c>
      <c r="H810">
        <f t="shared" si="12"/>
        <v>-2.0080562453559062E-2</v>
      </c>
    </row>
    <row r="811" spans="1:8" x14ac:dyDescent="0.25">
      <c r="A811" t="s">
        <v>566</v>
      </c>
      <c r="B811">
        <v>45.48</v>
      </c>
      <c r="C811">
        <v>46.89</v>
      </c>
      <c r="D811">
        <v>45.34</v>
      </c>
      <c r="E811">
        <v>46.78</v>
      </c>
      <c r="F811">
        <v>33030972</v>
      </c>
      <c r="H811">
        <f t="shared" si="12"/>
        <v>2.7084311809342194E-2</v>
      </c>
    </row>
    <row r="812" spans="1:8" x14ac:dyDescent="0.25">
      <c r="A812" t="s">
        <v>567</v>
      </c>
      <c r="B812">
        <v>45.86</v>
      </c>
      <c r="C812">
        <v>45.93</v>
      </c>
      <c r="D812">
        <v>45.42</v>
      </c>
      <c r="E812">
        <v>45.53</v>
      </c>
      <c r="F812">
        <v>25724544</v>
      </c>
      <c r="H812">
        <f t="shared" si="12"/>
        <v>-1.2224557385726252E-2</v>
      </c>
    </row>
    <row r="813" spans="1:8" x14ac:dyDescent="0.25">
      <c r="A813" t="s">
        <v>568</v>
      </c>
      <c r="B813">
        <v>46.12</v>
      </c>
      <c r="C813">
        <v>46.3</v>
      </c>
      <c r="D813">
        <v>45.92</v>
      </c>
      <c r="E813">
        <v>46.09</v>
      </c>
      <c r="F813">
        <v>20603960</v>
      </c>
      <c r="H813">
        <f t="shared" si="12"/>
        <v>0</v>
      </c>
    </row>
    <row r="814" spans="1:8" x14ac:dyDescent="0.25">
      <c r="A814" t="s">
        <v>569</v>
      </c>
      <c r="B814">
        <v>45.98</v>
      </c>
      <c r="C814">
        <v>46.3</v>
      </c>
      <c r="D814">
        <v>45.61</v>
      </c>
      <c r="E814">
        <v>46.09</v>
      </c>
      <c r="F814">
        <v>32453273</v>
      </c>
      <c r="H814">
        <f t="shared" si="12"/>
        <v>7.1856596608745327E-3</v>
      </c>
    </row>
    <row r="815" spans="1:8" x14ac:dyDescent="0.25">
      <c r="A815" t="s">
        <v>570</v>
      </c>
      <c r="B815">
        <v>45.83</v>
      </c>
      <c r="C815">
        <v>46.1</v>
      </c>
      <c r="D815">
        <v>45.64</v>
      </c>
      <c r="E815">
        <v>45.76</v>
      </c>
      <c r="F815">
        <v>25119508</v>
      </c>
      <c r="H815">
        <f t="shared" si="12"/>
        <v>-3.0547699949570748E-3</v>
      </c>
    </row>
    <row r="816" spans="1:8" x14ac:dyDescent="0.25">
      <c r="A816" t="s">
        <v>571</v>
      </c>
      <c r="B816">
        <v>46.27</v>
      </c>
      <c r="C816">
        <v>46.53</v>
      </c>
      <c r="D816">
        <v>45.84</v>
      </c>
      <c r="E816">
        <v>45.9</v>
      </c>
      <c r="F816">
        <v>38088355</v>
      </c>
      <c r="H816">
        <f t="shared" si="12"/>
        <v>-9.9719014050515531E-3</v>
      </c>
    </row>
    <row r="817" spans="1:8" x14ac:dyDescent="0.25">
      <c r="A817" t="s">
        <v>572</v>
      </c>
      <c r="B817">
        <v>46.37</v>
      </c>
      <c r="C817">
        <v>46.48</v>
      </c>
      <c r="D817">
        <v>46.01</v>
      </c>
      <c r="E817">
        <v>46.36</v>
      </c>
      <c r="F817">
        <v>33033086</v>
      </c>
      <c r="H817">
        <f t="shared" si="12"/>
        <v>-1.7241383581398043E-3</v>
      </c>
    </row>
    <row r="818" spans="1:8" x14ac:dyDescent="0.25">
      <c r="A818" t="s">
        <v>573</v>
      </c>
      <c r="B818">
        <v>45.98</v>
      </c>
      <c r="C818">
        <v>46.56</v>
      </c>
      <c r="D818">
        <v>45.76</v>
      </c>
      <c r="E818">
        <v>46.44</v>
      </c>
      <c r="F818">
        <v>26090980</v>
      </c>
      <c r="H818">
        <f t="shared" si="12"/>
        <v>6.4620357660630137E-4</v>
      </c>
    </row>
    <row r="819" spans="1:8" x14ac:dyDescent="0.25">
      <c r="A819" t="s">
        <v>574</v>
      </c>
      <c r="B819">
        <v>45.93</v>
      </c>
      <c r="C819">
        <v>46.62</v>
      </c>
      <c r="D819">
        <v>45.76</v>
      </c>
      <c r="E819">
        <v>46.41</v>
      </c>
      <c r="F819">
        <v>27078764</v>
      </c>
      <c r="H819">
        <f t="shared" si="12"/>
        <v>8.0043693994024563E-3</v>
      </c>
    </row>
    <row r="820" spans="1:8" x14ac:dyDescent="0.25">
      <c r="A820" t="s">
        <v>575</v>
      </c>
      <c r="B820">
        <v>46.88</v>
      </c>
      <c r="C820">
        <v>47.09</v>
      </c>
      <c r="D820">
        <v>46.03</v>
      </c>
      <c r="E820">
        <v>46.04</v>
      </c>
      <c r="F820">
        <v>33077385</v>
      </c>
      <c r="H820">
        <f t="shared" si="12"/>
        <v>-2.2337698538394086E-2</v>
      </c>
    </row>
    <row r="821" spans="1:8" x14ac:dyDescent="0.25">
      <c r="A821" t="s">
        <v>576</v>
      </c>
      <c r="B821">
        <v>46.63</v>
      </c>
      <c r="C821">
        <v>47.11</v>
      </c>
      <c r="D821">
        <v>46.34</v>
      </c>
      <c r="E821">
        <v>47.08</v>
      </c>
      <c r="F821">
        <v>26582713</v>
      </c>
      <c r="H821">
        <f t="shared" si="12"/>
        <v>1.1106478968893546E-2</v>
      </c>
    </row>
    <row r="822" spans="1:8" x14ac:dyDescent="0.25">
      <c r="A822" t="s">
        <v>577</v>
      </c>
      <c r="B822">
        <v>46.85</v>
      </c>
      <c r="C822">
        <v>46.98</v>
      </c>
      <c r="D822">
        <v>46.47</v>
      </c>
      <c r="E822">
        <v>46.56</v>
      </c>
      <c r="F822">
        <v>33431078</v>
      </c>
      <c r="H822">
        <f t="shared" si="12"/>
        <v>-1.0681579876034047E-2</v>
      </c>
    </row>
    <row r="823" spans="1:8" x14ac:dyDescent="0.25">
      <c r="A823" t="s">
        <v>578</v>
      </c>
      <c r="B823">
        <v>47.3</v>
      </c>
      <c r="C823">
        <v>47.38</v>
      </c>
      <c r="D823">
        <v>46.98</v>
      </c>
      <c r="E823">
        <v>47.06</v>
      </c>
      <c r="F823">
        <v>38686091</v>
      </c>
      <c r="H823">
        <f t="shared" si="12"/>
        <v>-9.7272917551731175E-3</v>
      </c>
    </row>
    <row r="824" spans="1:8" x14ac:dyDescent="0.25">
      <c r="A824" t="s">
        <v>579</v>
      </c>
      <c r="B824">
        <v>46.81</v>
      </c>
      <c r="C824">
        <v>47.57</v>
      </c>
      <c r="D824">
        <v>46.6</v>
      </c>
      <c r="E824">
        <v>47.52</v>
      </c>
      <c r="F824">
        <v>202526536</v>
      </c>
      <c r="H824">
        <f t="shared" si="12"/>
        <v>1.783486763603432E-2</v>
      </c>
    </row>
    <row r="825" spans="1:8" x14ac:dyDescent="0.25">
      <c r="A825" t="s">
        <v>580</v>
      </c>
      <c r="B825">
        <v>46.59</v>
      </c>
      <c r="C825">
        <v>46.83</v>
      </c>
      <c r="D825">
        <v>46.46</v>
      </c>
      <c r="E825">
        <v>46.68</v>
      </c>
      <c r="F825">
        <v>35556632</v>
      </c>
      <c r="H825">
        <f t="shared" si="12"/>
        <v>3.4334797678915365E-3</v>
      </c>
    </row>
    <row r="826" spans="1:8" x14ac:dyDescent="0.25">
      <c r="A826" t="s">
        <v>581</v>
      </c>
      <c r="B826">
        <v>46.26</v>
      </c>
      <c r="C826">
        <v>46.69</v>
      </c>
      <c r="D826">
        <v>46.23</v>
      </c>
      <c r="E826">
        <v>46.52</v>
      </c>
      <c r="F826">
        <v>38311924</v>
      </c>
      <c r="H826">
        <f t="shared" si="12"/>
        <v>-5.1458089534038368E-3</v>
      </c>
    </row>
    <row r="827" spans="1:8" x14ac:dyDescent="0.25">
      <c r="A827" t="s">
        <v>582</v>
      </c>
      <c r="B827">
        <v>46.39</v>
      </c>
      <c r="C827">
        <v>46.85</v>
      </c>
      <c r="D827">
        <v>46.29</v>
      </c>
      <c r="E827">
        <v>46.76</v>
      </c>
      <c r="F827">
        <v>27910571</v>
      </c>
      <c r="H827">
        <f t="shared" si="12"/>
        <v>1.1182912239745529E-2</v>
      </c>
    </row>
    <row r="828" spans="1:8" x14ac:dyDescent="0.25">
      <c r="A828" t="s">
        <v>583</v>
      </c>
      <c r="B828">
        <v>46.54</v>
      </c>
      <c r="C828">
        <v>46.71</v>
      </c>
      <c r="D828">
        <v>46.1</v>
      </c>
      <c r="E828">
        <v>46.24</v>
      </c>
      <c r="F828">
        <v>37667644</v>
      </c>
      <c r="H828">
        <f t="shared" si="12"/>
        <v>-9.8989403107295603E-3</v>
      </c>
    </row>
    <row r="829" spans="1:8" x14ac:dyDescent="0.25">
      <c r="A829" t="s">
        <v>584</v>
      </c>
      <c r="B829">
        <v>46.91</v>
      </c>
      <c r="C829">
        <v>47.02</v>
      </c>
      <c r="D829">
        <v>46.6</v>
      </c>
      <c r="E829">
        <v>46.7</v>
      </c>
      <c r="F829">
        <v>38247122</v>
      </c>
      <c r="H829">
        <f t="shared" si="12"/>
        <v>-6.4034370352069126E-3</v>
      </c>
    </row>
    <row r="830" spans="1:8" x14ac:dyDescent="0.25">
      <c r="A830" t="s">
        <v>585</v>
      </c>
      <c r="B830">
        <v>46.74</v>
      </c>
      <c r="C830">
        <v>47</v>
      </c>
      <c r="D830">
        <v>46.47</v>
      </c>
      <c r="E830">
        <v>47</v>
      </c>
      <c r="F830">
        <v>29216560</v>
      </c>
      <c r="H830">
        <f t="shared" si="12"/>
        <v>3.4100629805419642E-3</v>
      </c>
    </row>
    <row r="831" spans="1:8" x14ac:dyDescent="0.25">
      <c r="A831" t="s">
        <v>586</v>
      </c>
      <c r="B831">
        <v>46.82</v>
      </c>
      <c r="C831">
        <v>46.94</v>
      </c>
      <c r="D831">
        <v>46.28</v>
      </c>
      <c r="E831">
        <v>46.84</v>
      </c>
      <c r="F831">
        <v>27304409</v>
      </c>
      <c r="H831">
        <f t="shared" si="12"/>
        <v>1.7094021256491012E-3</v>
      </c>
    </row>
    <row r="832" spans="1:8" x14ac:dyDescent="0.25">
      <c r="A832" t="s">
        <v>587</v>
      </c>
      <c r="B832">
        <v>46.47</v>
      </c>
      <c r="C832">
        <v>46.97</v>
      </c>
      <c r="D832">
        <v>46.42</v>
      </c>
      <c r="E832">
        <v>46.76</v>
      </c>
      <c r="F832">
        <v>40302386</v>
      </c>
      <c r="H832">
        <f t="shared" si="12"/>
        <v>6.2211935069805841E-3</v>
      </c>
    </row>
    <row r="833" spans="1:8" x14ac:dyDescent="0.25">
      <c r="A833" t="s">
        <v>588</v>
      </c>
      <c r="B833">
        <v>46.02</v>
      </c>
      <c r="C833">
        <v>46.8</v>
      </c>
      <c r="D833">
        <v>45.99</v>
      </c>
      <c r="E833">
        <v>46.47</v>
      </c>
      <c r="F833">
        <v>45736730</v>
      </c>
      <c r="H833">
        <f t="shared" si="12"/>
        <v>1.2123984835756239E-2</v>
      </c>
    </row>
    <row r="834" spans="1:8" x14ac:dyDescent="0.25">
      <c r="A834" t="s">
        <v>589</v>
      </c>
      <c r="B834">
        <v>45.11</v>
      </c>
      <c r="C834">
        <v>45.93</v>
      </c>
      <c r="D834">
        <v>45.11</v>
      </c>
      <c r="E834">
        <v>45.91</v>
      </c>
      <c r="F834">
        <v>36939360</v>
      </c>
      <c r="H834">
        <f t="shared" si="12"/>
        <v>1.4259318055739399E-2</v>
      </c>
    </row>
    <row r="835" spans="1:8" x14ac:dyDescent="0.25">
      <c r="A835" t="s">
        <v>590</v>
      </c>
      <c r="B835">
        <v>44.74</v>
      </c>
      <c r="C835">
        <v>45.27</v>
      </c>
      <c r="D835">
        <v>44.72</v>
      </c>
      <c r="E835">
        <v>45.26</v>
      </c>
      <c r="F835">
        <v>26478082</v>
      </c>
      <c r="H835">
        <f t="shared" ref="H835:H898" si="13">IFERROR(LN(E835/E836),"")</f>
        <v>6.6504346199555914E-3</v>
      </c>
    </row>
    <row r="836" spans="1:8" x14ac:dyDescent="0.25">
      <c r="A836" t="s">
        <v>591</v>
      </c>
      <c r="B836">
        <v>44.53</v>
      </c>
      <c r="C836">
        <v>45.11</v>
      </c>
      <c r="D836">
        <v>44.53</v>
      </c>
      <c r="E836">
        <v>44.96</v>
      </c>
      <c r="F836">
        <v>33689341</v>
      </c>
      <c r="H836">
        <f t="shared" si="13"/>
        <v>-2.8872868475571809E-3</v>
      </c>
    </row>
    <row r="837" spans="1:8" x14ac:dyDescent="0.25">
      <c r="A837" t="s">
        <v>592</v>
      </c>
      <c r="B837">
        <v>45.43</v>
      </c>
      <c r="C837">
        <v>45.46</v>
      </c>
      <c r="D837">
        <v>44.85</v>
      </c>
      <c r="E837">
        <v>45.09</v>
      </c>
      <c r="F837">
        <v>22976775</v>
      </c>
      <c r="H837">
        <f t="shared" si="13"/>
        <v>-7.5121873383190239E-3</v>
      </c>
    </row>
    <row r="838" spans="1:8" x14ac:dyDescent="0.25">
      <c r="A838" t="s">
        <v>593</v>
      </c>
      <c r="B838">
        <v>45.09</v>
      </c>
      <c r="C838">
        <v>45.44</v>
      </c>
      <c r="D838">
        <v>44.86</v>
      </c>
      <c r="E838">
        <v>45.43</v>
      </c>
      <c r="F838">
        <v>21608625</v>
      </c>
      <c r="H838">
        <f t="shared" si="13"/>
        <v>1.2180418556871013E-2</v>
      </c>
    </row>
    <row r="839" spans="1:8" x14ac:dyDescent="0.25">
      <c r="A839" t="s">
        <v>594</v>
      </c>
      <c r="B839">
        <v>44.75</v>
      </c>
      <c r="C839">
        <v>44.98</v>
      </c>
      <c r="D839">
        <v>44.61</v>
      </c>
      <c r="E839">
        <v>44.88</v>
      </c>
      <c r="F839">
        <v>17657643</v>
      </c>
      <c r="H839">
        <f t="shared" si="13"/>
        <v>2.2284122654911607E-4</v>
      </c>
    </row>
    <row r="840" spans="1:8" x14ac:dyDescent="0.25">
      <c r="A840" t="s">
        <v>595</v>
      </c>
      <c r="B840">
        <v>44.9</v>
      </c>
      <c r="C840">
        <v>45</v>
      </c>
      <c r="D840">
        <v>44.76</v>
      </c>
      <c r="E840">
        <v>44.87</v>
      </c>
      <c r="F840">
        <v>21287931</v>
      </c>
      <c r="H840">
        <f t="shared" si="13"/>
        <v>-2.8930697824278324E-3</v>
      </c>
    </row>
    <row r="841" spans="1:8" x14ac:dyDescent="0.25">
      <c r="A841" t="s">
        <v>596</v>
      </c>
      <c r="B841">
        <v>45.31</v>
      </c>
      <c r="C841">
        <v>45.4</v>
      </c>
      <c r="D841">
        <v>44.94</v>
      </c>
      <c r="E841">
        <v>45</v>
      </c>
      <c r="F841">
        <v>14877669</v>
      </c>
      <c r="H841">
        <f t="shared" si="13"/>
        <v>-3.7706598961931106E-3</v>
      </c>
    </row>
    <row r="842" spans="1:8" x14ac:dyDescent="0.25">
      <c r="A842" t="s">
        <v>597</v>
      </c>
      <c r="B842">
        <v>45.4</v>
      </c>
      <c r="C842">
        <v>45.44</v>
      </c>
      <c r="D842">
        <v>45.04</v>
      </c>
      <c r="E842">
        <v>45.17</v>
      </c>
      <c r="F842">
        <v>16909999</v>
      </c>
      <c r="H842">
        <f t="shared" si="13"/>
        <v>4.4286980351835475E-4</v>
      </c>
    </row>
    <row r="843" spans="1:8" x14ac:dyDescent="0.25">
      <c r="A843" t="s">
        <v>598</v>
      </c>
      <c r="B843">
        <v>45.35</v>
      </c>
      <c r="C843">
        <v>45.47</v>
      </c>
      <c r="D843">
        <v>45.07</v>
      </c>
      <c r="E843">
        <v>45.15</v>
      </c>
      <c r="F843">
        <v>18294741</v>
      </c>
      <c r="H843">
        <f t="shared" si="13"/>
        <v>-1.5491869868293781E-3</v>
      </c>
    </row>
    <row r="844" spans="1:8" x14ac:dyDescent="0.25">
      <c r="A844" t="s">
        <v>599</v>
      </c>
      <c r="B844">
        <v>44.84</v>
      </c>
      <c r="C844">
        <v>45.25</v>
      </c>
      <c r="D844">
        <v>44.83</v>
      </c>
      <c r="E844">
        <v>45.22</v>
      </c>
      <c r="F844">
        <v>22285502</v>
      </c>
      <c r="H844">
        <f t="shared" si="13"/>
        <v>5.988705932194526E-3</v>
      </c>
    </row>
    <row r="845" spans="1:8" x14ac:dyDescent="0.25">
      <c r="A845" t="s">
        <v>600</v>
      </c>
      <c r="B845">
        <v>45.34</v>
      </c>
      <c r="C845">
        <v>45.4</v>
      </c>
      <c r="D845">
        <v>44.9</v>
      </c>
      <c r="E845">
        <v>44.95</v>
      </c>
      <c r="F845">
        <v>24770487</v>
      </c>
      <c r="H845">
        <f t="shared" si="13"/>
        <v>-8.4183040351285092E-3</v>
      </c>
    </row>
    <row r="846" spans="1:8" x14ac:dyDescent="0.25">
      <c r="A846" t="s">
        <v>601</v>
      </c>
      <c r="B846">
        <v>44.97</v>
      </c>
      <c r="C846">
        <v>45.34</v>
      </c>
      <c r="D846">
        <v>44.83</v>
      </c>
      <c r="E846">
        <v>45.33</v>
      </c>
      <c r="F846">
        <v>28139494</v>
      </c>
      <c r="H846">
        <f t="shared" si="13"/>
        <v>4.8651135324533495E-3</v>
      </c>
    </row>
    <row r="847" spans="1:8" x14ac:dyDescent="0.25">
      <c r="A847" t="s">
        <v>602</v>
      </c>
      <c r="B847">
        <v>44.94</v>
      </c>
      <c r="C847">
        <v>45.11</v>
      </c>
      <c r="D847">
        <v>44.68</v>
      </c>
      <c r="E847">
        <v>45.11</v>
      </c>
      <c r="F847">
        <v>26895359</v>
      </c>
      <c r="H847">
        <f t="shared" si="13"/>
        <v>7.1190512010957741E-3</v>
      </c>
    </row>
    <row r="848" spans="1:8" x14ac:dyDescent="0.25">
      <c r="A848" t="s">
        <v>603</v>
      </c>
      <c r="B848">
        <v>44.58</v>
      </c>
      <c r="C848">
        <v>44.9</v>
      </c>
      <c r="D848">
        <v>44.4</v>
      </c>
      <c r="E848">
        <v>44.79</v>
      </c>
      <c r="F848">
        <v>41611308</v>
      </c>
      <c r="H848">
        <f t="shared" si="13"/>
        <v>1.1677653475158858E-2</v>
      </c>
    </row>
    <row r="849" spans="1:8" x14ac:dyDescent="0.25">
      <c r="A849" t="s">
        <v>604</v>
      </c>
      <c r="B849">
        <v>44.08</v>
      </c>
      <c r="C849">
        <v>44.42</v>
      </c>
      <c r="D849">
        <v>44.01</v>
      </c>
      <c r="E849">
        <v>44.27</v>
      </c>
      <c r="F849">
        <v>19313194</v>
      </c>
      <c r="H849">
        <f t="shared" si="13"/>
        <v>4.3010818993907017E-3</v>
      </c>
    </row>
    <row r="850" spans="1:8" x14ac:dyDescent="0.25">
      <c r="A850" t="s">
        <v>605</v>
      </c>
      <c r="B850">
        <v>43.68</v>
      </c>
      <c r="C850">
        <v>44.18</v>
      </c>
      <c r="D850">
        <v>43.52</v>
      </c>
      <c r="E850">
        <v>44.08</v>
      </c>
      <c r="F850">
        <v>22889484</v>
      </c>
      <c r="H850">
        <f t="shared" si="13"/>
        <v>1.2785562296971704E-2</v>
      </c>
    </row>
    <row r="851" spans="1:8" x14ac:dyDescent="0.25">
      <c r="A851" t="s">
        <v>606</v>
      </c>
      <c r="B851">
        <v>43.04</v>
      </c>
      <c r="C851">
        <v>43.59</v>
      </c>
      <c r="D851">
        <v>43</v>
      </c>
      <c r="E851">
        <v>43.52</v>
      </c>
      <c r="F851">
        <v>21433589</v>
      </c>
      <c r="H851">
        <f t="shared" si="13"/>
        <v>7.38010729762246E-3</v>
      </c>
    </row>
    <row r="852" spans="1:8" x14ac:dyDescent="0.25">
      <c r="A852" t="s">
        <v>607</v>
      </c>
      <c r="B852">
        <v>43.26</v>
      </c>
      <c r="C852">
        <v>43.45</v>
      </c>
      <c r="D852">
        <v>43.02</v>
      </c>
      <c r="E852">
        <v>43.2</v>
      </c>
      <c r="F852">
        <v>20351600</v>
      </c>
      <c r="H852">
        <f t="shared" si="13"/>
        <v>0</v>
      </c>
    </row>
    <row r="853" spans="1:8" x14ac:dyDescent="0.25">
      <c r="A853" t="s">
        <v>608</v>
      </c>
      <c r="B853">
        <v>43.23</v>
      </c>
      <c r="C853">
        <v>43.32</v>
      </c>
      <c r="D853">
        <v>42.91</v>
      </c>
      <c r="E853">
        <v>43.2</v>
      </c>
      <c r="F853">
        <v>28943024</v>
      </c>
      <c r="H853">
        <f t="shared" si="13"/>
        <v>-6.9420342947568387E-4</v>
      </c>
    </row>
    <row r="854" spans="1:8" x14ac:dyDescent="0.25">
      <c r="A854" t="s">
        <v>609</v>
      </c>
      <c r="B854">
        <v>42.84</v>
      </c>
      <c r="C854">
        <v>43.45</v>
      </c>
      <c r="D854">
        <v>42.65</v>
      </c>
      <c r="E854">
        <v>43.23</v>
      </c>
      <c r="F854">
        <v>30315183</v>
      </c>
      <c r="H854">
        <f t="shared" si="13"/>
        <v>1.1399448788538821E-2</v>
      </c>
    </row>
    <row r="855" spans="1:8" x14ac:dyDescent="0.25">
      <c r="A855" t="s">
        <v>610</v>
      </c>
      <c r="B855">
        <v>42.74</v>
      </c>
      <c r="C855">
        <v>43.17</v>
      </c>
      <c r="D855">
        <v>42.21</v>
      </c>
      <c r="E855">
        <v>42.74</v>
      </c>
      <c r="F855">
        <v>24633966</v>
      </c>
      <c r="H855">
        <f t="shared" si="13"/>
        <v>-7.9236023971861712E-3</v>
      </c>
    </row>
    <row r="856" spans="1:8" x14ac:dyDescent="0.25">
      <c r="A856" t="s">
        <v>611</v>
      </c>
      <c r="B856">
        <v>43.37</v>
      </c>
      <c r="C856">
        <v>43.46</v>
      </c>
      <c r="D856">
        <v>42.83</v>
      </c>
      <c r="E856">
        <v>43.08</v>
      </c>
      <c r="F856">
        <v>26267500</v>
      </c>
      <c r="H856">
        <f t="shared" si="13"/>
        <v>-6.709105559087011E-3</v>
      </c>
    </row>
    <row r="857" spans="1:8" x14ac:dyDescent="0.25">
      <c r="A857" t="s">
        <v>612</v>
      </c>
      <c r="B857">
        <v>42.97</v>
      </c>
      <c r="C857">
        <v>43.47</v>
      </c>
      <c r="D857">
        <v>42.81</v>
      </c>
      <c r="E857">
        <v>43.37</v>
      </c>
      <c r="F857">
        <v>34277387</v>
      </c>
      <c r="H857">
        <f t="shared" si="13"/>
        <v>1.1828967801843903E-2</v>
      </c>
    </row>
    <row r="858" spans="1:8" x14ac:dyDescent="0.25">
      <c r="A858" t="s">
        <v>613</v>
      </c>
      <c r="B858">
        <v>43.21</v>
      </c>
      <c r="C858">
        <v>43.25</v>
      </c>
      <c r="D858">
        <v>42.6</v>
      </c>
      <c r="E858">
        <v>42.86</v>
      </c>
      <c r="F858">
        <v>31171094</v>
      </c>
      <c r="H858">
        <f t="shared" si="13"/>
        <v>-6.9751503445028571E-3</v>
      </c>
    </row>
    <row r="859" spans="1:8" x14ac:dyDescent="0.25">
      <c r="A859" t="s">
        <v>614</v>
      </c>
      <c r="B859">
        <v>43.38</v>
      </c>
      <c r="C859">
        <v>43.69</v>
      </c>
      <c r="D859">
        <v>43.08</v>
      </c>
      <c r="E859">
        <v>43.16</v>
      </c>
      <c r="F859">
        <v>31540882</v>
      </c>
      <c r="H859">
        <f t="shared" si="13"/>
        <v>-9.6841891265399809E-3</v>
      </c>
    </row>
    <row r="860" spans="1:8" x14ac:dyDescent="0.25">
      <c r="A860" t="s">
        <v>615</v>
      </c>
      <c r="B860">
        <v>44.07</v>
      </c>
      <c r="C860">
        <v>44.1</v>
      </c>
      <c r="D860">
        <v>43.29</v>
      </c>
      <c r="E860">
        <v>43.58</v>
      </c>
      <c r="F860">
        <v>31925735</v>
      </c>
      <c r="H860">
        <f t="shared" si="13"/>
        <v>-6.8603058905557391E-3</v>
      </c>
    </row>
    <row r="861" spans="1:8" x14ac:dyDescent="0.25">
      <c r="A861" t="s">
        <v>616</v>
      </c>
      <c r="B861">
        <v>43.91</v>
      </c>
      <c r="C861">
        <v>44.09</v>
      </c>
      <c r="D861">
        <v>43.64</v>
      </c>
      <c r="E861">
        <v>43.88</v>
      </c>
      <c r="F861">
        <v>27764099</v>
      </c>
      <c r="H861">
        <f t="shared" si="13"/>
        <v>-2.048947785689178E-3</v>
      </c>
    </row>
    <row r="862" spans="1:8" x14ac:dyDescent="0.25">
      <c r="A862" t="s">
        <v>617</v>
      </c>
      <c r="B862">
        <v>44.36</v>
      </c>
      <c r="C862">
        <v>44.51</v>
      </c>
      <c r="D862">
        <v>43.93</v>
      </c>
      <c r="E862">
        <v>43.97</v>
      </c>
      <c r="F862">
        <v>29687677</v>
      </c>
      <c r="H862">
        <f t="shared" si="13"/>
        <v>-1.1981605979475856E-2</v>
      </c>
    </row>
    <row r="863" spans="1:8" x14ac:dyDescent="0.25">
      <c r="A863" t="s">
        <v>618</v>
      </c>
      <c r="B863">
        <v>44.3</v>
      </c>
      <c r="C863">
        <v>44.66</v>
      </c>
      <c r="D863">
        <v>44.3</v>
      </c>
      <c r="E863">
        <v>44.5</v>
      </c>
      <c r="F863">
        <v>26737724</v>
      </c>
      <c r="H863">
        <f t="shared" si="13"/>
        <v>2.2497197340155461E-3</v>
      </c>
    </row>
    <row r="864" spans="1:8" x14ac:dyDescent="0.25">
      <c r="A864" t="s">
        <v>619</v>
      </c>
      <c r="B864">
        <v>44.93</v>
      </c>
      <c r="C864">
        <v>45</v>
      </c>
      <c r="D864">
        <v>44.32</v>
      </c>
      <c r="E864">
        <v>44.4</v>
      </c>
      <c r="F864">
        <v>30725348</v>
      </c>
      <c r="H864">
        <f t="shared" si="13"/>
        <v>-1.0529950549712896E-2</v>
      </c>
    </row>
    <row r="865" spans="1:8" x14ac:dyDescent="0.25">
      <c r="A865" t="s">
        <v>620</v>
      </c>
      <c r="B865">
        <v>45.45</v>
      </c>
      <c r="C865">
        <v>45.45</v>
      </c>
      <c r="D865">
        <v>44.62</v>
      </c>
      <c r="E865">
        <v>44.87</v>
      </c>
      <c r="F865">
        <v>52363948</v>
      </c>
      <c r="H865">
        <f t="shared" si="13"/>
        <v>8.9186182054375792E-4</v>
      </c>
    </row>
    <row r="866" spans="1:8" x14ac:dyDescent="0.25">
      <c r="A866" t="s">
        <v>621</v>
      </c>
      <c r="B866">
        <v>45</v>
      </c>
      <c r="C866">
        <v>45.15</v>
      </c>
      <c r="D866">
        <v>44.59</v>
      </c>
      <c r="E866">
        <v>44.83</v>
      </c>
      <c r="F866">
        <v>43095820</v>
      </c>
      <c r="H866">
        <f t="shared" si="13"/>
        <v>-2.2304003661112703E-4</v>
      </c>
    </row>
    <row r="867" spans="1:8" x14ac:dyDescent="0.25">
      <c r="A867" t="s">
        <v>622</v>
      </c>
      <c r="B867">
        <v>44.56</v>
      </c>
      <c r="C867">
        <v>45.16</v>
      </c>
      <c r="D867">
        <v>44.22</v>
      </c>
      <c r="E867">
        <v>44.84</v>
      </c>
      <c r="F867">
        <v>37604378</v>
      </c>
      <c r="H867">
        <f t="shared" si="13"/>
        <v>3.350835258599221E-3</v>
      </c>
    </row>
    <row r="868" spans="1:8" x14ac:dyDescent="0.25">
      <c r="A868" t="s">
        <v>623</v>
      </c>
      <c r="B868">
        <v>44.65</v>
      </c>
      <c r="C868">
        <v>44.84</v>
      </c>
      <c r="D868">
        <v>44.25</v>
      </c>
      <c r="E868">
        <v>44.69</v>
      </c>
      <c r="F868">
        <v>43407490</v>
      </c>
      <c r="H868">
        <f t="shared" si="13"/>
        <v>3.5866436117491518E-3</v>
      </c>
    </row>
    <row r="869" spans="1:8" x14ac:dyDescent="0.25">
      <c r="A869" t="s">
        <v>624</v>
      </c>
      <c r="B869">
        <v>45.45</v>
      </c>
      <c r="C869">
        <v>45.71</v>
      </c>
      <c r="D869">
        <v>44.25</v>
      </c>
      <c r="E869">
        <v>44.53</v>
      </c>
      <c r="F869">
        <v>82180263</v>
      </c>
      <c r="H869">
        <f t="shared" si="13"/>
        <v>1.0156954488951946E-2</v>
      </c>
    </row>
    <row r="870" spans="1:8" x14ac:dyDescent="0.25">
      <c r="A870" t="s">
        <v>625</v>
      </c>
      <c r="B870">
        <v>42.51</v>
      </c>
      <c r="C870">
        <v>44.31</v>
      </c>
      <c r="D870">
        <v>42.48</v>
      </c>
      <c r="E870">
        <v>44.08</v>
      </c>
      <c r="F870">
        <v>63322372</v>
      </c>
      <c r="H870">
        <f t="shared" si="13"/>
        <v>3.7679252087302516E-2</v>
      </c>
    </row>
    <row r="871" spans="1:8" x14ac:dyDescent="0.25">
      <c r="A871" t="s">
        <v>626</v>
      </c>
      <c r="B871">
        <v>42.33</v>
      </c>
      <c r="C871">
        <v>42.47</v>
      </c>
      <c r="D871">
        <v>42.03</v>
      </c>
      <c r="E871">
        <v>42.45</v>
      </c>
      <c r="F871">
        <v>28758961</v>
      </c>
      <c r="H871">
        <f t="shared" si="13"/>
        <v>7.3295043813134501E-3</v>
      </c>
    </row>
    <row r="872" spans="1:8" x14ac:dyDescent="0.25">
      <c r="A872" t="s">
        <v>627</v>
      </c>
      <c r="B872">
        <v>42.22</v>
      </c>
      <c r="C872">
        <v>42.45</v>
      </c>
      <c r="D872">
        <v>42.04</v>
      </c>
      <c r="E872">
        <v>42.14</v>
      </c>
      <c r="F872">
        <v>21882943</v>
      </c>
      <c r="H872">
        <f t="shared" si="13"/>
        <v>1.1872255935636556E-3</v>
      </c>
    </row>
    <row r="873" spans="1:8" x14ac:dyDescent="0.25">
      <c r="A873" t="s">
        <v>628</v>
      </c>
      <c r="B873">
        <v>41.7</v>
      </c>
      <c r="C873">
        <v>42.09</v>
      </c>
      <c r="D873">
        <v>41.48</v>
      </c>
      <c r="E873">
        <v>42.09</v>
      </c>
      <c r="F873">
        <v>24087374</v>
      </c>
      <c r="H873">
        <f t="shared" si="13"/>
        <v>9.7887853373679178E-3</v>
      </c>
    </row>
    <row r="874" spans="1:8" x14ac:dyDescent="0.25">
      <c r="A874" t="s">
        <v>629</v>
      </c>
      <c r="B874">
        <v>41.37</v>
      </c>
      <c r="C874">
        <v>42</v>
      </c>
      <c r="D874">
        <v>41.05</v>
      </c>
      <c r="E874">
        <v>41.68</v>
      </c>
      <c r="F874">
        <v>21856832</v>
      </c>
      <c r="H874">
        <f t="shared" si="13"/>
        <v>2.3995201074937856E-4</v>
      </c>
    </row>
    <row r="875" spans="1:8" x14ac:dyDescent="0.25">
      <c r="A875" t="s">
        <v>630</v>
      </c>
      <c r="B875">
        <v>41.98</v>
      </c>
      <c r="C875">
        <v>41.99</v>
      </c>
      <c r="D875">
        <v>41.53</v>
      </c>
      <c r="E875">
        <v>41.67</v>
      </c>
      <c r="F875">
        <v>18445910</v>
      </c>
      <c r="H875">
        <f t="shared" si="13"/>
        <v>-2.6363106940576718E-3</v>
      </c>
    </row>
    <row r="876" spans="1:8" x14ac:dyDescent="0.25">
      <c r="A876" t="s">
        <v>631</v>
      </c>
      <c r="B876">
        <v>41.87</v>
      </c>
      <c r="C876">
        <v>42</v>
      </c>
      <c r="D876">
        <v>41.61</v>
      </c>
      <c r="E876">
        <v>41.78</v>
      </c>
      <c r="F876">
        <v>31218208</v>
      </c>
      <c r="H876">
        <f t="shared" si="13"/>
        <v>-5.0137385676822218E-3</v>
      </c>
    </row>
    <row r="877" spans="1:8" x14ac:dyDescent="0.25">
      <c r="A877" t="s">
        <v>632</v>
      </c>
      <c r="B877">
        <v>41.75</v>
      </c>
      <c r="C877">
        <v>42.12</v>
      </c>
      <c r="D877">
        <v>41.71</v>
      </c>
      <c r="E877">
        <v>41.99</v>
      </c>
      <c r="F877">
        <v>21953619</v>
      </c>
      <c r="H877">
        <f t="shared" si="13"/>
        <v>4.5351551653913628E-3</v>
      </c>
    </row>
    <row r="878" spans="1:8" x14ac:dyDescent="0.25">
      <c r="A878" t="s">
        <v>633</v>
      </c>
      <c r="B878">
        <v>41.91</v>
      </c>
      <c r="C878">
        <v>41.99</v>
      </c>
      <c r="D878">
        <v>41.56</v>
      </c>
      <c r="E878">
        <v>41.8</v>
      </c>
      <c r="F878">
        <v>15969310</v>
      </c>
      <c r="H878">
        <f t="shared" si="13"/>
        <v>-2.3894873973814672E-3</v>
      </c>
    </row>
    <row r="879" spans="1:8" x14ac:dyDescent="0.25">
      <c r="A879" t="s">
        <v>634</v>
      </c>
      <c r="B879">
        <v>41.73</v>
      </c>
      <c r="C879">
        <v>41.9</v>
      </c>
      <c r="D879">
        <v>41.53</v>
      </c>
      <c r="E879">
        <v>41.9</v>
      </c>
      <c r="F879">
        <v>20208526</v>
      </c>
      <c r="H879">
        <f t="shared" si="13"/>
        <v>7.1624689704005283E-4</v>
      </c>
    </row>
    <row r="880" spans="1:8" x14ac:dyDescent="0.25">
      <c r="A880" t="s">
        <v>635</v>
      </c>
      <c r="B880">
        <v>41.86</v>
      </c>
      <c r="C880">
        <v>42.15</v>
      </c>
      <c r="D880">
        <v>41.69</v>
      </c>
      <c r="E880">
        <v>41.87</v>
      </c>
      <c r="F880">
        <v>26922597</v>
      </c>
      <c r="H880">
        <f t="shared" si="13"/>
        <v>4.0684512262959939E-3</v>
      </c>
    </row>
    <row r="881" spans="1:8" x14ac:dyDescent="0.25">
      <c r="A881" t="s">
        <v>636</v>
      </c>
      <c r="B881">
        <v>42.17</v>
      </c>
      <c r="C881">
        <v>42.21</v>
      </c>
      <c r="D881">
        <v>41.7</v>
      </c>
      <c r="E881">
        <v>41.7</v>
      </c>
      <c r="F881">
        <v>30805472</v>
      </c>
      <c r="H881">
        <f t="shared" si="13"/>
        <v>-1.3103224998426999E-2</v>
      </c>
    </row>
    <row r="882" spans="1:8" x14ac:dyDescent="0.25">
      <c r="A882" t="s">
        <v>637</v>
      </c>
      <c r="B882">
        <v>41.61</v>
      </c>
      <c r="C882">
        <v>42.29</v>
      </c>
      <c r="D882">
        <v>41.51</v>
      </c>
      <c r="E882">
        <v>42.25</v>
      </c>
      <c r="F882">
        <v>74641945</v>
      </c>
      <c r="H882">
        <f t="shared" si="13"/>
        <v>1.2623723670611127E-2</v>
      </c>
    </row>
    <row r="883" spans="1:8" x14ac:dyDescent="0.25">
      <c r="A883" t="s">
        <v>638</v>
      </c>
      <c r="B883">
        <v>41.93</v>
      </c>
      <c r="C883">
        <v>41.94</v>
      </c>
      <c r="D883">
        <v>41.43</v>
      </c>
      <c r="E883">
        <v>41.72</v>
      </c>
      <c r="F883">
        <v>23604409</v>
      </c>
      <c r="H883">
        <f t="shared" si="13"/>
        <v>-7.403018884453735E-3</v>
      </c>
    </row>
    <row r="884" spans="1:8" x14ac:dyDescent="0.25">
      <c r="A884" t="s">
        <v>639</v>
      </c>
      <c r="B884">
        <v>41.7</v>
      </c>
      <c r="C884">
        <v>42.05</v>
      </c>
      <c r="D884">
        <v>41.46</v>
      </c>
      <c r="E884">
        <v>42.03</v>
      </c>
      <c r="F884">
        <v>20051576</v>
      </c>
      <c r="H884">
        <f t="shared" si="13"/>
        <v>6.9237473679707095E-3</v>
      </c>
    </row>
    <row r="885" spans="1:8" x14ac:dyDescent="0.25">
      <c r="A885" t="s">
        <v>640</v>
      </c>
      <c r="B885">
        <v>41.83</v>
      </c>
      <c r="C885">
        <v>41.94</v>
      </c>
      <c r="D885">
        <v>41.56</v>
      </c>
      <c r="E885">
        <v>41.74</v>
      </c>
      <c r="F885">
        <v>26518274</v>
      </c>
      <c r="H885">
        <f t="shared" si="13"/>
        <v>-5.9715930470472618E-3</v>
      </c>
    </row>
    <row r="886" spans="1:8" x14ac:dyDescent="0.25">
      <c r="A886" t="s">
        <v>641</v>
      </c>
      <c r="B886">
        <v>41.73</v>
      </c>
      <c r="C886">
        <v>42</v>
      </c>
      <c r="D886">
        <v>41.69</v>
      </c>
      <c r="E886">
        <v>41.99</v>
      </c>
      <c r="F886">
        <v>18743905</v>
      </c>
      <c r="H886">
        <f t="shared" si="13"/>
        <v>7.4100972509905522E-3</v>
      </c>
    </row>
    <row r="887" spans="1:8" x14ac:dyDescent="0.25">
      <c r="A887" t="s">
        <v>642</v>
      </c>
      <c r="B887">
        <v>41.44</v>
      </c>
      <c r="C887">
        <v>41.83</v>
      </c>
      <c r="D887">
        <v>41.38</v>
      </c>
      <c r="E887">
        <v>41.68</v>
      </c>
      <c r="F887">
        <v>47765407</v>
      </c>
      <c r="H887">
        <f t="shared" si="13"/>
        <v>4.0870353801642379E-3</v>
      </c>
    </row>
    <row r="888" spans="1:8" x14ac:dyDescent="0.25">
      <c r="A888" t="s">
        <v>643</v>
      </c>
      <c r="B888">
        <v>41.57</v>
      </c>
      <c r="C888">
        <v>41.77</v>
      </c>
      <c r="D888">
        <v>41.33</v>
      </c>
      <c r="E888">
        <v>41.51</v>
      </c>
      <c r="F888">
        <v>19837767</v>
      </c>
      <c r="H888">
        <f t="shared" si="13"/>
        <v>-3.3670065479042954E-3</v>
      </c>
    </row>
    <row r="889" spans="1:8" x14ac:dyDescent="0.25">
      <c r="A889" t="s">
        <v>644</v>
      </c>
      <c r="B889">
        <v>41.6</v>
      </c>
      <c r="C889">
        <v>41.74</v>
      </c>
      <c r="D889">
        <v>41.18</v>
      </c>
      <c r="E889">
        <v>41.65</v>
      </c>
      <c r="F889">
        <v>27097228</v>
      </c>
      <c r="H889">
        <f t="shared" si="13"/>
        <v>-7.2002883225982903E-4</v>
      </c>
    </row>
    <row r="890" spans="1:8" x14ac:dyDescent="0.25">
      <c r="A890" t="s">
        <v>645</v>
      </c>
      <c r="B890">
        <v>41.29</v>
      </c>
      <c r="C890">
        <v>41.91</v>
      </c>
      <c r="D890">
        <v>40.340000000000003</v>
      </c>
      <c r="E890">
        <v>41.68</v>
      </c>
      <c r="F890">
        <v>22518630</v>
      </c>
      <c r="H890">
        <f t="shared" si="13"/>
        <v>4.3279702084589537E-3</v>
      </c>
    </row>
    <row r="891" spans="1:8" x14ac:dyDescent="0.25">
      <c r="A891" t="s">
        <v>646</v>
      </c>
      <c r="B891">
        <v>41.04</v>
      </c>
      <c r="C891">
        <v>41.61</v>
      </c>
      <c r="D891">
        <v>41.04</v>
      </c>
      <c r="E891">
        <v>41.5</v>
      </c>
      <c r="F891">
        <v>24205297</v>
      </c>
      <c r="H891">
        <f t="shared" si="13"/>
        <v>6.5272805178441112E-3</v>
      </c>
    </row>
    <row r="892" spans="1:8" x14ac:dyDescent="0.25">
      <c r="A892" t="s">
        <v>647</v>
      </c>
      <c r="B892">
        <v>41.1</v>
      </c>
      <c r="C892">
        <v>41.56</v>
      </c>
      <c r="D892">
        <v>40.86</v>
      </c>
      <c r="E892">
        <v>41.23</v>
      </c>
      <c r="F892">
        <v>26310697</v>
      </c>
      <c r="H892">
        <f t="shared" si="13"/>
        <v>1.5890812321140015E-2</v>
      </c>
    </row>
    <row r="893" spans="1:8" x14ac:dyDescent="0.25">
      <c r="A893" t="s">
        <v>648</v>
      </c>
      <c r="B893">
        <v>40.81</v>
      </c>
      <c r="C893">
        <v>40.880000000000003</v>
      </c>
      <c r="D893">
        <v>40.29</v>
      </c>
      <c r="E893">
        <v>40.58</v>
      </c>
      <c r="F893">
        <v>29823030</v>
      </c>
      <c r="H893">
        <f t="shared" si="13"/>
        <v>-6.8762549918073316E-3</v>
      </c>
    </row>
    <row r="894" spans="1:8" x14ac:dyDescent="0.25">
      <c r="A894" t="s">
        <v>649</v>
      </c>
      <c r="B894">
        <v>40.93</v>
      </c>
      <c r="C894">
        <v>41.07</v>
      </c>
      <c r="D894">
        <v>40.76</v>
      </c>
      <c r="E894">
        <v>40.86</v>
      </c>
      <c r="F894">
        <v>18039990</v>
      </c>
      <c r="H894">
        <f t="shared" si="13"/>
        <v>-6.099811520311086E-3</v>
      </c>
    </row>
    <row r="895" spans="1:8" x14ac:dyDescent="0.25">
      <c r="A895" t="s">
        <v>650</v>
      </c>
      <c r="B895">
        <v>41.03</v>
      </c>
      <c r="C895">
        <v>41.16</v>
      </c>
      <c r="D895">
        <v>40.86</v>
      </c>
      <c r="E895">
        <v>41.11</v>
      </c>
      <c r="F895">
        <v>15117689</v>
      </c>
      <c r="H895">
        <f t="shared" si="13"/>
        <v>-3.8844428547035181E-3</v>
      </c>
    </row>
    <row r="896" spans="1:8" x14ac:dyDescent="0.25">
      <c r="A896" t="s">
        <v>651</v>
      </c>
      <c r="B896">
        <v>41.39</v>
      </c>
      <c r="C896">
        <v>41.48</v>
      </c>
      <c r="D896">
        <v>41.02</v>
      </c>
      <c r="E896">
        <v>41.27</v>
      </c>
      <c r="F896">
        <v>15019425</v>
      </c>
      <c r="H896">
        <f t="shared" si="13"/>
        <v>-5.075539596836009E-3</v>
      </c>
    </row>
    <row r="897" spans="1:8" x14ac:dyDescent="0.25">
      <c r="A897" t="s">
        <v>652</v>
      </c>
      <c r="B897">
        <v>41.48</v>
      </c>
      <c r="C897">
        <v>41.66</v>
      </c>
      <c r="D897">
        <v>41.24</v>
      </c>
      <c r="E897">
        <v>41.48</v>
      </c>
      <c r="F897">
        <v>24060542</v>
      </c>
      <c r="H897">
        <f t="shared" si="13"/>
        <v>6.5304380106004211E-3</v>
      </c>
    </row>
    <row r="898" spans="1:8" x14ac:dyDescent="0.25">
      <c r="A898" t="s">
        <v>653</v>
      </c>
      <c r="B898">
        <v>40.590000000000003</v>
      </c>
      <c r="C898">
        <v>41.25</v>
      </c>
      <c r="D898">
        <v>40.4</v>
      </c>
      <c r="E898">
        <v>41.21</v>
      </c>
      <c r="F898">
        <v>31865213</v>
      </c>
      <c r="H898">
        <f t="shared" si="13"/>
        <v>2.1833321587612892E-2</v>
      </c>
    </row>
    <row r="899" spans="1:8" x14ac:dyDescent="0.25">
      <c r="A899" t="s">
        <v>654</v>
      </c>
      <c r="B899">
        <v>40.21</v>
      </c>
      <c r="C899">
        <v>40.369999999999997</v>
      </c>
      <c r="D899">
        <v>39.86</v>
      </c>
      <c r="E899">
        <v>40.32</v>
      </c>
      <c r="F899">
        <v>23210341</v>
      </c>
      <c r="H899">
        <f t="shared" ref="H899:H962" si="14">IFERROR(LN(E899/E900),"")</f>
        <v>7.443245598572956E-4</v>
      </c>
    </row>
    <row r="900" spans="1:8" x14ac:dyDescent="0.25">
      <c r="A900" t="s">
        <v>655</v>
      </c>
      <c r="B900">
        <v>40.6</v>
      </c>
      <c r="C900">
        <v>40.68</v>
      </c>
      <c r="D900">
        <v>40.25</v>
      </c>
      <c r="E900">
        <v>40.29</v>
      </c>
      <c r="F900">
        <v>18071096</v>
      </c>
      <c r="H900">
        <f t="shared" si="14"/>
        <v>-1.2333654126211147E-2</v>
      </c>
    </row>
    <row r="901" spans="1:8" x14ac:dyDescent="0.25">
      <c r="A901" t="s">
        <v>656</v>
      </c>
      <c r="B901">
        <v>40.950000000000003</v>
      </c>
      <c r="C901">
        <v>41.09</v>
      </c>
      <c r="D901">
        <v>40.68</v>
      </c>
      <c r="E901">
        <v>40.79</v>
      </c>
      <c r="F901">
        <v>18504300</v>
      </c>
      <c r="H901">
        <f t="shared" si="14"/>
        <v>-3.6706269036763995E-3</v>
      </c>
    </row>
    <row r="902" spans="1:8" x14ac:dyDescent="0.25">
      <c r="A902" t="s">
        <v>657</v>
      </c>
      <c r="B902">
        <v>40.450000000000003</v>
      </c>
      <c r="C902">
        <v>40.97</v>
      </c>
      <c r="D902">
        <v>40.25</v>
      </c>
      <c r="E902">
        <v>40.94</v>
      </c>
      <c r="F902">
        <v>34575579</v>
      </c>
      <c r="H902">
        <f t="shared" si="14"/>
        <v>1.4764047707077543E-2</v>
      </c>
    </row>
    <row r="903" spans="1:8" x14ac:dyDescent="0.25">
      <c r="A903" t="s">
        <v>658</v>
      </c>
      <c r="B903">
        <v>40.15</v>
      </c>
      <c r="C903">
        <v>40.35</v>
      </c>
      <c r="D903">
        <v>39.909999999999997</v>
      </c>
      <c r="E903">
        <v>40.340000000000003</v>
      </c>
      <c r="F903">
        <v>19893872</v>
      </c>
      <c r="H903">
        <f t="shared" si="14"/>
        <v>8.2141096569222083E-3</v>
      </c>
    </row>
    <row r="904" spans="1:8" x14ac:dyDescent="0.25">
      <c r="A904" t="s">
        <v>659</v>
      </c>
      <c r="B904">
        <v>40.14</v>
      </c>
      <c r="C904">
        <v>40.19</v>
      </c>
      <c r="D904">
        <v>39.82</v>
      </c>
      <c r="E904">
        <v>40.01</v>
      </c>
      <c r="F904">
        <v>25711565</v>
      </c>
      <c r="H904">
        <f t="shared" si="14"/>
        <v>-4.4887855919660928E-3</v>
      </c>
    </row>
    <row r="905" spans="1:8" x14ac:dyDescent="0.25">
      <c r="A905" t="s">
        <v>660</v>
      </c>
      <c r="B905">
        <v>40.26</v>
      </c>
      <c r="C905">
        <v>40.26</v>
      </c>
      <c r="D905">
        <v>39.81</v>
      </c>
      <c r="E905">
        <v>40.19</v>
      </c>
      <c r="F905">
        <v>26161164</v>
      </c>
      <c r="H905">
        <f t="shared" si="14"/>
        <v>1.7432453673749157E-3</v>
      </c>
    </row>
    <row r="906" spans="1:8" x14ac:dyDescent="0.25">
      <c r="A906" t="s">
        <v>661</v>
      </c>
      <c r="B906">
        <v>40.369999999999997</v>
      </c>
      <c r="C906">
        <v>40.369999999999997</v>
      </c>
      <c r="D906">
        <v>40</v>
      </c>
      <c r="E906">
        <v>40.119999999999997</v>
      </c>
      <c r="F906">
        <v>18020866</v>
      </c>
      <c r="H906">
        <f t="shared" si="14"/>
        <v>4.9862878121122655E-4</v>
      </c>
    </row>
    <row r="907" spans="1:8" x14ac:dyDescent="0.25">
      <c r="A907" t="s">
        <v>662</v>
      </c>
      <c r="B907">
        <v>40.29</v>
      </c>
      <c r="C907">
        <v>40.35</v>
      </c>
      <c r="D907">
        <v>39.85</v>
      </c>
      <c r="E907">
        <v>40.1</v>
      </c>
      <c r="F907">
        <v>20202485</v>
      </c>
      <c r="H907">
        <f t="shared" si="14"/>
        <v>-6.2150604034342848E-3</v>
      </c>
    </row>
    <row r="908" spans="1:8" x14ac:dyDescent="0.25">
      <c r="A908" t="s">
        <v>663</v>
      </c>
      <c r="B908">
        <v>39.799999999999997</v>
      </c>
      <c r="C908">
        <v>40.35</v>
      </c>
      <c r="D908">
        <v>39.74</v>
      </c>
      <c r="E908">
        <v>40.35</v>
      </c>
      <c r="F908">
        <v>22399392</v>
      </c>
      <c r="H908">
        <f t="shared" si="14"/>
        <v>1.6744112299285727E-2</v>
      </c>
    </row>
    <row r="909" spans="1:8" x14ac:dyDescent="0.25">
      <c r="A909" t="s">
        <v>664</v>
      </c>
      <c r="B909">
        <v>39.68</v>
      </c>
      <c r="C909">
        <v>39.94</v>
      </c>
      <c r="D909">
        <v>39.46</v>
      </c>
      <c r="E909">
        <v>39.68</v>
      </c>
      <c r="F909">
        <v>21322341</v>
      </c>
      <c r="H909">
        <f t="shared" si="14"/>
        <v>-1.7625586836688847E-3</v>
      </c>
    </row>
    <row r="910" spans="1:8" x14ac:dyDescent="0.25">
      <c r="A910" t="s">
        <v>665</v>
      </c>
      <c r="B910">
        <v>39.61</v>
      </c>
      <c r="C910">
        <v>39.82</v>
      </c>
      <c r="D910">
        <v>39.46</v>
      </c>
      <c r="E910">
        <v>39.75</v>
      </c>
      <c r="F910">
        <v>24537438</v>
      </c>
      <c r="H910">
        <f t="shared" si="14"/>
        <v>-2.010556093211921E-3</v>
      </c>
    </row>
    <row r="911" spans="1:8" x14ac:dyDescent="0.25">
      <c r="A911" t="s">
        <v>666</v>
      </c>
      <c r="B911">
        <v>39.67</v>
      </c>
      <c r="C911">
        <v>39.840000000000003</v>
      </c>
      <c r="D911">
        <v>39.270000000000003</v>
      </c>
      <c r="E911">
        <v>39.83</v>
      </c>
      <c r="F911">
        <v>29868272</v>
      </c>
      <c r="H911">
        <f t="shared" si="14"/>
        <v>5.7912789331178958E-3</v>
      </c>
    </row>
    <row r="912" spans="1:8" x14ac:dyDescent="0.25">
      <c r="A912" t="s">
        <v>667</v>
      </c>
      <c r="B912">
        <v>40.090000000000003</v>
      </c>
      <c r="C912">
        <v>40.4</v>
      </c>
      <c r="D912">
        <v>39.51</v>
      </c>
      <c r="E912">
        <v>39.6</v>
      </c>
      <c r="F912">
        <v>37793243</v>
      </c>
      <c r="H912">
        <f t="shared" si="14"/>
        <v>-1.6032407531048884E-2</v>
      </c>
    </row>
    <row r="913" spans="1:8" x14ac:dyDescent="0.25">
      <c r="A913" t="s">
        <v>668</v>
      </c>
      <c r="B913">
        <v>40.299999999999997</v>
      </c>
      <c r="C913">
        <v>40.450000000000003</v>
      </c>
      <c r="D913">
        <v>40.049999999999997</v>
      </c>
      <c r="E913">
        <v>40.24</v>
      </c>
      <c r="F913">
        <v>18818711</v>
      </c>
      <c r="H913">
        <f t="shared" si="14"/>
        <v>-4.4631861839911809E-3</v>
      </c>
    </row>
    <row r="914" spans="1:8" x14ac:dyDescent="0.25">
      <c r="A914" t="s">
        <v>669</v>
      </c>
      <c r="B914">
        <v>39.92</v>
      </c>
      <c r="C914">
        <v>40.5</v>
      </c>
      <c r="D914">
        <v>39.85</v>
      </c>
      <c r="E914">
        <v>40.42</v>
      </c>
      <c r="F914">
        <v>27004768</v>
      </c>
      <c r="H914">
        <f t="shared" si="14"/>
        <v>1.1195539252242807E-2</v>
      </c>
    </row>
    <row r="915" spans="1:8" x14ac:dyDescent="0.25">
      <c r="A915" t="s">
        <v>670</v>
      </c>
      <c r="B915">
        <v>39.74</v>
      </c>
      <c r="C915">
        <v>40.020000000000003</v>
      </c>
      <c r="D915">
        <v>39.65</v>
      </c>
      <c r="E915">
        <v>39.97</v>
      </c>
      <c r="F915">
        <v>22787185</v>
      </c>
      <c r="H915">
        <f t="shared" si="14"/>
        <v>1.0816354980761254E-2</v>
      </c>
    </row>
    <row r="916" spans="1:8" x14ac:dyDescent="0.25">
      <c r="A916" t="s">
        <v>671</v>
      </c>
      <c r="B916">
        <v>39.54</v>
      </c>
      <c r="C916">
        <v>39.85</v>
      </c>
      <c r="D916">
        <v>39.369999999999997</v>
      </c>
      <c r="E916">
        <v>39.54</v>
      </c>
      <c r="F916">
        <v>29647646</v>
      </c>
      <c r="H916">
        <f t="shared" si="14"/>
        <v>-2.5258917193164772E-3</v>
      </c>
    </row>
    <row r="917" spans="1:8" x14ac:dyDescent="0.25">
      <c r="A917" t="s">
        <v>672</v>
      </c>
      <c r="B917">
        <v>39.340000000000003</v>
      </c>
      <c r="C917">
        <v>39.9</v>
      </c>
      <c r="D917">
        <v>38.97</v>
      </c>
      <c r="E917">
        <v>39.64</v>
      </c>
      <c r="F917">
        <v>32123032</v>
      </c>
      <c r="H917">
        <f t="shared" si="14"/>
        <v>5.5654077372131513E-3</v>
      </c>
    </row>
    <row r="918" spans="1:8" x14ac:dyDescent="0.25">
      <c r="A918" t="s">
        <v>673</v>
      </c>
      <c r="B918">
        <v>39.22</v>
      </c>
      <c r="C918">
        <v>39.51</v>
      </c>
      <c r="D918">
        <v>38.51</v>
      </c>
      <c r="E918">
        <v>39.42</v>
      </c>
      <c r="F918">
        <v>41749497</v>
      </c>
      <c r="H918">
        <f t="shared" si="14"/>
        <v>9.1743762760412295E-3</v>
      </c>
    </row>
    <row r="919" spans="1:8" x14ac:dyDescent="0.25">
      <c r="A919" t="s">
        <v>674</v>
      </c>
      <c r="B919">
        <v>39.29</v>
      </c>
      <c r="C919">
        <v>39.35</v>
      </c>
      <c r="D919">
        <v>38.950000000000003</v>
      </c>
      <c r="E919">
        <v>39.06</v>
      </c>
      <c r="F919">
        <v>27112373</v>
      </c>
      <c r="H919">
        <f t="shared" si="14"/>
        <v>-9.4280224410028673E-3</v>
      </c>
    </row>
    <row r="920" spans="1:8" x14ac:dyDescent="0.25">
      <c r="A920" t="s">
        <v>675</v>
      </c>
      <c r="B920">
        <v>39.520000000000003</v>
      </c>
      <c r="C920">
        <v>39.64</v>
      </c>
      <c r="D920">
        <v>39.299999999999997</v>
      </c>
      <c r="E920">
        <v>39.43</v>
      </c>
      <c r="F920">
        <v>22460928</v>
      </c>
      <c r="H920">
        <f t="shared" si="14"/>
        <v>-6.5723189054381018E-3</v>
      </c>
    </row>
    <row r="921" spans="1:8" x14ac:dyDescent="0.25">
      <c r="A921" t="s">
        <v>676</v>
      </c>
      <c r="B921">
        <v>40.31</v>
      </c>
      <c r="C921">
        <v>40.340000000000003</v>
      </c>
      <c r="D921">
        <v>39.659999999999997</v>
      </c>
      <c r="E921">
        <v>39.69</v>
      </c>
      <c r="F921">
        <v>43417914</v>
      </c>
      <c r="H921">
        <f t="shared" si="14"/>
        <v>-7.7801873189623297E-3</v>
      </c>
    </row>
    <row r="922" spans="1:8" x14ac:dyDescent="0.25">
      <c r="A922" t="s">
        <v>677</v>
      </c>
      <c r="B922">
        <v>40.24</v>
      </c>
      <c r="C922">
        <v>40.36</v>
      </c>
      <c r="D922">
        <v>39.950000000000003</v>
      </c>
      <c r="E922">
        <v>40</v>
      </c>
      <c r="F922">
        <v>28791455</v>
      </c>
      <c r="H922">
        <f t="shared" si="14"/>
        <v>-9.950330853168092E-3</v>
      </c>
    </row>
    <row r="923" spans="1:8" x14ac:dyDescent="0.25">
      <c r="A923" s="22">
        <v>41759</v>
      </c>
      <c r="B923">
        <v>40.4</v>
      </c>
      <c r="C923">
        <v>40.5</v>
      </c>
      <c r="D923">
        <v>40.17</v>
      </c>
      <c r="E923">
        <v>40.4</v>
      </c>
      <c r="F923">
        <v>35464148</v>
      </c>
      <c r="H923">
        <f t="shared" si="14"/>
        <v>-2.719072247494801E-3</v>
      </c>
    </row>
    <row r="924" spans="1:8" x14ac:dyDescent="0.25">
      <c r="A924" s="22">
        <v>41758</v>
      </c>
      <c r="B924">
        <v>41.1</v>
      </c>
      <c r="C924">
        <v>41.19</v>
      </c>
      <c r="D924">
        <v>40.39</v>
      </c>
      <c r="E924">
        <v>40.51</v>
      </c>
      <c r="F924">
        <v>29637370</v>
      </c>
      <c r="H924">
        <f t="shared" si="14"/>
        <v>-8.8474403615867118E-3</v>
      </c>
    </row>
    <row r="925" spans="1:8" x14ac:dyDescent="0.25">
      <c r="A925" s="22">
        <v>41757</v>
      </c>
      <c r="B925">
        <v>40.14</v>
      </c>
      <c r="C925">
        <v>41.29</v>
      </c>
      <c r="D925">
        <v>40.090000000000003</v>
      </c>
      <c r="E925">
        <v>40.869999999999997</v>
      </c>
      <c r="F925">
        <v>50610208</v>
      </c>
      <c r="H925">
        <f t="shared" si="14"/>
        <v>2.3769378515543511E-2</v>
      </c>
    </row>
    <row r="926" spans="1:8" x14ac:dyDescent="0.25">
      <c r="A926" s="22">
        <v>41754</v>
      </c>
      <c r="B926">
        <v>40.29</v>
      </c>
      <c r="C926">
        <v>40.68</v>
      </c>
      <c r="D926">
        <v>39.75</v>
      </c>
      <c r="E926">
        <v>39.909999999999997</v>
      </c>
      <c r="F926">
        <v>56883812</v>
      </c>
      <c r="H926">
        <f t="shared" si="14"/>
        <v>1.253604275993707E-3</v>
      </c>
    </row>
    <row r="927" spans="1:8" x14ac:dyDescent="0.25">
      <c r="A927" s="22">
        <v>41753</v>
      </c>
      <c r="B927">
        <v>39.74</v>
      </c>
      <c r="C927">
        <v>39.97</v>
      </c>
      <c r="D927">
        <v>39.299999999999997</v>
      </c>
      <c r="E927">
        <v>39.86</v>
      </c>
      <c r="F927">
        <v>42381594</v>
      </c>
      <c r="H927">
        <f t="shared" si="14"/>
        <v>4.2740479896747393E-3</v>
      </c>
    </row>
    <row r="928" spans="1:8" x14ac:dyDescent="0.25">
      <c r="A928" s="22">
        <v>41752</v>
      </c>
      <c r="B928">
        <v>39.99</v>
      </c>
      <c r="C928">
        <v>39.99</v>
      </c>
      <c r="D928">
        <v>39.47</v>
      </c>
      <c r="E928">
        <v>39.69</v>
      </c>
      <c r="F928">
        <v>24602781</v>
      </c>
      <c r="H928">
        <f t="shared" si="14"/>
        <v>-7.5301560637530381E-3</v>
      </c>
    </row>
    <row r="929" spans="1:8" x14ac:dyDescent="0.25">
      <c r="A929" s="22">
        <v>41751</v>
      </c>
      <c r="B929">
        <v>39.96</v>
      </c>
      <c r="C929">
        <v>40.14</v>
      </c>
      <c r="D929">
        <v>39.83</v>
      </c>
      <c r="E929">
        <v>39.99</v>
      </c>
      <c r="F929">
        <v>27057271</v>
      </c>
      <c r="H929">
        <f t="shared" si="14"/>
        <v>1.2510948710579477E-3</v>
      </c>
    </row>
    <row r="930" spans="1:8" x14ac:dyDescent="0.25">
      <c r="A930" s="22">
        <v>41750</v>
      </c>
      <c r="B930">
        <v>40.130000000000003</v>
      </c>
      <c r="C930">
        <v>40.15</v>
      </c>
      <c r="D930">
        <v>39.79</v>
      </c>
      <c r="E930">
        <v>39.94</v>
      </c>
      <c r="F930">
        <v>22222222</v>
      </c>
      <c r="H930">
        <f t="shared" si="14"/>
        <v>-1.7510948814745053E-3</v>
      </c>
    </row>
    <row r="931" spans="1:8" x14ac:dyDescent="0.25">
      <c r="A931" s="22">
        <v>41746</v>
      </c>
      <c r="B931">
        <v>40.01</v>
      </c>
      <c r="C931">
        <v>40.200000000000003</v>
      </c>
      <c r="D931">
        <v>39.51</v>
      </c>
      <c r="E931">
        <v>40.01</v>
      </c>
      <c r="F931">
        <v>36689399</v>
      </c>
      <c r="H931">
        <f t="shared" si="14"/>
        <v>-9.7003620979607338E-3</v>
      </c>
    </row>
    <row r="932" spans="1:8" x14ac:dyDescent="0.25">
      <c r="A932" s="22">
        <v>41745</v>
      </c>
      <c r="B932">
        <v>40.06</v>
      </c>
      <c r="C932">
        <v>40.42</v>
      </c>
      <c r="D932">
        <v>39.9</v>
      </c>
      <c r="E932">
        <v>40.4</v>
      </c>
      <c r="F932">
        <v>30616304</v>
      </c>
      <c r="H932">
        <f t="shared" si="14"/>
        <v>1.6219943866763474E-2</v>
      </c>
    </row>
    <row r="933" spans="1:8" x14ac:dyDescent="0.25">
      <c r="A933" s="22">
        <v>41744</v>
      </c>
      <c r="B933">
        <v>39.340000000000003</v>
      </c>
      <c r="C933">
        <v>39.96</v>
      </c>
      <c r="D933">
        <v>39.049999999999997</v>
      </c>
      <c r="E933">
        <v>39.75</v>
      </c>
      <c r="F933">
        <v>33978673</v>
      </c>
      <c r="H933">
        <f t="shared" si="14"/>
        <v>1.444342858394612E-2</v>
      </c>
    </row>
    <row r="934" spans="1:8" x14ac:dyDescent="0.25">
      <c r="A934" s="22">
        <v>41743</v>
      </c>
      <c r="B934">
        <v>39.11</v>
      </c>
      <c r="C934">
        <v>39.409999999999997</v>
      </c>
      <c r="D934">
        <v>38.9</v>
      </c>
      <c r="E934">
        <v>39.18</v>
      </c>
      <c r="F934">
        <v>32006651</v>
      </c>
      <c r="H934">
        <f t="shared" si="14"/>
        <v>-7.6540378784556353E-4</v>
      </c>
    </row>
    <row r="935" spans="1:8" x14ac:dyDescent="0.25">
      <c r="A935" s="22">
        <v>41740</v>
      </c>
      <c r="B935">
        <v>39</v>
      </c>
      <c r="C935">
        <v>39.79</v>
      </c>
      <c r="D935">
        <v>39</v>
      </c>
      <c r="E935">
        <v>39.21</v>
      </c>
      <c r="F935">
        <v>34333298</v>
      </c>
      <c r="H935">
        <f t="shared" si="14"/>
        <v>-3.8182558798123788E-3</v>
      </c>
    </row>
    <row r="936" spans="1:8" x14ac:dyDescent="0.25">
      <c r="A936" s="22">
        <v>41739</v>
      </c>
      <c r="B936">
        <v>40.44</v>
      </c>
      <c r="C936">
        <v>40.69</v>
      </c>
      <c r="D936">
        <v>39.090000000000003</v>
      </c>
      <c r="E936">
        <v>39.36</v>
      </c>
      <c r="F936">
        <v>45960848</v>
      </c>
      <c r="H936">
        <f t="shared" si="14"/>
        <v>-2.7810886703721539E-2</v>
      </c>
    </row>
    <row r="937" spans="1:8" x14ac:dyDescent="0.25">
      <c r="A937" s="22">
        <v>41738</v>
      </c>
      <c r="B937">
        <v>39.93</v>
      </c>
      <c r="C937">
        <v>40.549999999999997</v>
      </c>
      <c r="D937">
        <v>39.880000000000003</v>
      </c>
      <c r="E937">
        <v>40.47</v>
      </c>
      <c r="F937">
        <v>27398687</v>
      </c>
      <c r="H937">
        <f t="shared" si="14"/>
        <v>1.6191660251724027E-2</v>
      </c>
    </row>
    <row r="938" spans="1:8" x14ac:dyDescent="0.25">
      <c r="A938" s="22">
        <v>41737</v>
      </c>
      <c r="B938">
        <v>39.75</v>
      </c>
      <c r="C938">
        <v>39.93</v>
      </c>
      <c r="D938">
        <v>39.200000000000003</v>
      </c>
      <c r="E938">
        <v>39.82</v>
      </c>
      <c r="F938">
        <v>35919609</v>
      </c>
      <c r="H938">
        <f t="shared" si="14"/>
        <v>5.0238634565833568E-4</v>
      </c>
    </row>
    <row r="939" spans="1:8" x14ac:dyDescent="0.25">
      <c r="A939" s="22">
        <v>41736</v>
      </c>
      <c r="B939">
        <v>39.96</v>
      </c>
      <c r="C939">
        <v>40.270000000000003</v>
      </c>
      <c r="D939">
        <v>39.74</v>
      </c>
      <c r="E939">
        <v>39.799999999999997</v>
      </c>
      <c r="F939">
        <v>37559615</v>
      </c>
      <c r="H939">
        <f t="shared" si="14"/>
        <v>-1.7572491028716799E-3</v>
      </c>
    </row>
    <row r="940" spans="1:8" x14ac:dyDescent="0.25">
      <c r="A940" s="22">
        <v>41733</v>
      </c>
      <c r="B940">
        <v>41.25</v>
      </c>
      <c r="C940">
        <v>41.39</v>
      </c>
      <c r="D940">
        <v>39.64</v>
      </c>
      <c r="E940">
        <v>39.869999999999997</v>
      </c>
      <c r="F940">
        <v>51409573</v>
      </c>
      <c r="H940">
        <f t="shared" si="14"/>
        <v>-2.8191778010704237E-2</v>
      </c>
    </row>
    <row r="941" spans="1:8" x14ac:dyDescent="0.25">
      <c r="A941" s="22">
        <v>41732</v>
      </c>
      <c r="B941">
        <v>41.29</v>
      </c>
      <c r="C941">
        <v>41.29</v>
      </c>
      <c r="D941">
        <v>40.71</v>
      </c>
      <c r="E941">
        <v>41.01</v>
      </c>
      <c r="F941">
        <v>30139567</v>
      </c>
      <c r="H941">
        <f t="shared" si="14"/>
        <v>-8.2564820657325573E-3</v>
      </c>
    </row>
    <row r="942" spans="1:8" x14ac:dyDescent="0.25">
      <c r="A942" s="22">
        <v>41731</v>
      </c>
      <c r="B942">
        <v>41.44</v>
      </c>
      <c r="C942">
        <v>41.66</v>
      </c>
      <c r="D942">
        <v>41.17</v>
      </c>
      <c r="E942">
        <v>41.35</v>
      </c>
      <c r="F942">
        <v>28666682</v>
      </c>
      <c r="H942">
        <f t="shared" si="14"/>
        <v>-1.691434497737835E-3</v>
      </c>
    </row>
    <row r="943" spans="1:8" x14ac:dyDescent="0.25">
      <c r="A943" s="22">
        <v>41730</v>
      </c>
      <c r="B943">
        <v>41.15</v>
      </c>
      <c r="C943">
        <v>41.59</v>
      </c>
      <c r="D943">
        <v>41.07</v>
      </c>
      <c r="E943">
        <v>41.42</v>
      </c>
      <c r="F943">
        <v>32610395</v>
      </c>
      <c r="H943">
        <f t="shared" si="14"/>
        <v>1.0435721451191999E-2</v>
      </c>
    </row>
    <row r="944" spans="1:8" x14ac:dyDescent="0.25">
      <c r="A944" s="22">
        <v>41729</v>
      </c>
      <c r="B944">
        <v>40.43</v>
      </c>
      <c r="C944">
        <v>41.5</v>
      </c>
      <c r="D944">
        <v>40.4</v>
      </c>
      <c r="E944">
        <v>40.99</v>
      </c>
      <c r="F944">
        <v>46886284</v>
      </c>
      <c r="H944">
        <f t="shared" si="14"/>
        <v>1.6976665563608932E-2</v>
      </c>
    </row>
    <row r="945" spans="1:8" x14ac:dyDescent="0.25">
      <c r="A945" s="22">
        <v>41726</v>
      </c>
      <c r="B945">
        <v>39.79</v>
      </c>
      <c r="C945">
        <v>40.64</v>
      </c>
      <c r="D945">
        <v>39.68</v>
      </c>
      <c r="E945">
        <v>40.299999999999997</v>
      </c>
      <c r="F945">
        <v>43472747</v>
      </c>
      <c r="H945">
        <f t="shared" si="14"/>
        <v>2.3601396768584661E-2</v>
      </c>
    </row>
    <row r="946" spans="1:8" x14ac:dyDescent="0.25">
      <c r="A946" s="22">
        <v>41725</v>
      </c>
      <c r="B946">
        <v>39.74</v>
      </c>
      <c r="C946">
        <v>39.97</v>
      </c>
      <c r="D946">
        <v>39.340000000000003</v>
      </c>
      <c r="E946">
        <v>39.36</v>
      </c>
      <c r="F946">
        <v>35369170</v>
      </c>
      <c r="H946">
        <f t="shared" si="14"/>
        <v>-1.0865552254784578E-2</v>
      </c>
    </row>
    <row r="947" spans="1:8" x14ac:dyDescent="0.25">
      <c r="A947" s="22">
        <v>41724</v>
      </c>
      <c r="B947">
        <v>40.479999999999997</v>
      </c>
      <c r="C947">
        <v>40.700000000000003</v>
      </c>
      <c r="D947">
        <v>39.6</v>
      </c>
      <c r="E947">
        <v>39.79</v>
      </c>
      <c r="F947">
        <v>41982966</v>
      </c>
      <c r="H947">
        <f t="shared" si="14"/>
        <v>-1.3727908087228543E-2</v>
      </c>
    </row>
    <row r="948" spans="1:8" x14ac:dyDescent="0.25">
      <c r="A948" s="22">
        <v>41723</v>
      </c>
      <c r="B948">
        <v>40.659999999999997</v>
      </c>
      <c r="C948">
        <v>40.99</v>
      </c>
      <c r="D948">
        <v>39.96</v>
      </c>
      <c r="E948">
        <v>40.340000000000003</v>
      </c>
      <c r="F948">
        <v>43193147</v>
      </c>
      <c r="H948">
        <f t="shared" si="14"/>
        <v>-3.9584415864276443E-3</v>
      </c>
    </row>
    <row r="949" spans="1:8" x14ac:dyDescent="0.25">
      <c r="A949" s="22">
        <v>41722</v>
      </c>
      <c r="B949">
        <v>40.340000000000003</v>
      </c>
      <c r="C949">
        <v>40.64</v>
      </c>
      <c r="D949">
        <v>39.86</v>
      </c>
      <c r="E949">
        <v>40.5</v>
      </c>
      <c r="F949">
        <v>46098374</v>
      </c>
      <c r="H949">
        <f t="shared" si="14"/>
        <v>8.4304987290198027E-3</v>
      </c>
    </row>
    <row r="950" spans="1:8" x14ac:dyDescent="0.25">
      <c r="A950" s="22">
        <v>41719</v>
      </c>
      <c r="B950">
        <v>40.72</v>
      </c>
      <c r="C950">
        <v>40.94</v>
      </c>
      <c r="D950">
        <v>40.01</v>
      </c>
      <c r="E950">
        <v>40.159999999999997</v>
      </c>
      <c r="F950">
        <v>80731942</v>
      </c>
      <c r="H950">
        <f t="shared" si="14"/>
        <v>-4.2241335018030771E-3</v>
      </c>
    </row>
    <row r="951" spans="1:8" x14ac:dyDescent="0.25">
      <c r="A951" s="22">
        <v>41718</v>
      </c>
      <c r="B951">
        <v>39.25</v>
      </c>
      <c r="C951">
        <v>40.65</v>
      </c>
      <c r="D951">
        <v>39.24</v>
      </c>
      <c r="E951">
        <v>40.33</v>
      </c>
      <c r="F951">
        <v>59269801</v>
      </c>
      <c r="H951">
        <f t="shared" si="14"/>
        <v>2.663474029535837E-2</v>
      </c>
    </row>
    <row r="952" spans="1:8" x14ac:dyDescent="0.25">
      <c r="A952" s="22">
        <v>41717</v>
      </c>
      <c r="B952">
        <v>39.47</v>
      </c>
      <c r="C952">
        <v>39.549999999999997</v>
      </c>
      <c r="D952">
        <v>38.909999999999997</v>
      </c>
      <c r="E952">
        <v>39.270000000000003</v>
      </c>
      <c r="F952">
        <v>35597241</v>
      </c>
      <c r="H952">
        <f t="shared" si="14"/>
        <v>-7.1048256237444592E-3</v>
      </c>
    </row>
    <row r="953" spans="1:8" x14ac:dyDescent="0.25">
      <c r="A953" s="22">
        <v>41716</v>
      </c>
      <c r="B953">
        <v>38.26</v>
      </c>
      <c r="C953">
        <v>39.9</v>
      </c>
      <c r="D953">
        <v>38.22</v>
      </c>
      <c r="E953">
        <v>39.549999999999997</v>
      </c>
      <c r="F953">
        <v>64063866</v>
      </c>
      <c r="H953">
        <f t="shared" si="14"/>
        <v>3.8664609905968032E-2</v>
      </c>
    </row>
    <row r="954" spans="1:8" x14ac:dyDescent="0.25">
      <c r="A954" s="22">
        <v>41715</v>
      </c>
      <c r="B954">
        <v>37.9</v>
      </c>
      <c r="C954">
        <v>38.409999999999997</v>
      </c>
      <c r="D954">
        <v>37.79</v>
      </c>
      <c r="E954">
        <v>38.049999999999997</v>
      </c>
      <c r="F954">
        <v>20479610</v>
      </c>
      <c r="H954">
        <f t="shared" si="14"/>
        <v>9.2409898537296545E-3</v>
      </c>
    </row>
    <row r="955" spans="1:8" x14ac:dyDescent="0.25">
      <c r="A955" s="22">
        <v>41712</v>
      </c>
      <c r="B955">
        <v>37.65</v>
      </c>
      <c r="C955">
        <v>38.14</v>
      </c>
      <c r="D955">
        <v>37.51</v>
      </c>
      <c r="E955">
        <v>37.700000000000003</v>
      </c>
      <c r="F955">
        <v>27195638</v>
      </c>
      <c r="H955">
        <f t="shared" si="14"/>
        <v>-5.0271305765443083E-3</v>
      </c>
    </row>
    <row r="956" spans="1:8" x14ac:dyDescent="0.25">
      <c r="A956" s="22">
        <v>41711</v>
      </c>
      <c r="B956">
        <v>38.42</v>
      </c>
      <c r="C956">
        <v>38.450000000000003</v>
      </c>
      <c r="D956">
        <v>37.64</v>
      </c>
      <c r="E956">
        <v>37.89</v>
      </c>
      <c r="F956">
        <v>32169650</v>
      </c>
      <c r="H956">
        <f t="shared" si="14"/>
        <v>-9.9790744071015115E-3</v>
      </c>
    </row>
    <row r="957" spans="1:8" x14ac:dyDescent="0.25">
      <c r="A957" s="22">
        <v>41710</v>
      </c>
      <c r="B957">
        <v>37.799999999999997</v>
      </c>
      <c r="C957">
        <v>38.43</v>
      </c>
      <c r="D957">
        <v>37.79</v>
      </c>
      <c r="E957">
        <v>38.270000000000003</v>
      </c>
      <c r="F957">
        <v>30496295</v>
      </c>
      <c r="H957">
        <f t="shared" si="14"/>
        <v>6.553962377327689E-3</v>
      </c>
    </row>
    <row r="958" spans="1:8" x14ac:dyDescent="0.25">
      <c r="A958" s="22">
        <v>41709</v>
      </c>
      <c r="B958">
        <v>37.869999999999997</v>
      </c>
      <c r="C958">
        <v>38.229999999999997</v>
      </c>
      <c r="D958">
        <v>37.72</v>
      </c>
      <c r="E958">
        <v>38.020000000000003</v>
      </c>
      <c r="F958">
        <v>25218133</v>
      </c>
      <c r="H958">
        <f t="shared" si="14"/>
        <v>5.2742738299716516E-3</v>
      </c>
    </row>
    <row r="959" spans="1:8" x14ac:dyDescent="0.25">
      <c r="A959" s="22">
        <v>41708</v>
      </c>
      <c r="B959">
        <v>37.99</v>
      </c>
      <c r="C959">
        <v>38.01</v>
      </c>
      <c r="D959">
        <v>37.72</v>
      </c>
      <c r="E959">
        <v>37.82</v>
      </c>
      <c r="F959">
        <v>19007850</v>
      </c>
      <c r="H959">
        <f t="shared" si="14"/>
        <v>-2.1130488580691684E-3</v>
      </c>
    </row>
    <row r="960" spans="1:8" x14ac:dyDescent="0.25">
      <c r="A960" s="22">
        <v>41705</v>
      </c>
      <c r="B960">
        <v>38.28</v>
      </c>
      <c r="C960">
        <v>38.36</v>
      </c>
      <c r="D960">
        <v>37.69</v>
      </c>
      <c r="E960">
        <v>37.9</v>
      </c>
      <c r="F960">
        <v>26596635</v>
      </c>
      <c r="H960">
        <f t="shared" si="14"/>
        <v>-6.5746456420853567E-3</v>
      </c>
    </row>
    <row r="961" spans="1:8" x14ac:dyDescent="0.25">
      <c r="A961" s="22">
        <v>41704</v>
      </c>
      <c r="B961">
        <v>38.14</v>
      </c>
      <c r="C961">
        <v>38.24</v>
      </c>
      <c r="D961">
        <v>37.89</v>
      </c>
      <c r="E961">
        <v>38.15</v>
      </c>
      <c r="F961">
        <v>23605310</v>
      </c>
      <c r="H961">
        <f t="shared" si="14"/>
        <v>1.0490428446970745E-3</v>
      </c>
    </row>
    <row r="962" spans="1:8" x14ac:dyDescent="0.25">
      <c r="A962" s="22">
        <v>41703</v>
      </c>
      <c r="B962">
        <v>38.25</v>
      </c>
      <c r="C962">
        <v>38.270000000000003</v>
      </c>
      <c r="D962">
        <v>37.93</v>
      </c>
      <c r="E962">
        <v>38.11</v>
      </c>
      <c r="F962">
        <v>20520432</v>
      </c>
      <c r="H962">
        <f t="shared" si="14"/>
        <v>-7.841127472044563E-3</v>
      </c>
    </row>
    <row r="963" spans="1:8" x14ac:dyDescent="0.25">
      <c r="A963" s="22">
        <v>41702</v>
      </c>
      <c r="B963">
        <v>38.200000000000003</v>
      </c>
      <c r="C963">
        <v>38.479999999999997</v>
      </c>
      <c r="D963">
        <v>38.07</v>
      </c>
      <c r="E963">
        <v>38.409999999999997</v>
      </c>
      <c r="F963">
        <v>26868337</v>
      </c>
      <c r="H963">
        <f t="shared" ref="H963:H1026" si="15">IFERROR(LN(E963/E964),"")</f>
        <v>1.6537980284449888E-2</v>
      </c>
    </row>
    <row r="964" spans="1:8" x14ac:dyDescent="0.25">
      <c r="A964" s="22">
        <v>41701</v>
      </c>
      <c r="B964">
        <v>37.92</v>
      </c>
      <c r="C964">
        <v>38.130000000000003</v>
      </c>
      <c r="D964">
        <v>37.5</v>
      </c>
      <c r="E964">
        <v>37.78</v>
      </c>
      <c r="F964">
        <v>29726792</v>
      </c>
      <c r="H964">
        <f t="shared" si="15"/>
        <v>-1.3931096639194203E-2</v>
      </c>
    </row>
    <row r="965" spans="1:8" x14ac:dyDescent="0.25">
      <c r="A965" s="22">
        <v>41698</v>
      </c>
      <c r="B965">
        <v>37.979999999999997</v>
      </c>
      <c r="C965">
        <v>38.46</v>
      </c>
      <c r="D965">
        <v>37.82</v>
      </c>
      <c r="E965">
        <v>38.31</v>
      </c>
      <c r="F965">
        <v>41217028</v>
      </c>
      <c r="H965">
        <f t="shared" si="15"/>
        <v>1.1815812931380929E-2</v>
      </c>
    </row>
    <row r="966" spans="1:8" x14ac:dyDescent="0.25">
      <c r="A966" s="22">
        <v>41697</v>
      </c>
      <c r="B966">
        <v>37.450000000000003</v>
      </c>
      <c r="C966">
        <v>37.89</v>
      </c>
      <c r="D966">
        <v>37.229999999999997</v>
      </c>
      <c r="E966">
        <v>37.86</v>
      </c>
      <c r="F966">
        <v>33919024</v>
      </c>
      <c r="H966">
        <f t="shared" si="15"/>
        <v>1.0354532975580798E-2</v>
      </c>
    </row>
    <row r="967" spans="1:8" x14ac:dyDescent="0.25">
      <c r="A967" s="22">
        <v>41696</v>
      </c>
      <c r="B967">
        <v>37.58</v>
      </c>
      <c r="C967">
        <v>37.74</v>
      </c>
      <c r="D967">
        <v>37.19</v>
      </c>
      <c r="E967">
        <v>37.47</v>
      </c>
      <c r="F967">
        <v>41042629</v>
      </c>
      <c r="H967">
        <f t="shared" si="15"/>
        <v>-1.8664183527667593E-3</v>
      </c>
    </row>
    <row r="968" spans="1:8" x14ac:dyDescent="0.25">
      <c r="A968" s="22">
        <v>41695</v>
      </c>
      <c r="B968">
        <v>37.61</v>
      </c>
      <c r="C968">
        <v>37.85</v>
      </c>
      <c r="D968">
        <v>37.35</v>
      </c>
      <c r="E968">
        <v>37.54</v>
      </c>
      <c r="F968">
        <v>30867657</v>
      </c>
      <c r="H968">
        <f t="shared" si="15"/>
        <v>-3.9877761206812299E-3</v>
      </c>
    </row>
    <row r="969" spans="1:8" x14ac:dyDescent="0.25">
      <c r="A969" s="22">
        <v>41694</v>
      </c>
      <c r="B969">
        <v>37.69</v>
      </c>
      <c r="C969">
        <v>37.979999999999997</v>
      </c>
      <c r="D969">
        <v>37.54</v>
      </c>
      <c r="E969">
        <v>37.69</v>
      </c>
      <c r="F969">
        <v>32143395</v>
      </c>
      <c r="H969">
        <f t="shared" si="15"/>
        <v>-7.6648981050957566E-3</v>
      </c>
    </row>
    <row r="970" spans="1:8" x14ac:dyDescent="0.25">
      <c r="A970" s="22">
        <v>41691</v>
      </c>
      <c r="B970">
        <v>37.94</v>
      </c>
      <c r="C970">
        <v>38.35</v>
      </c>
      <c r="D970">
        <v>37.86</v>
      </c>
      <c r="E970">
        <v>37.979999999999997</v>
      </c>
      <c r="F970">
        <v>38030656</v>
      </c>
      <c r="H970">
        <f t="shared" si="15"/>
        <v>6.0742296891060348E-3</v>
      </c>
    </row>
    <row r="971" spans="1:8" x14ac:dyDescent="0.25">
      <c r="A971" s="22">
        <v>41690</v>
      </c>
      <c r="B971">
        <v>37.57</v>
      </c>
      <c r="C971">
        <v>37.869999999999997</v>
      </c>
      <c r="D971">
        <v>37.4</v>
      </c>
      <c r="E971">
        <v>37.75</v>
      </c>
      <c r="F971">
        <v>27541038</v>
      </c>
      <c r="H971">
        <f t="shared" si="15"/>
        <v>6.3779116012377584E-3</v>
      </c>
    </row>
    <row r="972" spans="1:8" x14ac:dyDescent="0.25">
      <c r="A972" s="22">
        <v>41689</v>
      </c>
      <c r="B972">
        <v>37.22</v>
      </c>
      <c r="C972">
        <v>37.75</v>
      </c>
      <c r="D972">
        <v>37.21</v>
      </c>
      <c r="E972">
        <v>37.51</v>
      </c>
      <c r="F972">
        <v>29794084</v>
      </c>
      <c r="H972">
        <f t="shared" si="15"/>
        <v>2.4022432478522566E-3</v>
      </c>
    </row>
    <row r="973" spans="1:8" x14ac:dyDescent="0.25">
      <c r="A973" s="22">
        <v>41688</v>
      </c>
      <c r="B973">
        <v>37.630000000000003</v>
      </c>
      <c r="C973">
        <v>37.78</v>
      </c>
      <c r="D973">
        <v>37.409999999999997</v>
      </c>
      <c r="E973">
        <v>37.42</v>
      </c>
      <c r="F973">
        <v>32839707</v>
      </c>
      <c r="H973">
        <f t="shared" si="15"/>
        <v>-5.3305030269407E-3</v>
      </c>
    </row>
    <row r="974" spans="1:8" x14ac:dyDescent="0.25">
      <c r="A974" s="22">
        <v>41684</v>
      </c>
      <c r="B974">
        <v>37.39</v>
      </c>
      <c r="C974">
        <v>37.78</v>
      </c>
      <c r="D974">
        <v>37.33</v>
      </c>
      <c r="E974">
        <v>37.619999999999997</v>
      </c>
      <c r="F974">
        <v>42986738</v>
      </c>
      <c r="H974">
        <f t="shared" si="15"/>
        <v>2.658513906392744E-4</v>
      </c>
    </row>
    <row r="975" spans="1:8" x14ac:dyDescent="0.25">
      <c r="A975" s="22">
        <v>41683</v>
      </c>
      <c r="B975">
        <v>37.33</v>
      </c>
      <c r="C975">
        <v>37.86</v>
      </c>
      <c r="D975">
        <v>37.33</v>
      </c>
      <c r="E975">
        <v>37.61</v>
      </c>
      <c r="F975">
        <v>37647772</v>
      </c>
      <c r="H975">
        <f t="shared" si="15"/>
        <v>3.7293596766490209E-3</v>
      </c>
    </row>
    <row r="976" spans="1:8" x14ac:dyDescent="0.25">
      <c r="A976" s="22">
        <v>41682</v>
      </c>
      <c r="B976">
        <v>37.35</v>
      </c>
      <c r="C976">
        <v>37.6</v>
      </c>
      <c r="D976">
        <v>37.299999999999997</v>
      </c>
      <c r="E976">
        <v>37.47</v>
      </c>
      <c r="F976">
        <v>27055869</v>
      </c>
      <c r="H976">
        <f t="shared" si="15"/>
        <v>7.7696305122979103E-3</v>
      </c>
    </row>
    <row r="977" spans="1:8" x14ac:dyDescent="0.25">
      <c r="A977" s="22">
        <v>41681</v>
      </c>
      <c r="B977">
        <v>36.880000000000003</v>
      </c>
      <c r="C977">
        <v>37.26</v>
      </c>
      <c r="D977">
        <v>36.86</v>
      </c>
      <c r="E977">
        <v>37.18</v>
      </c>
      <c r="F977">
        <v>32164989</v>
      </c>
      <c r="H977">
        <f t="shared" si="15"/>
        <v>1.0273137118412792E-2</v>
      </c>
    </row>
    <row r="978" spans="1:8" x14ac:dyDescent="0.25">
      <c r="A978" s="22">
        <v>41680</v>
      </c>
      <c r="B978">
        <v>36.630000000000003</v>
      </c>
      <c r="C978">
        <v>36.799999999999997</v>
      </c>
      <c r="D978">
        <v>36.29</v>
      </c>
      <c r="E978">
        <v>36.799999999999997</v>
      </c>
      <c r="F978">
        <v>26782083</v>
      </c>
      <c r="H978">
        <f t="shared" si="15"/>
        <v>6.5430985889358868E-3</v>
      </c>
    </row>
    <row r="979" spans="1:8" x14ac:dyDescent="0.25">
      <c r="A979" s="22">
        <v>41677</v>
      </c>
      <c r="B979">
        <v>36.32</v>
      </c>
      <c r="C979">
        <v>36.590000000000003</v>
      </c>
      <c r="D979">
        <v>36.01</v>
      </c>
      <c r="E979">
        <v>36.56</v>
      </c>
      <c r="F979">
        <v>33348008</v>
      </c>
      <c r="H979">
        <f t="shared" si="15"/>
        <v>1.0448266618800247E-2</v>
      </c>
    </row>
    <row r="980" spans="1:8" x14ac:dyDescent="0.25">
      <c r="A980" s="22">
        <v>41676</v>
      </c>
      <c r="B980">
        <v>35.799999999999997</v>
      </c>
      <c r="C980">
        <v>36.25</v>
      </c>
      <c r="D980">
        <v>35.69</v>
      </c>
      <c r="E980">
        <v>36.18</v>
      </c>
      <c r="F980">
        <v>35380994</v>
      </c>
      <c r="H980">
        <f t="shared" si="15"/>
        <v>1.0000083334583399E-2</v>
      </c>
    </row>
    <row r="981" spans="1:8" x14ac:dyDescent="0.25">
      <c r="A981" s="22">
        <v>41675</v>
      </c>
      <c r="B981">
        <v>36.29</v>
      </c>
      <c r="C981">
        <v>36.47</v>
      </c>
      <c r="D981">
        <v>35.799999999999997</v>
      </c>
      <c r="E981">
        <v>35.82</v>
      </c>
      <c r="F981">
        <v>55841097</v>
      </c>
      <c r="H981">
        <f t="shared" si="15"/>
        <v>-1.4687807346962737E-2</v>
      </c>
    </row>
    <row r="982" spans="1:8" x14ac:dyDescent="0.25">
      <c r="A982" s="22">
        <v>41674</v>
      </c>
      <c r="B982">
        <v>36.97</v>
      </c>
      <c r="C982">
        <v>37.19</v>
      </c>
      <c r="D982">
        <v>36.25</v>
      </c>
      <c r="E982">
        <v>36.35</v>
      </c>
      <c r="F982">
        <v>55526924</v>
      </c>
      <c r="H982">
        <f t="shared" si="15"/>
        <v>-3.5699612266021463E-3</v>
      </c>
    </row>
    <row r="983" spans="1:8" x14ac:dyDescent="0.25">
      <c r="A983" s="22">
        <v>41673</v>
      </c>
      <c r="B983">
        <v>37.74</v>
      </c>
      <c r="C983">
        <v>37.979999999999997</v>
      </c>
      <c r="D983">
        <v>36.43</v>
      </c>
      <c r="E983">
        <v>36.479999999999997</v>
      </c>
      <c r="F983">
        <v>64102391</v>
      </c>
      <c r="H983">
        <f t="shared" si="15"/>
        <v>-3.6602578977547082E-2</v>
      </c>
    </row>
    <row r="984" spans="1:8" x14ac:dyDescent="0.25">
      <c r="A984" t="s">
        <v>678</v>
      </c>
      <c r="B984">
        <v>36.950000000000003</v>
      </c>
      <c r="C984">
        <v>37.89</v>
      </c>
      <c r="D984">
        <v>36.56</v>
      </c>
      <c r="E984">
        <v>37.840000000000003</v>
      </c>
      <c r="F984">
        <v>93190755</v>
      </c>
      <c r="H984">
        <f t="shared" si="15"/>
        <v>2.6239791942000362E-2</v>
      </c>
    </row>
    <row r="985" spans="1:8" x14ac:dyDescent="0.25">
      <c r="A985" t="s">
        <v>679</v>
      </c>
      <c r="B985">
        <v>36.79</v>
      </c>
      <c r="C985">
        <v>36.880000000000003</v>
      </c>
      <c r="D985">
        <v>36.229999999999997</v>
      </c>
      <c r="E985">
        <v>36.86</v>
      </c>
      <c r="F985">
        <v>35111959</v>
      </c>
      <c r="H985">
        <f t="shared" si="15"/>
        <v>5.4407098301183093E-3</v>
      </c>
    </row>
    <row r="986" spans="1:8" x14ac:dyDescent="0.25">
      <c r="A986" t="s">
        <v>680</v>
      </c>
      <c r="B986">
        <v>35.979999999999997</v>
      </c>
      <c r="C986">
        <v>36.880000000000003</v>
      </c>
      <c r="D986">
        <v>35.9</v>
      </c>
      <c r="E986">
        <v>36.659999999999997</v>
      </c>
      <c r="F986">
        <v>52790351</v>
      </c>
      <c r="H986">
        <f t="shared" si="15"/>
        <v>1.069528911674773E-2</v>
      </c>
    </row>
    <row r="987" spans="1:8" x14ac:dyDescent="0.25">
      <c r="A987" t="s">
        <v>681</v>
      </c>
      <c r="B987">
        <v>36.119999999999997</v>
      </c>
      <c r="C987">
        <v>36.39</v>
      </c>
      <c r="D987">
        <v>35.75</v>
      </c>
      <c r="E987">
        <v>36.270000000000003</v>
      </c>
      <c r="F987">
        <v>36225755</v>
      </c>
      <c r="H987">
        <f t="shared" si="15"/>
        <v>6.639028534809085E-3</v>
      </c>
    </row>
    <row r="988" spans="1:8" x14ac:dyDescent="0.25">
      <c r="A988" t="s">
        <v>682</v>
      </c>
      <c r="B988">
        <v>36.869999999999997</v>
      </c>
      <c r="C988">
        <v>36.89</v>
      </c>
      <c r="D988">
        <v>35.979999999999997</v>
      </c>
      <c r="E988">
        <v>36.03</v>
      </c>
      <c r="F988">
        <v>44485767</v>
      </c>
      <c r="H988">
        <f t="shared" si="15"/>
        <v>-2.11459204148833E-2</v>
      </c>
    </row>
    <row r="989" spans="1:8" x14ac:dyDescent="0.25">
      <c r="A989" t="s">
        <v>683</v>
      </c>
      <c r="B989">
        <v>37.450000000000003</v>
      </c>
      <c r="C989">
        <v>37.549999999999997</v>
      </c>
      <c r="D989">
        <v>36.53</v>
      </c>
      <c r="E989">
        <v>36.799999999999997</v>
      </c>
      <c r="F989">
        <v>77051806</v>
      </c>
      <c r="H989">
        <f t="shared" si="15"/>
        <v>2.0313627399713798E-2</v>
      </c>
    </row>
    <row r="990" spans="1:8" x14ac:dyDescent="0.25">
      <c r="A990" t="s">
        <v>684</v>
      </c>
      <c r="B990">
        <v>36.090000000000003</v>
      </c>
      <c r="C990">
        <v>36.130000000000003</v>
      </c>
      <c r="D990">
        <v>35.520000000000003</v>
      </c>
      <c r="E990">
        <v>36.06</v>
      </c>
      <c r="F990">
        <v>44515126</v>
      </c>
      <c r="H990">
        <f t="shared" si="15"/>
        <v>3.611616649743926E-3</v>
      </c>
    </row>
    <row r="991" spans="1:8" x14ac:dyDescent="0.25">
      <c r="A991" t="s">
        <v>685</v>
      </c>
      <c r="B991">
        <v>36.26</v>
      </c>
      <c r="C991">
        <v>36.32</v>
      </c>
      <c r="D991">
        <v>35.75</v>
      </c>
      <c r="E991">
        <v>35.93</v>
      </c>
      <c r="F991">
        <v>21965266</v>
      </c>
      <c r="H991">
        <f t="shared" si="15"/>
        <v>-6.657444838579234E-3</v>
      </c>
    </row>
    <row r="992" spans="1:8" x14ac:dyDescent="0.25">
      <c r="A992" t="s">
        <v>686</v>
      </c>
      <c r="B992">
        <v>36.82</v>
      </c>
      <c r="C992">
        <v>36.82</v>
      </c>
      <c r="D992">
        <v>36.06</v>
      </c>
      <c r="E992">
        <v>36.17</v>
      </c>
      <c r="F992">
        <v>31578979</v>
      </c>
      <c r="H992">
        <f t="shared" si="15"/>
        <v>-5.7891271259696529E-3</v>
      </c>
    </row>
    <row r="993" spans="1:8" x14ac:dyDescent="0.25">
      <c r="A993" t="s">
        <v>687</v>
      </c>
      <c r="B993">
        <v>36.83</v>
      </c>
      <c r="C993">
        <v>36.83</v>
      </c>
      <c r="D993">
        <v>36.15</v>
      </c>
      <c r="E993">
        <v>36.380000000000003</v>
      </c>
      <c r="F993">
        <v>46298736</v>
      </c>
      <c r="H993">
        <f t="shared" si="15"/>
        <v>-1.3921338518608007E-2</v>
      </c>
    </row>
    <row r="994" spans="1:8" x14ac:dyDescent="0.25">
      <c r="A994" t="s">
        <v>688</v>
      </c>
      <c r="B994">
        <v>36.69</v>
      </c>
      <c r="C994">
        <v>37</v>
      </c>
      <c r="D994">
        <v>36.31</v>
      </c>
      <c r="E994">
        <v>36.89</v>
      </c>
      <c r="F994">
        <v>38035708</v>
      </c>
      <c r="H994">
        <f t="shared" si="15"/>
        <v>3.5302141210981027E-3</v>
      </c>
    </row>
    <row r="995" spans="1:8" x14ac:dyDescent="0.25">
      <c r="A995" t="s">
        <v>689</v>
      </c>
      <c r="B995">
        <v>35.9</v>
      </c>
      <c r="C995">
        <v>36.79</v>
      </c>
      <c r="D995">
        <v>35.85</v>
      </c>
      <c r="E995">
        <v>36.76</v>
      </c>
      <c r="F995">
        <v>44909545</v>
      </c>
      <c r="H995">
        <f t="shared" si="15"/>
        <v>2.7021219406913145E-2</v>
      </c>
    </row>
    <row r="996" spans="1:8" x14ac:dyDescent="0.25">
      <c r="A996" t="s">
        <v>690</v>
      </c>
      <c r="B996">
        <v>34.729999999999997</v>
      </c>
      <c r="C996">
        <v>35.880000000000003</v>
      </c>
      <c r="D996">
        <v>34.630000000000003</v>
      </c>
      <c r="E996">
        <v>35.78</v>
      </c>
      <c r="F996">
        <v>41627325</v>
      </c>
      <c r="H996">
        <f t="shared" si="15"/>
        <v>2.2612608490117262E-2</v>
      </c>
    </row>
    <row r="997" spans="1:8" x14ac:dyDescent="0.25">
      <c r="A997" t="s">
        <v>691</v>
      </c>
      <c r="B997">
        <v>35.99</v>
      </c>
      <c r="C997">
        <v>36.020000000000003</v>
      </c>
      <c r="D997">
        <v>34.83</v>
      </c>
      <c r="E997">
        <v>34.979999999999997</v>
      </c>
      <c r="F997">
        <v>45923872</v>
      </c>
      <c r="H997">
        <f t="shared" si="15"/>
        <v>-2.9852963149681274E-2</v>
      </c>
    </row>
    <row r="998" spans="1:8" x14ac:dyDescent="0.25">
      <c r="A998" t="s">
        <v>692</v>
      </c>
      <c r="B998">
        <v>35.9</v>
      </c>
      <c r="C998">
        <v>36.15</v>
      </c>
      <c r="D998">
        <v>35.75</v>
      </c>
      <c r="E998">
        <v>36.04</v>
      </c>
      <c r="F998">
        <v>40558766</v>
      </c>
      <c r="H998">
        <f t="shared" si="15"/>
        <v>1.4252022707201413E-2</v>
      </c>
    </row>
    <row r="999" spans="1:8" x14ac:dyDescent="0.25">
      <c r="A999" t="s">
        <v>693</v>
      </c>
      <c r="B999">
        <v>35.880000000000003</v>
      </c>
      <c r="C999">
        <v>35.909999999999997</v>
      </c>
      <c r="D999">
        <v>35.4</v>
      </c>
      <c r="E999">
        <v>35.53</v>
      </c>
      <c r="F999">
        <v>36520448</v>
      </c>
      <c r="H999">
        <f t="shared" si="15"/>
        <v>-6.4525402723775507E-3</v>
      </c>
    </row>
    <row r="1000" spans="1:8" x14ac:dyDescent="0.25">
      <c r="A1000" t="s">
        <v>694</v>
      </c>
      <c r="B1000">
        <v>36</v>
      </c>
      <c r="C1000">
        <v>36.14</v>
      </c>
      <c r="D1000">
        <v>35.58</v>
      </c>
      <c r="E1000">
        <v>35.76</v>
      </c>
      <c r="F1000">
        <v>59979542</v>
      </c>
      <c r="H1000">
        <f t="shared" si="15"/>
        <v>-1.8013511882028637E-2</v>
      </c>
    </row>
    <row r="1001" spans="1:8" x14ac:dyDescent="0.25">
      <c r="A1001" t="s">
        <v>695</v>
      </c>
      <c r="B1001">
        <v>36.32</v>
      </c>
      <c r="C1001">
        <v>36.49</v>
      </c>
      <c r="D1001">
        <v>36.21</v>
      </c>
      <c r="E1001">
        <v>36.409999999999997</v>
      </c>
      <c r="F1001">
        <v>35924726</v>
      </c>
      <c r="H1001">
        <f t="shared" si="15"/>
        <v>7.7199170277930393E-3</v>
      </c>
    </row>
    <row r="1002" spans="1:8" x14ac:dyDescent="0.25">
      <c r="A1002" t="s">
        <v>696</v>
      </c>
      <c r="B1002">
        <v>36.85</v>
      </c>
      <c r="C1002">
        <v>36.89</v>
      </c>
      <c r="D1002">
        <v>36.11</v>
      </c>
      <c r="E1002">
        <v>36.130000000000003</v>
      </c>
      <c r="F1002">
        <v>43615035</v>
      </c>
      <c r="H1002">
        <f t="shared" si="15"/>
        <v>-2.135897188235816E-2</v>
      </c>
    </row>
    <row r="1003" spans="1:8" x14ac:dyDescent="0.25">
      <c r="A1003" t="s">
        <v>697</v>
      </c>
      <c r="B1003">
        <v>37.200000000000003</v>
      </c>
      <c r="C1003">
        <v>37.22</v>
      </c>
      <c r="D1003">
        <v>36.6</v>
      </c>
      <c r="E1003">
        <v>36.909999999999997</v>
      </c>
      <c r="F1003">
        <v>31134795</v>
      </c>
      <c r="H1003">
        <f t="shared" si="15"/>
        <v>-6.7503969037305466E-3</v>
      </c>
    </row>
    <row r="1004" spans="1:8" x14ac:dyDescent="0.25">
      <c r="A1004" t="s">
        <v>698</v>
      </c>
      <c r="B1004">
        <v>37.35</v>
      </c>
      <c r="C1004">
        <v>37.4</v>
      </c>
      <c r="D1004">
        <v>37.1</v>
      </c>
      <c r="E1004">
        <v>37.159999999999997</v>
      </c>
      <c r="F1004">
        <v>30643745</v>
      </c>
      <c r="H1004">
        <f t="shared" si="15"/>
        <v>-6.705134414416964E-3</v>
      </c>
    </row>
    <row r="1005" spans="1:8" x14ac:dyDescent="0.25">
      <c r="A1005" t="s">
        <v>699</v>
      </c>
      <c r="B1005">
        <v>37.4</v>
      </c>
      <c r="C1005">
        <v>37.58</v>
      </c>
      <c r="D1005">
        <v>37.22</v>
      </c>
      <c r="E1005">
        <v>37.409999999999997</v>
      </c>
      <c r="F1005">
        <v>17505770</v>
      </c>
      <c r="H1005">
        <f t="shared" si="15"/>
        <v>3.212854169325343E-3</v>
      </c>
    </row>
    <row r="1006" spans="1:8" x14ac:dyDescent="0.25">
      <c r="A1006" t="s">
        <v>700</v>
      </c>
      <c r="B1006">
        <v>37.22</v>
      </c>
      <c r="C1006">
        <v>37.380000000000003</v>
      </c>
      <c r="D1006">
        <v>36.9</v>
      </c>
      <c r="E1006">
        <v>37.29</v>
      </c>
      <c r="F1006">
        <v>16290475</v>
      </c>
      <c r="H1006">
        <f t="shared" si="15"/>
        <v>0</v>
      </c>
    </row>
    <row r="1007" spans="1:8" x14ac:dyDescent="0.25">
      <c r="A1007" t="s">
        <v>701</v>
      </c>
      <c r="B1007">
        <v>37.58</v>
      </c>
      <c r="C1007">
        <v>37.619999999999997</v>
      </c>
      <c r="D1007">
        <v>37.17</v>
      </c>
      <c r="E1007">
        <v>37.29</v>
      </c>
      <c r="F1007">
        <v>14563533</v>
      </c>
      <c r="H1007">
        <f t="shared" si="15"/>
        <v>-4.0144574186618473E-3</v>
      </c>
    </row>
    <row r="1008" spans="1:8" x14ac:dyDescent="0.25">
      <c r="A1008" t="s">
        <v>702</v>
      </c>
      <c r="B1008">
        <v>37.200000000000003</v>
      </c>
      <c r="C1008">
        <v>37.49</v>
      </c>
      <c r="D1008">
        <v>37.17</v>
      </c>
      <c r="E1008">
        <v>37.44</v>
      </c>
      <c r="F1008">
        <v>17614984</v>
      </c>
      <c r="H1008">
        <f t="shared" si="15"/>
        <v>9.6619109117368901E-3</v>
      </c>
    </row>
    <row r="1009" spans="1:8" x14ac:dyDescent="0.25">
      <c r="A1009" t="s">
        <v>703</v>
      </c>
      <c r="B1009">
        <v>36.72</v>
      </c>
      <c r="C1009">
        <v>37.17</v>
      </c>
      <c r="D1009">
        <v>36.64</v>
      </c>
      <c r="E1009">
        <v>37.08</v>
      </c>
      <c r="F1009">
        <v>14242997</v>
      </c>
      <c r="H1009">
        <f t="shared" si="15"/>
        <v>1.2483201451289748E-2</v>
      </c>
    </row>
    <row r="1010" spans="1:8" x14ac:dyDescent="0.25">
      <c r="A1010" t="s">
        <v>704</v>
      </c>
      <c r="B1010">
        <v>36.81</v>
      </c>
      <c r="C1010">
        <v>36.89</v>
      </c>
      <c r="D1010">
        <v>36.549999999999997</v>
      </c>
      <c r="E1010">
        <v>36.619999999999997</v>
      </c>
      <c r="F1010">
        <v>25128740</v>
      </c>
      <c r="H1010">
        <f t="shared" si="15"/>
        <v>-4.9033059285205358E-3</v>
      </c>
    </row>
    <row r="1011" spans="1:8" x14ac:dyDescent="0.25">
      <c r="A1011" t="s">
        <v>705</v>
      </c>
      <c r="B1011">
        <v>36.25</v>
      </c>
      <c r="C1011">
        <v>36.93</v>
      </c>
      <c r="D1011">
        <v>36.18</v>
      </c>
      <c r="E1011">
        <v>36.799999999999997</v>
      </c>
      <c r="F1011">
        <v>62650324</v>
      </c>
      <c r="H1011">
        <f t="shared" si="15"/>
        <v>1.5058463874201317E-2</v>
      </c>
    </row>
    <row r="1012" spans="1:8" x14ac:dyDescent="0.25">
      <c r="A1012" t="s">
        <v>706</v>
      </c>
      <c r="B1012">
        <v>36.520000000000003</v>
      </c>
      <c r="C1012">
        <v>36.549999999999997</v>
      </c>
      <c r="D1012">
        <v>36.08</v>
      </c>
      <c r="E1012">
        <v>36.25</v>
      </c>
      <c r="F1012">
        <v>34157264</v>
      </c>
      <c r="H1012">
        <f t="shared" si="15"/>
        <v>-9.0622616620358483E-3</v>
      </c>
    </row>
    <row r="1013" spans="1:8" x14ac:dyDescent="0.25">
      <c r="A1013" t="s">
        <v>707</v>
      </c>
      <c r="B1013">
        <v>36.36</v>
      </c>
      <c r="C1013">
        <v>36.6</v>
      </c>
      <c r="D1013">
        <v>35.53</v>
      </c>
      <c r="E1013">
        <v>36.58</v>
      </c>
      <c r="F1013">
        <v>63192067</v>
      </c>
      <c r="H1013">
        <f t="shared" si="15"/>
        <v>1.6415872359518593E-3</v>
      </c>
    </row>
    <row r="1014" spans="1:8" x14ac:dyDescent="0.25">
      <c r="A1014" t="s">
        <v>708</v>
      </c>
      <c r="B1014">
        <v>36.65</v>
      </c>
      <c r="C1014">
        <v>37.11</v>
      </c>
      <c r="D1014">
        <v>36.33</v>
      </c>
      <c r="E1014">
        <v>36.520000000000003</v>
      </c>
      <c r="F1014">
        <v>45687679</v>
      </c>
      <c r="H1014">
        <f t="shared" si="15"/>
        <v>-9.8093429616252972E-3</v>
      </c>
    </row>
    <row r="1015" spans="1:8" x14ac:dyDescent="0.25">
      <c r="A1015" t="s">
        <v>709</v>
      </c>
      <c r="B1015">
        <v>36.729999999999997</v>
      </c>
      <c r="C1015">
        <v>37</v>
      </c>
      <c r="D1015">
        <v>36.54</v>
      </c>
      <c r="E1015">
        <v>36.880000000000003</v>
      </c>
      <c r="F1015">
        <v>31734515</v>
      </c>
      <c r="H1015">
        <f t="shared" si="15"/>
        <v>5.165160321202465E-3</v>
      </c>
    </row>
    <row r="1016" spans="1:8" x14ac:dyDescent="0.25">
      <c r="A1016" t="s">
        <v>710</v>
      </c>
      <c r="B1016">
        <v>37.43</v>
      </c>
      <c r="C1016">
        <v>37.450000000000003</v>
      </c>
      <c r="D1016">
        <v>36.619999999999997</v>
      </c>
      <c r="E1016">
        <v>36.69</v>
      </c>
      <c r="F1016">
        <v>40074360</v>
      </c>
      <c r="H1016">
        <f t="shared" si="15"/>
        <v>-1.4342012846914012E-2</v>
      </c>
    </row>
    <row r="1017" spans="1:8" x14ac:dyDescent="0.25">
      <c r="A1017" t="s">
        <v>711</v>
      </c>
      <c r="B1017">
        <v>37.6</v>
      </c>
      <c r="C1017">
        <v>37.64</v>
      </c>
      <c r="D1017">
        <v>37.18</v>
      </c>
      <c r="E1017">
        <v>37.22</v>
      </c>
      <c r="F1017">
        <v>36012761</v>
      </c>
      <c r="H1017">
        <f t="shared" si="15"/>
        <v>-1.0423721268140342E-2</v>
      </c>
    </row>
    <row r="1018" spans="1:8" x14ac:dyDescent="0.25">
      <c r="A1018" t="s">
        <v>712</v>
      </c>
      <c r="B1018">
        <v>37.71</v>
      </c>
      <c r="C1018">
        <v>38.299999999999997</v>
      </c>
      <c r="D1018">
        <v>37.39</v>
      </c>
      <c r="E1018">
        <v>37.61</v>
      </c>
      <c r="F1018">
        <v>39853379</v>
      </c>
      <c r="H1018">
        <f t="shared" si="15"/>
        <v>-1.3206742403523803E-2</v>
      </c>
    </row>
    <row r="1019" spans="1:8" x14ac:dyDescent="0.25">
      <c r="A1019" t="s">
        <v>713</v>
      </c>
      <c r="B1019">
        <v>38.58</v>
      </c>
      <c r="C1019">
        <v>38.9</v>
      </c>
      <c r="D1019">
        <v>38.020000000000003</v>
      </c>
      <c r="E1019">
        <v>38.11</v>
      </c>
      <c r="F1019">
        <v>37828593</v>
      </c>
      <c r="H1019">
        <f t="shared" si="15"/>
        <v>-1.5362885149967385E-2</v>
      </c>
    </row>
    <row r="1020" spans="1:8" x14ac:dyDescent="0.25">
      <c r="A1020" t="s">
        <v>714</v>
      </c>
      <c r="B1020">
        <v>38.56</v>
      </c>
      <c r="C1020">
        <v>38.869999999999997</v>
      </c>
      <c r="D1020">
        <v>38.369999999999997</v>
      </c>
      <c r="E1020">
        <v>38.700000000000003</v>
      </c>
      <c r="F1020">
        <v>30286015</v>
      </c>
      <c r="H1020">
        <f t="shared" si="15"/>
        <v>8.8243500204986947E-3</v>
      </c>
    </row>
    <row r="1021" spans="1:8" x14ac:dyDescent="0.25">
      <c r="A1021" t="s">
        <v>715</v>
      </c>
      <c r="B1021">
        <v>38.42</v>
      </c>
      <c r="C1021">
        <v>38.549999999999997</v>
      </c>
      <c r="D1021">
        <v>37.99</v>
      </c>
      <c r="E1021">
        <v>38.36</v>
      </c>
      <c r="F1021">
        <v>36457292</v>
      </c>
      <c r="H1021">
        <f t="shared" si="15"/>
        <v>9.4290902888516867E-3</v>
      </c>
    </row>
    <row r="1022" spans="1:8" x14ac:dyDescent="0.25">
      <c r="A1022" t="s">
        <v>716</v>
      </c>
      <c r="B1022">
        <v>38.85</v>
      </c>
      <c r="C1022">
        <v>38.880000000000003</v>
      </c>
      <c r="D1022">
        <v>37.18</v>
      </c>
      <c r="E1022">
        <v>38</v>
      </c>
      <c r="F1022">
        <v>116313834</v>
      </c>
      <c r="H1022">
        <f t="shared" si="15"/>
        <v>-2.4435840217667794E-2</v>
      </c>
    </row>
    <row r="1023" spans="1:8" x14ac:dyDescent="0.25">
      <c r="A1023" t="s">
        <v>717</v>
      </c>
      <c r="B1023">
        <v>38.21</v>
      </c>
      <c r="C1023">
        <v>38.979999999999997</v>
      </c>
      <c r="D1023">
        <v>38.119999999999997</v>
      </c>
      <c r="E1023">
        <v>38.94</v>
      </c>
      <c r="F1023">
        <v>51983578</v>
      </c>
      <c r="H1023">
        <f t="shared" si="15"/>
        <v>1.6311041231495946E-2</v>
      </c>
    </row>
    <row r="1024" spans="1:8" x14ac:dyDescent="0.25">
      <c r="A1024" t="s">
        <v>718</v>
      </c>
      <c r="B1024">
        <v>38.14</v>
      </c>
      <c r="C1024">
        <v>38.49</v>
      </c>
      <c r="D1024">
        <v>38.08</v>
      </c>
      <c r="E1024">
        <v>38.31</v>
      </c>
      <c r="F1024">
        <v>52109760</v>
      </c>
      <c r="H1024">
        <f t="shared" si="15"/>
        <v>-3.6477372390953267E-3</v>
      </c>
    </row>
    <row r="1025" spans="1:8" x14ac:dyDescent="0.25">
      <c r="A1025" t="s">
        <v>719</v>
      </c>
      <c r="B1025">
        <v>38.090000000000003</v>
      </c>
      <c r="C1025">
        <v>38.78</v>
      </c>
      <c r="D1025">
        <v>38.06</v>
      </c>
      <c r="E1025">
        <v>38.450000000000003</v>
      </c>
      <c r="F1025">
        <v>42950373</v>
      </c>
      <c r="H1025">
        <f t="shared" si="15"/>
        <v>8.3573220821805249E-3</v>
      </c>
    </row>
    <row r="1026" spans="1:8" x14ac:dyDescent="0.25">
      <c r="A1026" s="22">
        <v>41607</v>
      </c>
      <c r="B1026">
        <v>37.82</v>
      </c>
      <c r="C1026">
        <v>38.29</v>
      </c>
      <c r="D1026">
        <v>37.82</v>
      </c>
      <c r="E1026">
        <v>38.130000000000003</v>
      </c>
      <c r="F1026">
        <v>22090428</v>
      </c>
      <c r="H1026">
        <f t="shared" si="15"/>
        <v>1.3997323473623651E-2</v>
      </c>
    </row>
    <row r="1027" spans="1:8" x14ac:dyDescent="0.25">
      <c r="A1027" s="22">
        <v>41605</v>
      </c>
      <c r="B1027">
        <v>37.57</v>
      </c>
      <c r="C1027">
        <v>37.76</v>
      </c>
      <c r="D1027">
        <v>37.49</v>
      </c>
      <c r="E1027">
        <v>37.6</v>
      </c>
      <c r="F1027">
        <v>26002050</v>
      </c>
      <c r="H1027">
        <f t="shared" ref="H1027:H1090" si="16">IFERROR(LN(E1027/E1028),"")</f>
        <v>6.6711388170226007E-3</v>
      </c>
    </row>
    <row r="1028" spans="1:8" x14ac:dyDescent="0.25">
      <c r="A1028" s="22">
        <v>41604</v>
      </c>
      <c r="B1028">
        <v>37.57</v>
      </c>
      <c r="C1028">
        <v>37.65</v>
      </c>
      <c r="D1028">
        <v>37.35</v>
      </c>
      <c r="E1028">
        <v>37.35</v>
      </c>
      <c r="F1028">
        <v>34468069</v>
      </c>
      <c r="H1028">
        <f t="shared" si="16"/>
        <v>-7.7344031383525117E-3</v>
      </c>
    </row>
    <row r="1029" spans="1:8" x14ac:dyDescent="0.25">
      <c r="A1029" s="22">
        <v>41603</v>
      </c>
      <c r="B1029">
        <v>37.93</v>
      </c>
      <c r="C1029">
        <v>37.950000000000003</v>
      </c>
      <c r="D1029">
        <v>37.57</v>
      </c>
      <c r="E1029">
        <v>37.64</v>
      </c>
      <c r="F1029">
        <v>30648148</v>
      </c>
      <c r="H1029">
        <f t="shared" si="16"/>
        <v>1.8614551313014026E-3</v>
      </c>
    </row>
    <row r="1030" spans="1:8" x14ac:dyDescent="0.25">
      <c r="A1030" s="22">
        <v>41600</v>
      </c>
      <c r="B1030">
        <v>37.520000000000003</v>
      </c>
      <c r="C1030">
        <v>37.68</v>
      </c>
      <c r="D1030">
        <v>37.33</v>
      </c>
      <c r="E1030">
        <v>37.57</v>
      </c>
      <c r="F1030">
        <v>27981996</v>
      </c>
      <c r="H1030">
        <f t="shared" si="16"/>
        <v>4.5351551653913628E-3</v>
      </c>
    </row>
    <row r="1031" spans="1:8" x14ac:dyDescent="0.25">
      <c r="A1031" s="22">
        <v>41599</v>
      </c>
      <c r="B1031">
        <v>37.270000000000003</v>
      </c>
      <c r="C1031">
        <v>37.53</v>
      </c>
      <c r="D1031">
        <v>37.26</v>
      </c>
      <c r="E1031">
        <v>37.4</v>
      </c>
      <c r="F1031">
        <v>23064699</v>
      </c>
      <c r="H1031">
        <f t="shared" si="16"/>
        <v>8.5929637228318173E-3</v>
      </c>
    </row>
    <row r="1032" spans="1:8" x14ac:dyDescent="0.25">
      <c r="A1032" s="22">
        <v>41598</v>
      </c>
      <c r="B1032">
        <v>36.92</v>
      </c>
      <c r="C1032">
        <v>37.409999999999997</v>
      </c>
      <c r="D1032">
        <v>36.86</v>
      </c>
      <c r="E1032">
        <v>37.08</v>
      </c>
      <c r="F1032">
        <v>32231827</v>
      </c>
      <c r="H1032">
        <f t="shared" si="16"/>
        <v>9.2116609106747144E-3</v>
      </c>
    </row>
    <row r="1033" spans="1:8" x14ac:dyDescent="0.25">
      <c r="A1033" s="22">
        <v>41597</v>
      </c>
      <c r="B1033">
        <v>36.85</v>
      </c>
      <c r="C1033">
        <v>37.229999999999997</v>
      </c>
      <c r="D1033">
        <v>36.67</v>
      </c>
      <c r="E1033">
        <v>36.74</v>
      </c>
      <c r="F1033">
        <v>44274987</v>
      </c>
      <c r="H1033">
        <f t="shared" si="16"/>
        <v>-1.2442681492121245E-2</v>
      </c>
    </row>
    <row r="1034" spans="1:8" x14ac:dyDescent="0.25">
      <c r="A1034" s="22">
        <v>41596</v>
      </c>
      <c r="B1034">
        <v>37.35</v>
      </c>
      <c r="C1034">
        <v>37.58</v>
      </c>
      <c r="D1034">
        <v>37.07</v>
      </c>
      <c r="E1034">
        <v>37.200000000000003</v>
      </c>
      <c r="F1034">
        <v>53277485</v>
      </c>
      <c r="H1034">
        <f t="shared" si="16"/>
        <v>-1.7057982904576625E-2</v>
      </c>
    </row>
    <row r="1035" spans="1:8" x14ac:dyDescent="0.25">
      <c r="A1035" s="22">
        <v>41593</v>
      </c>
      <c r="B1035">
        <v>37.950000000000003</v>
      </c>
      <c r="C1035">
        <v>38.020000000000003</v>
      </c>
      <c r="D1035">
        <v>37.72</v>
      </c>
      <c r="E1035">
        <v>37.840000000000003</v>
      </c>
      <c r="F1035">
        <v>50602034</v>
      </c>
      <c r="H1035">
        <f t="shared" si="16"/>
        <v>-4.7455928766055363E-3</v>
      </c>
    </row>
    <row r="1036" spans="1:8" x14ac:dyDescent="0.25">
      <c r="A1036" s="22">
        <v>41592</v>
      </c>
      <c r="B1036">
        <v>37.869999999999997</v>
      </c>
      <c r="C1036">
        <v>38.130000000000003</v>
      </c>
      <c r="D1036">
        <v>37.72</v>
      </c>
      <c r="E1036">
        <v>38.020000000000003</v>
      </c>
      <c r="F1036">
        <v>46186577</v>
      </c>
      <c r="H1036">
        <f t="shared" si="16"/>
        <v>-3.6755095198025434E-3</v>
      </c>
    </row>
    <row r="1037" spans="1:8" x14ac:dyDescent="0.25">
      <c r="A1037" s="22">
        <v>41591</v>
      </c>
      <c r="B1037">
        <v>36.979999999999997</v>
      </c>
      <c r="C1037">
        <v>38.159999999999997</v>
      </c>
      <c r="D1037">
        <v>36.9</v>
      </c>
      <c r="E1037">
        <v>38.159999999999997</v>
      </c>
      <c r="F1037">
        <v>44957611</v>
      </c>
      <c r="H1037">
        <f t="shared" si="16"/>
        <v>2.1187233219443845E-2</v>
      </c>
    </row>
    <row r="1038" spans="1:8" x14ac:dyDescent="0.25">
      <c r="A1038" s="22">
        <v>41590</v>
      </c>
      <c r="B1038">
        <v>37.380000000000003</v>
      </c>
      <c r="C1038">
        <v>37.6</v>
      </c>
      <c r="D1038">
        <v>37.200000000000003</v>
      </c>
      <c r="E1038">
        <v>37.36</v>
      </c>
      <c r="F1038">
        <v>31651589</v>
      </c>
      <c r="H1038">
        <f t="shared" si="16"/>
        <v>-6.1374442154448821E-3</v>
      </c>
    </row>
    <row r="1039" spans="1:8" x14ac:dyDescent="0.25">
      <c r="A1039" s="22">
        <v>41589</v>
      </c>
      <c r="B1039">
        <v>37.69</v>
      </c>
      <c r="C1039">
        <v>37.78</v>
      </c>
      <c r="D1039">
        <v>37.36</v>
      </c>
      <c r="E1039">
        <v>37.590000000000003</v>
      </c>
      <c r="F1039">
        <v>26872537</v>
      </c>
      <c r="H1039">
        <f t="shared" si="16"/>
        <v>-5.0418044972767974E-3</v>
      </c>
    </row>
    <row r="1040" spans="1:8" x14ac:dyDescent="0.25">
      <c r="A1040" s="22">
        <v>41586</v>
      </c>
      <c r="B1040">
        <v>37.67</v>
      </c>
      <c r="C1040">
        <v>37.78</v>
      </c>
      <c r="D1040">
        <v>37.340000000000003</v>
      </c>
      <c r="E1040">
        <v>37.78</v>
      </c>
      <c r="F1040">
        <v>36743157</v>
      </c>
      <c r="H1040">
        <f t="shared" si="16"/>
        <v>7.4389290969984279E-3</v>
      </c>
    </row>
    <row r="1041" spans="1:8" x14ac:dyDescent="0.25">
      <c r="A1041" s="22">
        <v>41585</v>
      </c>
      <c r="B1041">
        <v>37.96</v>
      </c>
      <c r="C1041">
        <v>38.01</v>
      </c>
      <c r="D1041">
        <v>37.43</v>
      </c>
      <c r="E1041">
        <v>37.5</v>
      </c>
      <c r="F1041">
        <v>60445258</v>
      </c>
      <c r="H1041">
        <f t="shared" si="16"/>
        <v>-1.7970885321236404E-2</v>
      </c>
    </row>
    <row r="1042" spans="1:8" x14ac:dyDescent="0.25">
      <c r="A1042" s="22">
        <v>41584</v>
      </c>
      <c r="B1042">
        <v>37.24</v>
      </c>
      <c r="C1042">
        <v>38.22</v>
      </c>
      <c r="D1042">
        <v>37.06</v>
      </c>
      <c r="E1042">
        <v>38.18</v>
      </c>
      <c r="F1042">
        <v>88948830</v>
      </c>
      <c r="H1042">
        <f t="shared" si="16"/>
        <v>4.1171278491671959E-2</v>
      </c>
    </row>
    <row r="1043" spans="1:8" x14ac:dyDescent="0.25">
      <c r="A1043" s="22">
        <v>41583</v>
      </c>
      <c r="B1043">
        <v>35.79</v>
      </c>
      <c r="C1043">
        <v>36.71</v>
      </c>
      <c r="D1043">
        <v>35.770000000000003</v>
      </c>
      <c r="E1043">
        <v>36.64</v>
      </c>
      <c r="F1043">
        <v>51681868</v>
      </c>
      <c r="H1043">
        <f t="shared" si="16"/>
        <v>1.9289658450516604E-2</v>
      </c>
    </row>
    <row r="1044" spans="1:8" x14ac:dyDescent="0.25">
      <c r="A1044" s="22">
        <v>41582</v>
      </c>
      <c r="B1044">
        <v>35.590000000000003</v>
      </c>
      <c r="C1044">
        <v>35.979999999999997</v>
      </c>
      <c r="D1044">
        <v>35.549999999999997</v>
      </c>
      <c r="E1044">
        <v>35.94</v>
      </c>
      <c r="F1044">
        <v>28061873</v>
      </c>
      <c r="H1044">
        <f t="shared" si="16"/>
        <v>1.1754963231443465E-2</v>
      </c>
    </row>
    <row r="1045" spans="1:8" x14ac:dyDescent="0.25">
      <c r="A1045" s="22">
        <v>41579</v>
      </c>
      <c r="B1045">
        <v>35.67</v>
      </c>
      <c r="C1045">
        <v>35.69</v>
      </c>
      <c r="D1045">
        <v>35.39</v>
      </c>
      <c r="E1045">
        <v>35.520000000000003</v>
      </c>
      <c r="F1045">
        <v>40271887</v>
      </c>
      <c r="H1045">
        <f t="shared" si="16"/>
        <v>3.3840979842407154E-3</v>
      </c>
    </row>
    <row r="1046" spans="1:8" x14ac:dyDescent="0.25">
      <c r="A1046" t="s">
        <v>720</v>
      </c>
      <c r="B1046">
        <v>35.659999999999997</v>
      </c>
      <c r="C1046">
        <v>35.69</v>
      </c>
      <c r="D1046">
        <v>35.340000000000003</v>
      </c>
      <c r="E1046">
        <v>35.4</v>
      </c>
      <c r="F1046">
        <v>41689563</v>
      </c>
      <c r="H1046">
        <f t="shared" si="16"/>
        <v>-3.9470025867765247E-3</v>
      </c>
    </row>
    <row r="1047" spans="1:8" x14ac:dyDescent="0.25">
      <c r="A1047" t="s">
        <v>721</v>
      </c>
      <c r="B1047">
        <v>35.53</v>
      </c>
      <c r="C1047">
        <v>35.79</v>
      </c>
      <c r="D1047">
        <v>35.43</v>
      </c>
      <c r="E1047">
        <v>35.54</v>
      </c>
      <c r="F1047">
        <v>37002061</v>
      </c>
      <c r="H1047">
        <f t="shared" si="16"/>
        <v>5.6290460253575981E-4</v>
      </c>
    </row>
    <row r="1048" spans="1:8" x14ac:dyDescent="0.25">
      <c r="A1048" t="s">
        <v>722</v>
      </c>
      <c r="B1048">
        <v>35.630000000000003</v>
      </c>
      <c r="C1048">
        <v>35.72</v>
      </c>
      <c r="D1048">
        <v>35.26</v>
      </c>
      <c r="E1048">
        <v>35.520000000000003</v>
      </c>
      <c r="F1048">
        <v>31702613</v>
      </c>
      <c r="H1048">
        <f t="shared" si="16"/>
        <v>-1.4066678363943924E-3</v>
      </c>
    </row>
    <row r="1049" spans="1:8" x14ac:dyDescent="0.25">
      <c r="A1049" t="s">
        <v>723</v>
      </c>
      <c r="B1049">
        <v>35.61</v>
      </c>
      <c r="C1049">
        <v>35.729999999999997</v>
      </c>
      <c r="D1049">
        <v>35.270000000000003</v>
      </c>
      <c r="E1049">
        <v>35.57</v>
      </c>
      <c r="F1049">
        <v>38383594</v>
      </c>
      <c r="H1049">
        <f t="shared" si="16"/>
        <v>-4.4880860749544902E-3</v>
      </c>
    </row>
    <row r="1050" spans="1:8" x14ac:dyDescent="0.25">
      <c r="A1050" t="s">
        <v>724</v>
      </c>
      <c r="B1050">
        <v>35.880000000000003</v>
      </c>
      <c r="C1050">
        <v>36.29</v>
      </c>
      <c r="D1050">
        <v>35.47</v>
      </c>
      <c r="E1050">
        <v>35.729999999999997</v>
      </c>
      <c r="F1050">
        <v>113493954</v>
      </c>
      <c r="H1050">
        <f t="shared" si="16"/>
        <v>5.7899538901663723E-2</v>
      </c>
    </row>
    <row r="1051" spans="1:8" x14ac:dyDescent="0.25">
      <c r="A1051" t="s">
        <v>725</v>
      </c>
      <c r="B1051">
        <v>33.82</v>
      </c>
      <c r="C1051">
        <v>34.1</v>
      </c>
      <c r="D1051">
        <v>33.57</v>
      </c>
      <c r="E1051">
        <v>33.72</v>
      </c>
      <c r="F1051">
        <v>53209728</v>
      </c>
      <c r="H1051">
        <f t="shared" si="16"/>
        <v>-1.185536594101587E-3</v>
      </c>
    </row>
    <row r="1052" spans="1:8" x14ac:dyDescent="0.25">
      <c r="A1052" t="s">
        <v>726</v>
      </c>
      <c r="B1052">
        <v>34.35</v>
      </c>
      <c r="C1052">
        <v>34.49</v>
      </c>
      <c r="D1052">
        <v>33.67</v>
      </c>
      <c r="E1052">
        <v>33.76</v>
      </c>
      <c r="F1052">
        <v>58600499</v>
      </c>
      <c r="H1052">
        <f t="shared" si="16"/>
        <v>-2.3998810527388063E-2</v>
      </c>
    </row>
    <row r="1053" spans="1:8" x14ac:dyDescent="0.25">
      <c r="A1053" t="s">
        <v>727</v>
      </c>
      <c r="B1053">
        <v>35.020000000000003</v>
      </c>
      <c r="C1053">
        <v>35.1</v>
      </c>
      <c r="D1053">
        <v>34.520000000000003</v>
      </c>
      <c r="E1053">
        <v>34.58</v>
      </c>
      <c r="F1053">
        <v>40438546</v>
      </c>
      <c r="H1053">
        <f t="shared" si="16"/>
        <v>-1.1786826124452348E-2</v>
      </c>
    </row>
    <row r="1054" spans="1:8" x14ac:dyDescent="0.25">
      <c r="A1054" t="s">
        <v>728</v>
      </c>
      <c r="B1054">
        <v>34.979999999999997</v>
      </c>
      <c r="C1054">
        <v>35.200000000000003</v>
      </c>
      <c r="D1054">
        <v>34.909999999999997</v>
      </c>
      <c r="E1054">
        <v>34.99</v>
      </c>
      <c r="F1054">
        <v>27436505</v>
      </c>
      <c r="H1054">
        <f t="shared" si="16"/>
        <v>8.5775559226187548E-4</v>
      </c>
    </row>
    <row r="1055" spans="1:8" x14ac:dyDescent="0.25">
      <c r="A1055" t="s">
        <v>729</v>
      </c>
      <c r="B1055">
        <v>34.82</v>
      </c>
      <c r="C1055">
        <v>34.99</v>
      </c>
      <c r="D1055">
        <v>34.33</v>
      </c>
      <c r="E1055">
        <v>34.96</v>
      </c>
      <c r="F1055">
        <v>41811699</v>
      </c>
      <c r="H1055">
        <f t="shared" si="16"/>
        <v>1.1448198159332513E-3</v>
      </c>
    </row>
    <row r="1056" spans="1:8" x14ac:dyDescent="0.25">
      <c r="A1056" t="s">
        <v>730</v>
      </c>
      <c r="B1056">
        <v>34.450000000000003</v>
      </c>
      <c r="C1056">
        <v>34.99</v>
      </c>
      <c r="D1056">
        <v>34.369999999999997</v>
      </c>
      <c r="E1056">
        <v>34.92</v>
      </c>
      <c r="F1056">
        <v>31359198</v>
      </c>
      <c r="H1056">
        <f t="shared" si="16"/>
        <v>8.0506472771669901E-3</v>
      </c>
    </row>
    <row r="1057" spans="1:8" x14ac:dyDescent="0.25">
      <c r="A1057" t="s">
        <v>731</v>
      </c>
      <c r="B1057">
        <v>34.6</v>
      </c>
      <c r="C1057">
        <v>34.9</v>
      </c>
      <c r="D1057">
        <v>34.56</v>
      </c>
      <c r="E1057">
        <v>34.64</v>
      </c>
      <c r="F1057">
        <v>35111593</v>
      </c>
      <c r="H1057">
        <f t="shared" si="16"/>
        <v>4.339656745484935E-3</v>
      </c>
    </row>
    <row r="1058" spans="1:8" x14ac:dyDescent="0.25">
      <c r="A1058" t="s">
        <v>732</v>
      </c>
      <c r="B1058">
        <v>34.67</v>
      </c>
      <c r="C1058">
        <v>34.99</v>
      </c>
      <c r="D1058">
        <v>34.47</v>
      </c>
      <c r="E1058">
        <v>34.49</v>
      </c>
      <c r="F1058">
        <v>47107657</v>
      </c>
      <c r="H1058">
        <f t="shared" si="16"/>
        <v>1.1604294890819788E-3</v>
      </c>
    </row>
    <row r="1059" spans="1:8" x14ac:dyDescent="0.25">
      <c r="A1059" t="s">
        <v>733</v>
      </c>
      <c r="B1059">
        <v>33.9</v>
      </c>
      <c r="C1059">
        <v>34.5</v>
      </c>
      <c r="D1059">
        <v>33.78</v>
      </c>
      <c r="E1059">
        <v>34.450000000000003</v>
      </c>
      <c r="F1059">
        <v>27757870</v>
      </c>
      <c r="H1059">
        <f t="shared" si="16"/>
        <v>9.3322345410518891E-3</v>
      </c>
    </row>
    <row r="1060" spans="1:8" x14ac:dyDescent="0.25">
      <c r="A1060" t="s">
        <v>734</v>
      </c>
      <c r="B1060">
        <v>33.68</v>
      </c>
      <c r="C1060">
        <v>34.14</v>
      </c>
      <c r="D1060">
        <v>33.68</v>
      </c>
      <c r="E1060">
        <v>34.130000000000003</v>
      </c>
      <c r="F1060">
        <v>30033336</v>
      </c>
      <c r="H1060">
        <f t="shared" si="16"/>
        <v>1.0900093190859344E-2</v>
      </c>
    </row>
    <row r="1061" spans="1:8" x14ac:dyDescent="0.25">
      <c r="A1061" t="s">
        <v>735</v>
      </c>
      <c r="B1061">
        <v>33.31</v>
      </c>
      <c r="C1061">
        <v>33.89</v>
      </c>
      <c r="D1061">
        <v>33.26</v>
      </c>
      <c r="E1061">
        <v>33.76</v>
      </c>
      <c r="F1061">
        <v>42875141</v>
      </c>
      <c r="H1061">
        <f t="shared" si="16"/>
        <v>2.0650142734054966E-2</v>
      </c>
    </row>
    <row r="1062" spans="1:8" x14ac:dyDescent="0.25">
      <c r="A1062" t="s">
        <v>736</v>
      </c>
      <c r="B1062">
        <v>33.07</v>
      </c>
      <c r="C1062">
        <v>33.35</v>
      </c>
      <c r="D1062">
        <v>32.96</v>
      </c>
      <c r="E1062">
        <v>33.07</v>
      </c>
      <c r="F1062">
        <v>35878559</v>
      </c>
      <c r="H1062">
        <f t="shared" si="16"/>
        <v>1.8159811285998341E-3</v>
      </c>
    </row>
    <row r="1063" spans="1:8" x14ac:dyDescent="0.25">
      <c r="A1063" t="s">
        <v>737</v>
      </c>
      <c r="B1063">
        <v>33.31</v>
      </c>
      <c r="C1063">
        <v>33.33</v>
      </c>
      <c r="D1063">
        <v>32.799999999999997</v>
      </c>
      <c r="E1063">
        <v>33.01</v>
      </c>
      <c r="F1063">
        <v>41017586</v>
      </c>
      <c r="H1063">
        <f t="shared" si="16"/>
        <v>-8.746851121296445E-3</v>
      </c>
    </row>
    <row r="1064" spans="1:8" x14ac:dyDescent="0.25">
      <c r="A1064" t="s">
        <v>738</v>
      </c>
      <c r="B1064">
        <v>33.6</v>
      </c>
      <c r="C1064">
        <v>33.71</v>
      </c>
      <c r="D1064">
        <v>33.200000000000003</v>
      </c>
      <c r="E1064">
        <v>33.299999999999997</v>
      </c>
      <c r="F1064">
        <v>35069279</v>
      </c>
      <c r="H1064">
        <f t="shared" si="16"/>
        <v>-1.7267472797455719E-2</v>
      </c>
    </row>
    <row r="1065" spans="1:8" x14ac:dyDescent="0.25">
      <c r="A1065" t="s">
        <v>739</v>
      </c>
      <c r="B1065">
        <v>33.69</v>
      </c>
      <c r="C1065">
        <v>33.99</v>
      </c>
      <c r="D1065">
        <v>33.619999999999997</v>
      </c>
      <c r="E1065">
        <v>33.880000000000003</v>
      </c>
      <c r="F1065">
        <v>33008107</v>
      </c>
      <c r="H1065">
        <f t="shared" si="16"/>
        <v>5.9049307886442951E-4</v>
      </c>
    </row>
    <row r="1066" spans="1:8" x14ac:dyDescent="0.25">
      <c r="A1066" t="s">
        <v>740</v>
      </c>
      <c r="B1066">
        <v>33.880000000000003</v>
      </c>
      <c r="C1066">
        <v>34</v>
      </c>
      <c r="D1066">
        <v>33.42</v>
      </c>
      <c r="E1066">
        <v>33.86</v>
      </c>
      <c r="F1066">
        <v>38707452</v>
      </c>
      <c r="H1066">
        <f t="shared" si="16"/>
        <v>-1.770434218713114E-3</v>
      </c>
    </row>
    <row r="1067" spans="1:8" x14ac:dyDescent="0.25">
      <c r="A1067" t="s">
        <v>741</v>
      </c>
      <c r="B1067">
        <v>33.36</v>
      </c>
      <c r="C1067">
        <v>34.03</v>
      </c>
      <c r="D1067">
        <v>33.29</v>
      </c>
      <c r="E1067">
        <v>33.92</v>
      </c>
      <c r="F1067">
        <v>46946813</v>
      </c>
      <c r="H1067">
        <f t="shared" si="16"/>
        <v>1.0074159274307572E-2</v>
      </c>
    </row>
    <row r="1068" spans="1:8" x14ac:dyDescent="0.25">
      <c r="A1068" t="s">
        <v>742</v>
      </c>
      <c r="B1068">
        <v>33.35</v>
      </c>
      <c r="C1068">
        <v>33.61</v>
      </c>
      <c r="D1068">
        <v>33.299999999999997</v>
      </c>
      <c r="E1068">
        <v>33.58</v>
      </c>
      <c r="F1068">
        <v>36718733</v>
      </c>
      <c r="H1068">
        <f t="shared" si="16"/>
        <v>8.9740356963867486E-3</v>
      </c>
    </row>
    <row r="1069" spans="1:8" x14ac:dyDescent="0.25">
      <c r="A1069" t="s">
        <v>743</v>
      </c>
      <c r="B1069">
        <v>33</v>
      </c>
      <c r="C1069">
        <v>33.31</v>
      </c>
      <c r="D1069">
        <v>32.700000000000003</v>
      </c>
      <c r="E1069">
        <v>33.28</v>
      </c>
      <c r="F1069">
        <v>39839541</v>
      </c>
      <c r="H1069">
        <f t="shared" si="16"/>
        <v>3.0052592262251967E-4</v>
      </c>
    </row>
    <row r="1070" spans="1:8" x14ac:dyDescent="0.25">
      <c r="A1070" t="s">
        <v>744</v>
      </c>
      <c r="B1070">
        <v>32.880000000000003</v>
      </c>
      <c r="C1070">
        <v>33.75</v>
      </c>
      <c r="D1070">
        <v>32.869999999999997</v>
      </c>
      <c r="E1070">
        <v>33.270000000000003</v>
      </c>
      <c r="F1070">
        <v>55347903</v>
      </c>
      <c r="H1070">
        <f t="shared" si="16"/>
        <v>1.5142627319662049E-2</v>
      </c>
    </row>
    <row r="1071" spans="1:8" x14ac:dyDescent="0.25">
      <c r="A1071" t="s">
        <v>745</v>
      </c>
      <c r="B1071">
        <v>32.64</v>
      </c>
      <c r="C1071">
        <v>33</v>
      </c>
      <c r="D1071">
        <v>32.590000000000003</v>
      </c>
      <c r="E1071">
        <v>32.770000000000003</v>
      </c>
      <c r="F1071">
        <v>28503917</v>
      </c>
      <c r="H1071">
        <f t="shared" si="16"/>
        <v>8.2733733750314682E-3</v>
      </c>
    </row>
    <row r="1072" spans="1:8" x14ac:dyDescent="0.25">
      <c r="A1072" t="s">
        <v>746</v>
      </c>
      <c r="B1072">
        <v>32.49</v>
      </c>
      <c r="C1072">
        <v>32.799999999999997</v>
      </c>
      <c r="D1072">
        <v>32.4</v>
      </c>
      <c r="E1072">
        <v>32.5</v>
      </c>
      <c r="F1072">
        <v>28907426</v>
      </c>
      <c r="H1072">
        <f t="shared" si="16"/>
        <v>1.2315272492465145E-3</v>
      </c>
    </row>
    <row r="1073" spans="1:8" x14ac:dyDescent="0.25">
      <c r="A1073" t="s">
        <v>747</v>
      </c>
      <c r="B1073">
        <v>32.869999999999997</v>
      </c>
      <c r="C1073">
        <v>32.869999999999997</v>
      </c>
      <c r="D1073">
        <v>32.15</v>
      </c>
      <c r="E1073">
        <v>32.46</v>
      </c>
      <c r="F1073">
        <v>40684948</v>
      </c>
      <c r="H1073">
        <f t="shared" si="16"/>
        <v>-8.5890098565436831E-3</v>
      </c>
    </row>
    <row r="1074" spans="1:8" x14ac:dyDescent="0.25">
      <c r="A1074" t="s">
        <v>748</v>
      </c>
      <c r="B1074">
        <v>32.54</v>
      </c>
      <c r="C1074">
        <v>32.97</v>
      </c>
      <c r="D1074">
        <v>32.5</v>
      </c>
      <c r="E1074">
        <v>32.74</v>
      </c>
      <c r="F1074">
        <v>39826261</v>
      </c>
      <c r="H1074">
        <f t="shared" si="16"/>
        <v>-1.526018913567993E-3</v>
      </c>
    </row>
    <row r="1075" spans="1:8" x14ac:dyDescent="0.25">
      <c r="A1075" t="s">
        <v>749</v>
      </c>
      <c r="B1075">
        <v>33.409999999999997</v>
      </c>
      <c r="C1075">
        <v>33.479999999999997</v>
      </c>
      <c r="D1075">
        <v>32.68</v>
      </c>
      <c r="E1075">
        <v>32.79</v>
      </c>
      <c r="F1075">
        <v>102904859</v>
      </c>
      <c r="H1075">
        <f t="shared" si="16"/>
        <v>-2.559224424819051E-2</v>
      </c>
    </row>
    <row r="1076" spans="1:8" x14ac:dyDescent="0.25">
      <c r="A1076" t="s">
        <v>750</v>
      </c>
      <c r="B1076">
        <v>33.479999999999997</v>
      </c>
      <c r="C1076">
        <v>33.68</v>
      </c>
      <c r="D1076">
        <v>33.32</v>
      </c>
      <c r="E1076">
        <v>33.64</v>
      </c>
      <c r="F1076">
        <v>42026553</v>
      </c>
      <c r="H1076">
        <f t="shared" si="16"/>
        <v>9.5580178061053615E-3</v>
      </c>
    </row>
    <row r="1077" spans="1:8" x14ac:dyDescent="0.25">
      <c r="A1077" t="s">
        <v>751</v>
      </c>
      <c r="B1077">
        <v>32.99</v>
      </c>
      <c r="C1077">
        <v>33.4</v>
      </c>
      <c r="D1077">
        <v>32.83</v>
      </c>
      <c r="E1077">
        <v>33.32</v>
      </c>
      <c r="F1077">
        <v>64103344</v>
      </c>
      <c r="H1077">
        <f t="shared" si="16"/>
        <v>1.1773720910368966E-2</v>
      </c>
    </row>
    <row r="1078" spans="1:8" x14ac:dyDescent="0.25">
      <c r="A1078" t="s">
        <v>752</v>
      </c>
      <c r="B1078">
        <v>33.42</v>
      </c>
      <c r="C1078">
        <v>33.47</v>
      </c>
      <c r="D1078">
        <v>32.9</v>
      </c>
      <c r="E1078">
        <v>32.93</v>
      </c>
      <c r="F1078">
        <v>84716461</v>
      </c>
      <c r="H1078">
        <f t="shared" si="16"/>
        <v>3.9555809981750359E-3</v>
      </c>
    </row>
    <row r="1079" spans="1:8" x14ac:dyDescent="0.25">
      <c r="A1079" t="s">
        <v>753</v>
      </c>
      <c r="B1079">
        <v>33.380000000000003</v>
      </c>
      <c r="C1079">
        <v>33.5</v>
      </c>
      <c r="D1079">
        <v>32.729999999999997</v>
      </c>
      <c r="E1079">
        <v>32.799999999999997</v>
      </c>
      <c r="F1079">
        <v>55017879</v>
      </c>
      <c r="H1079">
        <f t="shared" si="16"/>
        <v>-6.9877240126003789E-3</v>
      </c>
    </row>
    <row r="1080" spans="1:8" x14ac:dyDescent="0.25">
      <c r="A1080" t="s">
        <v>754</v>
      </c>
      <c r="B1080">
        <v>32.770000000000003</v>
      </c>
      <c r="C1080">
        <v>33.07</v>
      </c>
      <c r="D1080">
        <v>32.5</v>
      </c>
      <c r="E1080">
        <v>33.03</v>
      </c>
      <c r="F1080">
        <v>40905938</v>
      </c>
      <c r="H1080">
        <f t="shared" si="16"/>
        <v>1.034701866657921E-2</v>
      </c>
    </row>
    <row r="1081" spans="1:8" x14ac:dyDescent="0.25">
      <c r="A1081" t="s">
        <v>755</v>
      </c>
      <c r="B1081">
        <v>32.72</v>
      </c>
      <c r="C1081">
        <v>32.78</v>
      </c>
      <c r="D1081">
        <v>32.590000000000003</v>
      </c>
      <c r="E1081">
        <v>32.69</v>
      </c>
      <c r="F1081">
        <v>32867691</v>
      </c>
      <c r="H1081">
        <f t="shared" si="16"/>
        <v>-1.5283512068697813E-3</v>
      </c>
    </row>
    <row r="1082" spans="1:8" x14ac:dyDescent="0.25">
      <c r="A1082" t="s">
        <v>756</v>
      </c>
      <c r="B1082">
        <v>32.57</v>
      </c>
      <c r="C1082">
        <v>32.93</v>
      </c>
      <c r="D1082">
        <v>32.53</v>
      </c>
      <c r="E1082">
        <v>32.74</v>
      </c>
      <c r="F1082">
        <v>39041151</v>
      </c>
      <c r="H1082">
        <f t="shared" si="16"/>
        <v>1.0747838759750977E-2</v>
      </c>
    </row>
    <row r="1083" spans="1:8" x14ac:dyDescent="0.25">
      <c r="A1083" t="s">
        <v>757</v>
      </c>
      <c r="B1083">
        <v>31.9</v>
      </c>
      <c r="C1083">
        <v>32.4</v>
      </c>
      <c r="D1083">
        <v>31.79</v>
      </c>
      <c r="E1083">
        <v>32.39</v>
      </c>
      <c r="F1083">
        <v>56887967</v>
      </c>
      <c r="H1083">
        <f t="shared" si="16"/>
        <v>2.2795678730371846E-2</v>
      </c>
    </row>
    <row r="1084" spans="1:8" x14ac:dyDescent="0.25">
      <c r="A1084" t="s">
        <v>758</v>
      </c>
      <c r="B1084">
        <v>31.22</v>
      </c>
      <c r="C1084">
        <v>31.79</v>
      </c>
      <c r="D1084">
        <v>31.2</v>
      </c>
      <c r="E1084">
        <v>31.66</v>
      </c>
      <c r="F1084">
        <v>49628450</v>
      </c>
      <c r="H1084">
        <f t="shared" si="16"/>
        <v>1.623980921940393E-2</v>
      </c>
    </row>
    <row r="1085" spans="1:8" x14ac:dyDescent="0.25">
      <c r="A1085" t="s">
        <v>759</v>
      </c>
      <c r="B1085">
        <v>31.31</v>
      </c>
      <c r="C1085">
        <v>31.39</v>
      </c>
      <c r="D1085">
        <v>31.13</v>
      </c>
      <c r="E1085">
        <v>31.15</v>
      </c>
      <c r="F1085">
        <v>75439554</v>
      </c>
      <c r="H1085">
        <f t="shared" si="16"/>
        <v>-2.8850797380231027E-3</v>
      </c>
    </row>
    <row r="1086" spans="1:8" x14ac:dyDescent="0.25">
      <c r="A1086" t="s">
        <v>760</v>
      </c>
      <c r="B1086">
        <v>31.1</v>
      </c>
      <c r="C1086">
        <v>31.44</v>
      </c>
      <c r="D1086">
        <v>30.95</v>
      </c>
      <c r="E1086">
        <v>31.24</v>
      </c>
      <c r="F1086">
        <v>71644891</v>
      </c>
      <c r="H1086">
        <f t="shared" si="16"/>
        <v>1.2812301560485399E-3</v>
      </c>
    </row>
    <row r="1087" spans="1:8" x14ac:dyDescent="0.25">
      <c r="A1087" t="s">
        <v>761</v>
      </c>
      <c r="B1087">
        <v>31.39</v>
      </c>
      <c r="C1087">
        <v>31.47</v>
      </c>
      <c r="D1087">
        <v>31.11</v>
      </c>
      <c r="E1087">
        <v>31.2</v>
      </c>
      <c r="F1087">
        <v>142320588</v>
      </c>
      <c r="H1087">
        <f t="shared" si="16"/>
        <v>-2.1560759106577624E-2</v>
      </c>
    </row>
    <row r="1088" spans="1:8" x14ac:dyDescent="0.25">
      <c r="A1088" t="s">
        <v>762</v>
      </c>
      <c r="B1088">
        <v>31.75</v>
      </c>
      <c r="C1088">
        <v>32.07</v>
      </c>
      <c r="D1088">
        <v>31.29</v>
      </c>
      <c r="E1088">
        <v>31.88</v>
      </c>
      <c r="F1088">
        <v>154506984</v>
      </c>
      <c r="H1088">
        <f t="shared" si="16"/>
        <v>-4.657704606064042E-2</v>
      </c>
    </row>
    <row r="1089" spans="1:8" x14ac:dyDescent="0.25">
      <c r="A1089" t="s">
        <v>763</v>
      </c>
      <c r="B1089">
        <v>33.369999999999997</v>
      </c>
      <c r="C1089">
        <v>33.479999999999997</v>
      </c>
      <c r="D1089">
        <v>33.090000000000003</v>
      </c>
      <c r="E1089">
        <v>33.4</v>
      </c>
      <c r="F1089">
        <v>42784642</v>
      </c>
      <c r="H1089">
        <f t="shared" si="16"/>
        <v>-4.4809634350359805E-3</v>
      </c>
    </row>
    <row r="1090" spans="1:8" x14ac:dyDescent="0.25">
      <c r="A1090" t="s">
        <v>764</v>
      </c>
      <c r="B1090">
        <v>32.93</v>
      </c>
      <c r="C1090">
        <v>33.6</v>
      </c>
      <c r="D1090">
        <v>32.799999999999997</v>
      </c>
      <c r="E1090">
        <v>33.549999999999997</v>
      </c>
      <c r="F1090">
        <v>45284632</v>
      </c>
      <c r="H1090">
        <f t="shared" si="16"/>
        <v>1.5923424925708772E-2</v>
      </c>
    </row>
    <row r="1091" spans="1:8" x14ac:dyDescent="0.25">
      <c r="A1091" t="s">
        <v>765</v>
      </c>
      <c r="B1091">
        <v>33.39</v>
      </c>
      <c r="C1091">
        <v>33.6</v>
      </c>
      <c r="D1091">
        <v>33</v>
      </c>
      <c r="E1091">
        <v>33.020000000000003</v>
      </c>
      <c r="F1091">
        <v>44262716</v>
      </c>
      <c r="H1091">
        <f t="shared" ref="H1091:H1154" si="17">IFERROR(LN(E1091/E1092),"")</f>
        <v>-7.2420352727994713E-3</v>
      </c>
    </row>
    <row r="1092" spans="1:8" x14ac:dyDescent="0.25">
      <c r="A1092" t="s">
        <v>766</v>
      </c>
      <c r="B1092">
        <v>33.520000000000003</v>
      </c>
      <c r="C1092">
        <v>34.1</v>
      </c>
      <c r="D1092">
        <v>33.15</v>
      </c>
      <c r="E1092">
        <v>33.26</v>
      </c>
      <c r="F1092">
        <v>58522264</v>
      </c>
      <c r="H1092">
        <f t="shared" si="17"/>
        <v>-2.6407112252017528E-2</v>
      </c>
    </row>
    <row r="1093" spans="1:8" x14ac:dyDescent="0.25">
      <c r="A1093" t="s">
        <v>767</v>
      </c>
      <c r="B1093">
        <v>34.4</v>
      </c>
      <c r="C1093">
        <v>34.67</v>
      </c>
      <c r="D1093">
        <v>34.03</v>
      </c>
      <c r="E1093">
        <v>34.15</v>
      </c>
      <c r="F1093">
        <v>72786745</v>
      </c>
      <c r="H1093">
        <f t="shared" si="17"/>
        <v>-1.7416985994002116E-2</v>
      </c>
    </row>
    <row r="1094" spans="1:8" x14ac:dyDescent="0.25">
      <c r="A1094" t="s">
        <v>768</v>
      </c>
      <c r="B1094">
        <v>35.17</v>
      </c>
      <c r="C1094">
        <v>35.200000000000003</v>
      </c>
      <c r="D1094">
        <v>34</v>
      </c>
      <c r="E1094">
        <v>34.75</v>
      </c>
      <c r="F1094">
        <v>225493737</v>
      </c>
      <c r="H1094">
        <f t="shared" si="17"/>
        <v>7.0329838827563093E-2</v>
      </c>
    </row>
    <row r="1095" spans="1:8" x14ac:dyDescent="0.25">
      <c r="A1095" t="s">
        <v>769</v>
      </c>
      <c r="B1095">
        <v>32.18</v>
      </c>
      <c r="C1095">
        <v>32.49</v>
      </c>
      <c r="D1095">
        <v>32.1</v>
      </c>
      <c r="E1095">
        <v>32.39</v>
      </c>
      <c r="F1095">
        <v>31169898</v>
      </c>
      <c r="H1095">
        <f t="shared" si="17"/>
        <v>2.4376206955711709E-2</v>
      </c>
    </row>
    <row r="1096" spans="1:8" x14ac:dyDescent="0.25">
      <c r="A1096" t="s">
        <v>770</v>
      </c>
      <c r="B1096">
        <v>31.61</v>
      </c>
      <c r="C1096">
        <v>32.01</v>
      </c>
      <c r="D1096">
        <v>31.54</v>
      </c>
      <c r="E1096">
        <v>31.61</v>
      </c>
      <c r="F1096">
        <v>37409095</v>
      </c>
      <c r="H1096">
        <f t="shared" si="17"/>
        <v>-3.1630555379964488E-4</v>
      </c>
    </row>
    <row r="1097" spans="1:8" x14ac:dyDescent="0.25">
      <c r="A1097" t="s">
        <v>771</v>
      </c>
      <c r="B1097">
        <v>31.44</v>
      </c>
      <c r="C1097">
        <v>31.9</v>
      </c>
      <c r="D1097">
        <v>31.37</v>
      </c>
      <c r="E1097">
        <v>31.62</v>
      </c>
      <c r="F1097">
        <v>22979513</v>
      </c>
      <c r="H1097">
        <f t="shared" si="17"/>
        <v>7.3004609274636909E-3</v>
      </c>
    </row>
    <row r="1098" spans="1:8" x14ac:dyDescent="0.25">
      <c r="A1098" t="s">
        <v>772</v>
      </c>
      <c r="B1098">
        <v>31.76</v>
      </c>
      <c r="C1098">
        <v>31.97</v>
      </c>
      <c r="D1098">
        <v>31.38</v>
      </c>
      <c r="E1098">
        <v>31.39</v>
      </c>
      <c r="F1098">
        <v>27908716</v>
      </c>
      <c r="H1098">
        <f t="shared" si="17"/>
        <v>-1.2976918932269019E-2</v>
      </c>
    </row>
    <row r="1099" spans="1:8" x14ac:dyDescent="0.25">
      <c r="A1099" t="s">
        <v>773</v>
      </c>
      <c r="B1099">
        <v>31.79</v>
      </c>
      <c r="C1099">
        <v>31.99</v>
      </c>
      <c r="D1099">
        <v>31.66</v>
      </c>
      <c r="E1099">
        <v>31.8</v>
      </c>
      <c r="F1099">
        <v>32866242</v>
      </c>
      <c r="H1099">
        <f t="shared" si="17"/>
        <v>3.1451486341992015E-4</v>
      </c>
    </row>
    <row r="1100" spans="1:8" x14ac:dyDescent="0.25">
      <c r="A1100" t="s">
        <v>774</v>
      </c>
      <c r="B1100">
        <v>32</v>
      </c>
      <c r="C1100">
        <v>32.18</v>
      </c>
      <c r="D1100">
        <v>30.84</v>
      </c>
      <c r="E1100">
        <v>31.79</v>
      </c>
      <c r="F1100">
        <v>33340728</v>
      </c>
      <c r="H1100">
        <f t="shared" si="17"/>
        <v>-1.7462246024198359E-2</v>
      </c>
    </row>
    <row r="1101" spans="1:8" x14ac:dyDescent="0.25">
      <c r="A1101" t="s">
        <v>775</v>
      </c>
      <c r="B1101">
        <v>32.14</v>
      </c>
      <c r="C1101">
        <v>33.36</v>
      </c>
      <c r="D1101">
        <v>31.7</v>
      </c>
      <c r="E1101">
        <v>32.35</v>
      </c>
      <c r="F1101">
        <v>48528230</v>
      </c>
      <c r="H1101">
        <f t="shared" si="17"/>
        <v>3.7163251195632247E-3</v>
      </c>
    </row>
    <row r="1102" spans="1:8" x14ac:dyDescent="0.25">
      <c r="A1102" t="s">
        <v>776</v>
      </c>
      <c r="B1102">
        <v>32.51</v>
      </c>
      <c r="C1102">
        <v>32.549999999999997</v>
      </c>
      <c r="D1102">
        <v>32.21</v>
      </c>
      <c r="E1102">
        <v>32.229999999999997</v>
      </c>
      <c r="F1102">
        <v>39473018</v>
      </c>
      <c r="H1102">
        <f t="shared" si="17"/>
        <v>-1.9662691848781631E-2</v>
      </c>
    </row>
    <row r="1103" spans="1:8" x14ac:dyDescent="0.25">
      <c r="A1103" t="s">
        <v>777</v>
      </c>
      <c r="B1103">
        <v>32.46</v>
      </c>
      <c r="C1103">
        <v>32.97</v>
      </c>
      <c r="D1103">
        <v>32.46</v>
      </c>
      <c r="E1103">
        <v>32.869999999999997</v>
      </c>
      <c r="F1103">
        <v>25501910</v>
      </c>
      <c r="H1103">
        <f t="shared" si="17"/>
        <v>5.1853097729201748E-3</v>
      </c>
    </row>
    <row r="1104" spans="1:8" x14ac:dyDescent="0.25">
      <c r="A1104" t="s">
        <v>778</v>
      </c>
      <c r="B1104">
        <v>32.770000000000003</v>
      </c>
      <c r="C1104">
        <v>32.9</v>
      </c>
      <c r="D1104">
        <v>32.47</v>
      </c>
      <c r="E1104">
        <v>32.700000000000003</v>
      </c>
      <c r="F1104">
        <v>26803879</v>
      </c>
      <c r="H1104">
        <f t="shared" si="17"/>
        <v>-5.79358229775781E-3</v>
      </c>
    </row>
    <row r="1105" spans="1:8" x14ac:dyDescent="0.25">
      <c r="A1105" t="s">
        <v>779</v>
      </c>
      <c r="B1105">
        <v>32.24</v>
      </c>
      <c r="C1105">
        <v>33.07</v>
      </c>
      <c r="D1105">
        <v>32.049999999999997</v>
      </c>
      <c r="E1105">
        <v>32.89</v>
      </c>
      <c r="F1105">
        <v>59038538</v>
      </c>
      <c r="H1105">
        <f t="shared" si="17"/>
        <v>2.555951301955859E-2</v>
      </c>
    </row>
    <row r="1106" spans="1:8" x14ac:dyDescent="0.25">
      <c r="A1106" t="s">
        <v>780</v>
      </c>
      <c r="B1106">
        <v>31.54</v>
      </c>
      <c r="C1106">
        <v>32.1</v>
      </c>
      <c r="D1106">
        <v>31.25</v>
      </c>
      <c r="E1106">
        <v>32.06</v>
      </c>
      <c r="F1106">
        <v>38078570</v>
      </c>
      <c r="H1106">
        <f t="shared" si="17"/>
        <v>1.5085138353910951E-2</v>
      </c>
    </row>
    <row r="1107" spans="1:8" x14ac:dyDescent="0.25">
      <c r="A1107" t="s">
        <v>781</v>
      </c>
      <c r="B1107">
        <v>31.55</v>
      </c>
      <c r="C1107">
        <v>31.67</v>
      </c>
      <c r="D1107">
        <v>31.38</v>
      </c>
      <c r="E1107">
        <v>31.58</v>
      </c>
      <c r="F1107">
        <v>36334889</v>
      </c>
      <c r="H1107">
        <f t="shared" si="17"/>
        <v>-3.7926720557389191E-3</v>
      </c>
    </row>
    <row r="1108" spans="1:8" x14ac:dyDescent="0.25">
      <c r="A1108" t="s">
        <v>782</v>
      </c>
      <c r="B1108">
        <v>31.9</v>
      </c>
      <c r="C1108">
        <v>32</v>
      </c>
      <c r="D1108">
        <v>31.64</v>
      </c>
      <c r="E1108">
        <v>31.7</v>
      </c>
      <c r="F1108">
        <v>30986512</v>
      </c>
      <c r="H1108">
        <f t="shared" si="17"/>
        <v>-5.9758001387313795E-3</v>
      </c>
    </row>
    <row r="1109" spans="1:8" x14ac:dyDescent="0.25">
      <c r="A1109" t="s">
        <v>783</v>
      </c>
      <c r="B1109">
        <v>31.69</v>
      </c>
      <c r="C1109">
        <v>31.9</v>
      </c>
      <c r="D1109">
        <v>31.56</v>
      </c>
      <c r="E1109">
        <v>31.89</v>
      </c>
      <c r="F1109">
        <v>29199813</v>
      </c>
      <c r="H1109">
        <f t="shared" si="17"/>
        <v>6.9226204714178822E-3</v>
      </c>
    </row>
    <row r="1110" spans="1:8" x14ac:dyDescent="0.25">
      <c r="A1110" t="s">
        <v>784</v>
      </c>
      <c r="B1110">
        <v>32.06</v>
      </c>
      <c r="C1110">
        <v>32.090000000000003</v>
      </c>
      <c r="D1110">
        <v>31.6</v>
      </c>
      <c r="E1110">
        <v>31.67</v>
      </c>
      <c r="F1110">
        <v>42557872</v>
      </c>
      <c r="H1110">
        <f t="shared" si="17"/>
        <v>-5.3535004256337415E-3</v>
      </c>
    </row>
    <row r="1111" spans="1:8" x14ac:dyDescent="0.25">
      <c r="A1111" t="s">
        <v>785</v>
      </c>
      <c r="B1111">
        <v>31.97</v>
      </c>
      <c r="C1111">
        <v>32.049999999999997</v>
      </c>
      <c r="D1111">
        <v>31.71</v>
      </c>
      <c r="E1111">
        <v>31.84</v>
      </c>
      <c r="F1111">
        <v>43900515</v>
      </c>
      <c r="H1111">
        <f t="shared" si="17"/>
        <v>-3.1402104199013429E-4</v>
      </c>
    </row>
    <row r="1112" spans="1:8" x14ac:dyDescent="0.25">
      <c r="A1112" t="s">
        <v>786</v>
      </c>
      <c r="B1112">
        <v>31.78</v>
      </c>
      <c r="C1112">
        <v>32.119999999999997</v>
      </c>
      <c r="D1112">
        <v>31.55</v>
      </c>
      <c r="E1112">
        <v>31.85</v>
      </c>
      <c r="F1112">
        <v>45801156</v>
      </c>
      <c r="H1112">
        <f t="shared" si="17"/>
        <v>9.780800483280172E-3</v>
      </c>
    </row>
    <row r="1113" spans="1:8" x14ac:dyDescent="0.25">
      <c r="A1113" t="s">
        <v>787</v>
      </c>
      <c r="B1113">
        <v>31.47</v>
      </c>
      <c r="C1113">
        <v>31.6</v>
      </c>
      <c r="D1113">
        <v>31.4</v>
      </c>
      <c r="E1113">
        <v>31.54</v>
      </c>
      <c r="F1113">
        <v>28874879</v>
      </c>
      <c r="H1113">
        <f t="shared" si="17"/>
        <v>-2.5332502464336646E-3</v>
      </c>
    </row>
    <row r="1114" spans="1:8" x14ac:dyDescent="0.25">
      <c r="A1114" t="s">
        <v>788</v>
      </c>
      <c r="B1114">
        <v>31.26</v>
      </c>
      <c r="C1114">
        <v>31.62</v>
      </c>
      <c r="D1114">
        <v>31.2</v>
      </c>
      <c r="E1114">
        <v>31.62</v>
      </c>
      <c r="F1114">
        <v>38637339</v>
      </c>
      <c r="H1114">
        <f t="shared" si="17"/>
        <v>7.3004609274636909E-3</v>
      </c>
    </row>
    <row r="1115" spans="1:8" x14ac:dyDescent="0.25">
      <c r="A1115" t="s">
        <v>789</v>
      </c>
      <c r="B1115">
        <v>31.62</v>
      </c>
      <c r="C1115">
        <v>31.65</v>
      </c>
      <c r="D1115">
        <v>31.25</v>
      </c>
      <c r="E1115">
        <v>31.39</v>
      </c>
      <c r="F1115">
        <v>63221356</v>
      </c>
      <c r="H1115">
        <f t="shared" si="17"/>
        <v>-1.7995750044211688E-2</v>
      </c>
    </row>
    <row r="1116" spans="1:8" x14ac:dyDescent="0.25">
      <c r="A1116" t="s">
        <v>790</v>
      </c>
      <c r="B1116">
        <v>32.04</v>
      </c>
      <c r="C1116">
        <v>32.19</v>
      </c>
      <c r="D1116">
        <v>31.89</v>
      </c>
      <c r="E1116">
        <v>31.96</v>
      </c>
      <c r="F1116">
        <v>52812049</v>
      </c>
      <c r="H1116">
        <f t="shared" si="17"/>
        <v>4.3900979884331824E-3</v>
      </c>
    </row>
    <row r="1117" spans="1:8" x14ac:dyDescent="0.25">
      <c r="A1117" t="s">
        <v>791</v>
      </c>
      <c r="B1117">
        <v>31.91</v>
      </c>
      <c r="C1117">
        <v>32.04</v>
      </c>
      <c r="D1117">
        <v>31.71</v>
      </c>
      <c r="E1117">
        <v>31.82</v>
      </c>
      <c r="F1117">
        <v>65819208</v>
      </c>
      <c r="H1117">
        <f t="shared" si="17"/>
        <v>-5.9533310721307572E-3</v>
      </c>
    </row>
    <row r="1118" spans="1:8" x14ac:dyDescent="0.25">
      <c r="A1118" t="s">
        <v>792</v>
      </c>
      <c r="B1118">
        <v>31.7</v>
      </c>
      <c r="C1118">
        <v>32.01</v>
      </c>
      <c r="D1118">
        <v>31.6</v>
      </c>
      <c r="E1118">
        <v>32.01</v>
      </c>
      <c r="F1118">
        <v>79040666</v>
      </c>
      <c r="H1118">
        <f t="shared" si="17"/>
        <v>1.9240461067564055E-2</v>
      </c>
    </row>
    <row r="1119" spans="1:8" x14ac:dyDescent="0.25">
      <c r="A1119" t="s">
        <v>793</v>
      </c>
      <c r="B1119">
        <v>32.4</v>
      </c>
      <c r="C1119">
        <v>32.67</v>
      </c>
      <c r="D1119">
        <v>31.02</v>
      </c>
      <c r="E1119">
        <v>31.4</v>
      </c>
      <c r="F1119">
        <v>248428494</v>
      </c>
      <c r="H1119">
        <f t="shared" si="17"/>
        <v>-0.12103323282267248</v>
      </c>
    </row>
    <row r="1120" spans="1:8" x14ac:dyDescent="0.25">
      <c r="A1120" t="s">
        <v>794</v>
      </c>
      <c r="B1120">
        <v>35.72</v>
      </c>
      <c r="C1120">
        <v>35.89</v>
      </c>
      <c r="D1120">
        <v>35.22</v>
      </c>
      <c r="E1120">
        <v>35.44</v>
      </c>
      <c r="F1120">
        <v>49547075</v>
      </c>
      <c r="H1120">
        <f t="shared" si="17"/>
        <v>-8.4293839944019587E-3</v>
      </c>
    </row>
    <row r="1121" spans="1:8" x14ac:dyDescent="0.25">
      <c r="A1121" t="s">
        <v>795</v>
      </c>
      <c r="B1121">
        <v>36.340000000000003</v>
      </c>
      <c r="C1121">
        <v>36.39</v>
      </c>
      <c r="D1121">
        <v>35.49</v>
      </c>
      <c r="E1121">
        <v>35.74</v>
      </c>
      <c r="F1121">
        <v>37289320</v>
      </c>
      <c r="H1121">
        <f t="shared" si="17"/>
        <v>-1.4720443563529043E-2</v>
      </c>
    </row>
    <row r="1122" spans="1:8" x14ac:dyDescent="0.25">
      <c r="A1122" t="s">
        <v>796</v>
      </c>
      <c r="B1122">
        <v>36.01</v>
      </c>
      <c r="C1122">
        <v>36.43</v>
      </c>
      <c r="D1122">
        <v>35.96</v>
      </c>
      <c r="E1122">
        <v>36.270000000000003</v>
      </c>
      <c r="F1122">
        <v>36378681</v>
      </c>
      <c r="H1122">
        <f t="shared" si="17"/>
        <v>2.7609073308043695E-3</v>
      </c>
    </row>
    <row r="1123" spans="1:8" x14ac:dyDescent="0.25">
      <c r="A1123" t="s">
        <v>797</v>
      </c>
      <c r="B1123">
        <v>35.659999999999997</v>
      </c>
      <c r="C1123">
        <v>36.22</v>
      </c>
      <c r="D1123">
        <v>35.58</v>
      </c>
      <c r="E1123">
        <v>36.17</v>
      </c>
      <c r="F1123">
        <v>34145645</v>
      </c>
      <c r="H1123">
        <f t="shared" si="17"/>
        <v>1.3920046593206477E-2</v>
      </c>
    </row>
    <row r="1124" spans="1:8" x14ac:dyDescent="0.25">
      <c r="A1124" t="s">
        <v>798</v>
      </c>
      <c r="B1124">
        <v>35.58</v>
      </c>
      <c r="C1124">
        <v>35.729999999999997</v>
      </c>
      <c r="D1124">
        <v>35.28</v>
      </c>
      <c r="E1124">
        <v>35.67</v>
      </c>
      <c r="F1124">
        <v>35502638</v>
      </c>
      <c r="H1124">
        <f t="shared" si="17"/>
        <v>-2.8030834100843303E-4</v>
      </c>
    </row>
    <row r="1125" spans="1:8" x14ac:dyDescent="0.25">
      <c r="A1125" t="s">
        <v>799</v>
      </c>
      <c r="B1125">
        <v>35</v>
      </c>
      <c r="C1125">
        <v>35.770000000000003</v>
      </c>
      <c r="D1125">
        <v>34.9</v>
      </c>
      <c r="E1125">
        <v>35.68</v>
      </c>
      <c r="F1125">
        <v>53638234</v>
      </c>
      <c r="H1125">
        <f t="shared" si="17"/>
        <v>2.7850620758994953E-2</v>
      </c>
    </row>
    <row r="1126" spans="1:8" x14ac:dyDescent="0.25">
      <c r="A1126" t="s">
        <v>800</v>
      </c>
      <c r="B1126">
        <v>34.340000000000003</v>
      </c>
      <c r="C1126">
        <v>34.81</v>
      </c>
      <c r="D1126">
        <v>34.32</v>
      </c>
      <c r="E1126">
        <v>34.700000000000003</v>
      </c>
      <c r="F1126">
        <v>29658734</v>
      </c>
      <c r="H1126">
        <f t="shared" si="17"/>
        <v>1.0137668284455222E-2</v>
      </c>
    </row>
    <row r="1127" spans="1:8" x14ac:dyDescent="0.25">
      <c r="A1127" t="s">
        <v>801</v>
      </c>
      <c r="B1127">
        <v>34.58</v>
      </c>
      <c r="C1127">
        <v>34.6</v>
      </c>
      <c r="D1127">
        <v>34.14</v>
      </c>
      <c r="E1127">
        <v>34.35</v>
      </c>
      <c r="F1127">
        <v>25320908</v>
      </c>
      <c r="H1127">
        <f t="shared" si="17"/>
        <v>8.7374404859677122E-4</v>
      </c>
    </row>
    <row r="1128" spans="1:8" x14ac:dyDescent="0.25">
      <c r="A1128" t="s">
        <v>802</v>
      </c>
      <c r="B1128">
        <v>34.35</v>
      </c>
      <c r="C1128">
        <v>34.590000000000003</v>
      </c>
      <c r="D1128">
        <v>33.979999999999997</v>
      </c>
      <c r="E1128">
        <v>34.32</v>
      </c>
      <c r="F1128">
        <v>32398742</v>
      </c>
      <c r="H1128">
        <f t="shared" si="17"/>
        <v>3.2102756302481894E-3</v>
      </c>
    </row>
    <row r="1129" spans="1:8" x14ac:dyDescent="0.25">
      <c r="A1129" t="s">
        <v>803</v>
      </c>
      <c r="B1129">
        <v>34.090000000000003</v>
      </c>
      <c r="C1129">
        <v>34.24</v>
      </c>
      <c r="D1129">
        <v>33.58</v>
      </c>
      <c r="E1129">
        <v>34.21</v>
      </c>
      <c r="F1129">
        <v>26085981</v>
      </c>
      <c r="H1129">
        <f t="shared" si="17"/>
        <v>5.8633999704094022E-3</v>
      </c>
    </row>
    <row r="1130" spans="1:8" x14ac:dyDescent="0.25">
      <c r="A1130" t="s">
        <v>804</v>
      </c>
      <c r="B1130">
        <v>33.659999999999997</v>
      </c>
      <c r="C1130">
        <v>34.369999999999997</v>
      </c>
      <c r="D1130">
        <v>33.6</v>
      </c>
      <c r="E1130">
        <v>34.01</v>
      </c>
      <c r="F1130">
        <v>15994380</v>
      </c>
      <c r="H1130">
        <f t="shared" si="17"/>
        <v>2.0603392130238668E-3</v>
      </c>
    </row>
    <row r="1131" spans="1:8" x14ac:dyDescent="0.25">
      <c r="A1131" t="s">
        <v>805</v>
      </c>
      <c r="B1131">
        <v>34.409999999999997</v>
      </c>
      <c r="C1131">
        <v>34.44</v>
      </c>
      <c r="D1131">
        <v>33.630000000000003</v>
      </c>
      <c r="E1131">
        <v>33.94</v>
      </c>
      <c r="F1131">
        <v>37634572</v>
      </c>
      <c r="H1131">
        <f t="shared" si="17"/>
        <v>-1.2298837309974407E-2</v>
      </c>
    </row>
    <row r="1132" spans="1:8" x14ac:dyDescent="0.25">
      <c r="A1132" t="s">
        <v>806</v>
      </c>
      <c r="B1132">
        <v>34.75</v>
      </c>
      <c r="C1132">
        <v>34.99</v>
      </c>
      <c r="D1132">
        <v>34.33</v>
      </c>
      <c r="E1132">
        <v>34.36</v>
      </c>
      <c r="F1132">
        <v>31064000</v>
      </c>
      <c r="H1132">
        <f t="shared" si="17"/>
        <v>-5.2249756024779605E-3</v>
      </c>
    </row>
    <row r="1133" spans="1:8" x14ac:dyDescent="0.25">
      <c r="A1133" t="s">
        <v>807</v>
      </c>
      <c r="B1133">
        <v>34.380000000000003</v>
      </c>
      <c r="C1133">
        <v>34.79</v>
      </c>
      <c r="D1133">
        <v>34.340000000000003</v>
      </c>
      <c r="E1133">
        <v>34.54</v>
      </c>
      <c r="F1133">
        <v>65548196</v>
      </c>
      <c r="H1133">
        <f t="shared" si="17"/>
        <v>-2.313477029530595E-3</v>
      </c>
    </row>
    <row r="1134" spans="1:8" x14ac:dyDescent="0.25">
      <c r="A1134" t="s">
        <v>808</v>
      </c>
      <c r="B1134">
        <v>34.520000000000003</v>
      </c>
      <c r="C1134">
        <v>34.78</v>
      </c>
      <c r="D1134">
        <v>34.5</v>
      </c>
      <c r="E1134">
        <v>34.619999999999997</v>
      </c>
      <c r="F1134">
        <v>28993542</v>
      </c>
      <c r="H1134">
        <f t="shared" si="17"/>
        <v>7.8295310797048007E-3</v>
      </c>
    </row>
    <row r="1135" spans="1:8" x14ac:dyDescent="0.25">
      <c r="A1135" t="s">
        <v>809</v>
      </c>
      <c r="B1135">
        <v>34.119999999999997</v>
      </c>
      <c r="C1135">
        <v>34.479999999999997</v>
      </c>
      <c r="D1135">
        <v>33.89</v>
      </c>
      <c r="E1135">
        <v>34.35</v>
      </c>
      <c r="F1135">
        <v>48667834</v>
      </c>
      <c r="H1135">
        <f t="shared" si="17"/>
        <v>1.9994785495375322E-2</v>
      </c>
    </row>
    <row r="1136" spans="1:8" x14ac:dyDescent="0.25">
      <c r="A1136" t="s">
        <v>810</v>
      </c>
      <c r="B1136">
        <v>34.08</v>
      </c>
      <c r="C1136">
        <v>34.380000000000003</v>
      </c>
      <c r="D1136">
        <v>33.46</v>
      </c>
      <c r="E1136">
        <v>33.67</v>
      </c>
      <c r="F1136">
        <v>44073348</v>
      </c>
      <c r="H1136">
        <f t="shared" si="17"/>
        <v>-1.4838999606715572E-3</v>
      </c>
    </row>
    <row r="1137" spans="1:8" x14ac:dyDescent="0.25">
      <c r="A1137" t="s">
        <v>811</v>
      </c>
      <c r="B1137">
        <v>32.94</v>
      </c>
      <c r="C1137">
        <v>34.200000000000003</v>
      </c>
      <c r="D1137">
        <v>32.57</v>
      </c>
      <c r="E1137">
        <v>33.72</v>
      </c>
      <c r="F1137">
        <v>56113708</v>
      </c>
      <c r="H1137">
        <f t="shared" si="17"/>
        <v>1.3735659368873098E-2</v>
      </c>
    </row>
    <row r="1138" spans="1:8" x14ac:dyDescent="0.25">
      <c r="A1138" t="s">
        <v>812</v>
      </c>
      <c r="B1138">
        <v>33.659999999999997</v>
      </c>
      <c r="C1138">
        <v>33.729999999999997</v>
      </c>
      <c r="D1138">
        <v>33.049999999999997</v>
      </c>
      <c r="E1138">
        <v>33.26</v>
      </c>
      <c r="F1138">
        <v>85338395</v>
      </c>
      <c r="H1138">
        <f t="shared" si="17"/>
        <v>-6.8914130413317478E-3</v>
      </c>
    </row>
    <row r="1139" spans="1:8" x14ac:dyDescent="0.25">
      <c r="A1139" t="s">
        <v>813</v>
      </c>
      <c r="B1139">
        <v>34.26</v>
      </c>
      <c r="C1139">
        <v>34.33</v>
      </c>
      <c r="D1139">
        <v>33.369999999999997</v>
      </c>
      <c r="E1139">
        <v>33.49</v>
      </c>
      <c r="F1139">
        <v>54496758</v>
      </c>
      <c r="H1139">
        <f t="shared" si="17"/>
        <v>-3.2317736142964154E-2</v>
      </c>
    </row>
    <row r="1140" spans="1:8" x14ac:dyDescent="0.25">
      <c r="A1140" t="s">
        <v>814</v>
      </c>
      <c r="B1140">
        <v>34.96</v>
      </c>
      <c r="C1140">
        <v>35.090000000000003</v>
      </c>
      <c r="D1140">
        <v>34.590000000000003</v>
      </c>
      <c r="E1140">
        <v>34.590000000000003</v>
      </c>
      <c r="F1140">
        <v>30820208</v>
      </c>
      <c r="H1140">
        <f t="shared" si="17"/>
        <v>-1.1211846641378465E-2</v>
      </c>
    </row>
    <row r="1141" spans="1:8" x14ac:dyDescent="0.25">
      <c r="A1141" t="s">
        <v>815</v>
      </c>
      <c r="B1141">
        <v>34.97</v>
      </c>
      <c r="C1141">
        <v>35.17</v>
      </c>
      <c r="D1141">
        <v>34.9</v>
      </c>
      <c r="E1141">
        <v>34.979999999999997</v>
      </c>
      <c r="F1141">
        <v>28622929</v>
      </c>
      <c r="H1141">
        <f t="shared" si="17"/>
        <v>-5.7159189895776444E-4</v>
      </c>
    </row>
    <row r="1142" spans="1:8" x14ac:dyDescent="0.25">
      <c r="A1142" t="s">
        <v>816</v>
      </c>
      <c r="B1142">
        <v>34.69</v>
      </c>
      <c r="C1142">
        <v>35.159999999999997</v>
      </c>
      <c r="D1142">
        <v>34.630000000000003</v>
      </c>
      <c r="E1142">
        <v>35</v>
      </c>
      <c r="F1142">
        <v>49672492</v>
      </c>
      <c r="H1142">
        <f t="shared" si="17"/>
        <v>1.7291497110061043E-2</v>
      </c>
    </row>
    <row r="1143" spans="1:8" x14ac:dyDescent="0.25">
      <c r="A1143" t="s">
        <v>817</v>
      </c>
      <c r="B1143">
        <v>34.549999999999997</v>
      </c>
      <c r="C1143">
        <v>34.69</v>
      </c>
      <c r="D1143">
        <v>34.25</v>
      </c>
      <c r="E1143">
        <v>34.4</v>
      </c>
      <c r="F1143">
        <v>53116371</v>
      </c>
      <c r="H1143">
        <f t="shared" si="17"/>
        <v>-9.2593254127967123E-3</v>
      </c>
    </row>
    <row r="1144" spans="1:8" x14ac:dyDescent="0.25">
      <c r="A1144" t="s">
        <v>818</v>
      </c>
      <c r="B1144">
        <v>34.99</v>
      </c>
      <c r="C1144">
        <v>35.020000000000003</v>
      </c>
      <c r="D1144">
        <v>34.590000000000003</v>
      </c>
      <c r="E1144">
        <v>34.72</v>
      </c>
      <c r="F1144">
        <v>45654803</v>
      </c>
      <c r="H1144">
        <f t="shared" si="17"/>
        <v>-8.0321716972642666E-3</v>
      </c>
    </row>
    <row r="1145" spans="1:8" x14ac:dyDescent="0.25">
      <c r="A1145" t="s">
        <v>819</v>
      </c>
      <c r="B1145">
        <v>35.14</v>
      </c>
      <c r="C1145">
        <v>35.270000000000003</v>
      </c>
      <c r="D1145">
        <v>34.85</v>
      </c>
      <c r="E1145">
        <v>35</v>
      </c>
      <c r="F1145">
        <v>37373032</v>
      </c>
      <c r="H1145">
        <f t="shared" si="17"/>
        <v>4.5819095051115441E-3</v>
      </c>
    </row>
    <row r="1146" spans="1:8" x14ac:dyDescent="0.25">
      <c r="A1146" t="s">
        <v>820</v>
      </c>
      <c r="B1146">
        <v>35.049999999999997</v>
      </c>
      <c r="C1146">
        <v>35.18</v>
      </c>
      <c r="D1146">
        <v>34.68</v>
      </c>
      <c r="E1146">
        <v>34.840000000000003</v>
      </c>
      <c r="F1146">
        <v>39350316</v>
      </c>
      <c r="H1146">
        <f t="shared" si="17"/>
        <v>-1.7921116801228293E-2</v>
      </c>
    </row>
    <row r="1147" spans="1:8" x14ac:dyDescent="0.25">
      <c r="A1147" t="s">
        <v>821</v>
      </c>
      <c r="B1147">
        <v>35.51</v>
      </c>
      <c r="C1147">
        <v>35.65</v>
      </c>
      <c r="D1147">
        <v>35.14</v>
      </c>
      <c r="E1147">
        <v>35.47</v>
      </c>
      <c r="F1147">
        <v>35995223</v>
      </c>
      <c r="H1147">
        <f t="shared" si="17"/>
        <v>-5.62273058526978E-3</v>
      </c>
    </row>
    <row r="1148" spans="1:8" x14ac:dyDescent="0.25">
      <c r="A1148" t="s">
        <v>822</v>
      </c>
      <c r="B1148">
        <v>35.25</v>
      </c>
      <c r="C1148">
        <v>35.78</v>
      </c>
      <c r="D1148">
        <v>35.06</v>
      </c>
      <c r="E1148">
        <v>35.67</v>
      </c>
      <c r="F1148">
        <v>40762249</v>
      </c>
      <c r="H1148">
        <f t="shared" si="17"/>
        <v>2.0105448583465364E-2</v>
      </c>
    </row>
    <row r="1149" spans="1:8" x14ac:dyDescent="0.25">
      <c r="A1149" t="s">
        <v>823</v>
      </c>
      <c r="B1149">
        <v>34.840000000000003</v>
      </c>
      <c r="C1149">
        <v>35.11</v>
      </c>
      <c r="D1149">
        <v>34.49</v>
      </c>
      <c r="E1149">
        <v>34.96</v>
      </c>
      <c r="F1149">
        <v>37627133</v>
      </c>
      <c r="H1149">
        <f t="shared" si="17"/>
        <v>5.1620418611976297E-3</v>
      </c>
    </row>
    <row r="1150" spans="1:8" x14ac:dyDescent="0.25">
      <c r="A1150" t="s">
        <v>824</v>
      </c>
      <c r="B1150">
        <v>34.6</v>
      </c>
      <c r="C1150">
        <v>34.89</v>
      </c>
      <c r="D1150">
        <v>34.43</v>
      </c>
      <c r="E1150">
        <v>34.78</v>
      </c>
      <c r="F1150">
        <v>46032657</v>
      </c>
      <c r="H1150">
        <f t="shared" si="17"/>
        <v>-6.0197974534597579E-3</v>
      </c>
    </row>
    <row r="1151" spans="1:8" x14ac:dyDescent="0.25">
      <c r="A1151" t="s">
        <v>825</v>
      </c>
      <c r="B1151">
        <v>35.619999999999997</v>
      </c>
      <c r="C1151">
        <v>35.74</v>
      </c>
      <c r="D1151">
        <v>34.770000000000003</v>
      </c>
      <c r="E1151">
        <v>34.99</v>
      </c>
      <c r="F1151">
        <v>65538438</v>
      </c>
      <c r="H1151">
        <f t="shared" si="17"/>
        <v>-1.7002393142504676E-2</v>
      </c>
    </row>
    <row r="1152" spans="1:8" x14ac:dyDescent="0.25">
      <c r="A1152" t="s">
        <v>826</v>
      </c>
      <c r="B1152">
        <v>34.92</v>
      </c>
      <c r="C1152">
        <v>35.630000000000003</v>
      </c>
      <c r="D1152">
        <v>34.83</v>
      </c>
      <c r="E1152">
        <v>35.590000000000003</v>
      </c>
      <c r="F1152">
        <v>51256272</v>
      </c>
      <c r="H1152">
        <f t="shared" si="17"/>
        <v>1.9577870313720071E-2</v>
      </c>
    </row>
    <row r="1153" spans="1:8" x14ac:dyDescent="0.25">
      <c r="A1153" t="s">
        <v>827</v>
      </c>
      <c r="B1153">
        <v>34.82</v>
      </c>
      <c r="C1153">
        <v>35.28</v>
      </c>
      <c r="D1153">
        <v>34.79</v>
      </c>
      <c r="E1153">
        <v>34.9</v>
      </c>
      <c r="F1153">
        <v>56167723</v>
      </c>
      <c r="H1153">
        <f t="shared" si="17"/>
        <v>-3.7180080010140665E-3</v>
      </c>
    </row>
    <row r="1154" spans="1:8" x14ac:dyDescent="0.25">
      <c r="A1154" t="s">
        <v>828</v>
      </c>
      <c r="B1154">
        <v>34.85</v>
      </c>
      <c r="C1154">
        <v>35.25</v>
      </c>
      <c r="D1154">
        <v>34.81</v>
      </c>
      <c r="E1154">
        <v>35.03</v>
      </c>
      <c r="F1154">
        <v>51133616</v>
      </c>
      <c r="H1154">
        <f t="shared" si="17"/>
        <v>4.2912381686166035E-3</v>
      </c>
    </row>
    <row r="1155" spans="1:8" x14ac:dyDescent="0.25">
      <c r="A1155" t="s">
        <v>829</v>
      </c>
      <c r="B1155">
        <v>34.74</v>
      </c>
      <c r="C1155">
        <v>35.020000000000003</v>
      </c>
      <c r="D1155">
        <v>34.57</v>
      </c>
      <c r="E1155">
        <v>34.880000000000003</v>
      </c>
      <c r="F1155">
        <v>38419848</v>
      </c>
      <c r="H1155">
        <f t="shared" ref="H1155:H1218" si="18">IFERROR(LN(E1155/E1156),"")</f>
        <v>-4.0057278169269633E-3</v>
      </c>
    </row>
    <row r="1156" spans="1:8" x14ac:dyDescent="0.25">
      <c r="A1156" t="s">
        <v>830</v>
      </c>
      <c r="B1156">
        <v>34.42</v>
      </c>
      <c r="C1156">
        <v>35.18</v>
      </c>
      <c r="D1156">
        <v>34.409999999999997</v>
      </c>
      <c r="E1156">
        <v>35.020000000000003</v>
      </c>
      <c r="F1156">
        <v>48218180</v>
      </c>
      <c r="H1156">
        <f t="shared" si="18"/>
        <v>2.1648990971188227E-2</v>
      </c>
    </row>
    <row r="1157" spans="1:8" x14ac:dyDescent="0.25">
      <c r="A1157" t="s">
        <v>831</v>
      </c>
      <c r="B1157">
        <v>33.92</v>
      </c>
      <c r="C1157">
        <v>34.28</v>
      </c>
      <c r="D1157">
        <v>33.9</v>
      </c>
      <c r="E1157">
        <v>34.270000000000003</v>
      </c>
      <c r="F1157">
        <v>33175804</v>
      </c>
      <c r="H1157">
        <f t="shared" si="18"/>
        <v>3.5077498697184159E-3</v>
      </c>
    </row>
    <row r="1158" spans="1:8" x14ac:dyDescent="0.25">
      <c r="A1158" t="s">
        <v>832</v>
      </c>
      <c r="B1158">
        <v>34.229999999999997</v>
      </c>
      <c r="C1158">
        <v>34.549999999999997</v>
      </c>
      <c r="D1158">
        <v>33.9</v>
      </c>
      <c r="E1158">
        <v>34.15</v>
      </c>
      <c r="F1158">
        <v>51113510</v>
      </c>
      <c r="H1158">
        <f t="shared" si="18"/>
        <v>-1.3380071630453863E-2</v>
      </c>
    </row>
    <row r="1159" spans="1:8" x14ac:dyDescent="0.25">
      <c r="A1159" t="s">
        <v>833</v>
      </c>
      <c r="B1159">
        <v>34.79</v>
      </c>
      <c r="C1159">
        <v>34.840000000000003</v>
      </c>
      <c r="D1159">
        <v>34.36</v>
      </c>
      <c r="E1159">
        <v>34.61</v>
      </c>
      <c r="F1159">
        <v>66050872</v>
      </c>
      <c r="H1159">
        <f t="shared" si="18"/>
        <v>-6.9104795592800717E-3</v>
      </c>
    </row>
    <row r="1160" spans="1:8" x14ac:dyDescent="0.25">
      <c r="A1160" t="s">
        <v>834</v>
      </c>
      <c r="B1160">
        <v>35.1</v>
      </c>
      <c r="C1160">
        <v>35.270000000000003</v>
      </c>
      <c r="D1160">
        <v>34.72</v>
      </c>
      <c r="E1160">
        <v>34.85</v>
      </c>
      <c r="F1160">
        <v>48705362</v>
      </c>
      <c r="H1160">
        <f t="shared" si="18"/>
        <v>-6.5780302974493632E-3</v>
      </c>
    </row>
    <row r="1161" spans="1:8" x14ac:dyDescent="0.25">
      <c r="A1161" t="s">
        <v>835</v>
      </c>
      <c r="B1161">
        <v>34.729999999999997</v>
      </c>
      <c r="C1161">
        <v>35.1</v>
      </c>
      <c r="D1161">
        <v>34.68</v>
      </c>
      <c r="E1161">
        <v>35.08</v>
      </c>
      <c r="F1161">
        <v>54025227</v>
      </c>
      <c r="H1161">
        <f t="shared" si="18"/>
        <v>6.0043068164224835E-3</v>
      </c>
    </row>
    <row r="1162" spans="1:8" x14ac:dyDescent="0.25">
      <c r="A1162" t="s">
        <v>836</v>
      </c>
      <c r="B1162">
        <v>34.130000000000003</v>
      </c>
      <c r="C1162">
        <v>34.869999999999997</v>
      </c>
      <c r="D1162">
        <v>34.1</v>
      </c>
      <c r="E1162">
        <v>34.869999999999997</v>
      </c>
      <c r="F1162">
        <v>60674267</v>
      </c>
      <c r="H1162">
        <f t="shared" si="18"/>
        <v>2.2916158726444875E-2</v>
      </c>
    </row>
    <row r="1163" spans="1:8" x14ac:dyDescent="0.25">
      <c r="A1163" t="s">
        <v>837</v>
      </c>
      <c r="B1163">
        <v>33.64</v>
      </c>
      <c r="C1163">
        <v>34.15</v>
      </c>
      <c r="D1163">
        <v>33.549999999999997</v>
      </c>
      <c r="E1163">
        <v>34.08</v>
      </c>
      <c r="F1163">
        <v>59384283</v>
      </c>
      <c r="H1163">
        <f t="shared" si="18"/>
        <v>7.0671672230923528E-3</v>
      </c>
    </row>
    <row r="1164" spans="1:8" x14ac:dyDescent="0.25">
      <c r="A1164" t="s">
        <v>838</v>
      </c>
      <c r="B1164">
        <v>33.450000000000003</v>
      </c>
      <c r="C1164">
        <v>33.9</v>
      </c>
      <c r="D1164">
        <v>33.43</v>
      </c>
      <c r="E1164">
        <v>33.840000000000003</v>
      </c>
      <c r="F1164">
        <v>46309506</v>
      </c>
      <c r="H1164">
        <f t="shared" si="18"/>
        <v>9.2029742598854734E-3</v>
      </c>
    </row>
    <row r="1165" spans="1:8" x14ac:dyDescent="0.25">
      <c r="A1165" t="s">
        <v>839</v>
      </c>
      <c r="B1165">
        <v>32.86</v>
      </c>
      <c r="C1165">
        <v>33.53</v>
      </c>
      <c r="D1165">
        <v>32.799999999999997</v>
      </c>
      <c r="E1165">
        <v>33.53</v>
      </c>
      <c r="F1165">
        <v>56874005</v>
      </c>
      <c r="H1165">
        <f t="shared" si="18"/>
        <v>1.5024321075438815E-2</v>
      </c>
    </row>
    <row r="1166" spans="1:8" x14ac:dyDescent="0.25">
      <c r="A1166" t="s">
        <v>840</v>
      </c>
      <c r="B1166">
        <v>32.61</v>
      </c>
      <c r="C1166">
        <v>33.07</v>
      </c>
      <c r="D1166">
        <v>32.549999999999997</v>
      </c>
      <c r="E1166">
        <v>33.03</v>
      </c>
      <c r="F1166">
        <v>36036347</v>
      </c>
      <c r="H1166">
        <f t="shared" si="18"/>
        <v>1.034701866657921E-2</v>
      </c>
    </row>
    <row r="1167" spans="1:8" x14ac:dyDescent="0.25">
      <c r="A1167" t="s">
        <v>841</v>
      </c>
      <c r="B1167">
        <v>32.67</v>
      </c>
      <c r="C1167">
        <v>32.72</v>
      </c>
      <c r="D1167">
        <v>32.32</v>
      </c>
      <c r="E1167">
        <v>32.69</v>
      </c>
      <c r="F1167">
        <v>36396524</v>
      </c>
      <c r="H1167">
        <f t="shared" si="18"/>
        <v>9.1813319380027098E-4</v>
      </c>
    </row>
    <row r="1168" spans="1:8" x14ac:dyDescent="0.25">
      <c r="A1168" t="s">
        <v>842</v>
      </c>
      <c r="B1168">
        <v>32.85</v>
      </c>
      <c r="C1168">
        <v>33</v>
      </c>
      <c r="D1168">
        <v>32.590000000000003</v>
      </c>
      <c r="E1168">
        <v>32.659999999999997</v>
      </c>
      <c r="F1168">
        <v>46417802</v>
      </c>
      <c r="H1168">
        <f t="shared" si="18"/>
        <v>-1.005339769817112E-2</v>
      </c>
    </row>
    <row r="1169" spans="1:8" x14ac:dyDescent="0.25">
      <c r="A1169" t="s">
        <v>843</v>
      </c>
      <c r="B1169">
        <v>33.07</v>
      </c>
      <c r="C1169">
        <v>33.24</v>
      </c>
      <c r="D1169">
        <v>32.65</v>
      </c>
      <c r="E1169">
        <v>32.99</v>
      </c>
      <c r="F1169">
        <v>51595643</v>
      </c>
      <c r="H1169">
        <f t="shared" si="18"/>
        <v>-9.6531669650981901E-3</v>
      </c>
    </row>
    <row r="1170" spans="1:8" x14ac:dyDescent="0.25">
      <c r="A1170" t="s">
        <v>844</v>
      </c>
      <c r="B1170">
        <v>33.65</v>
      </c>
      <c r="C1170">
        <v>33.79</v>
      </c>
      <c r="D1170">
        <v>33.24</v>
      </c>
      <c r="E1170">
        <v>33.31</v>
      </c>
      <c r="F1170">
        <v>43078268</v>
      </c>
      <c r="H1170">
        <f t="shared" si="18"/>
        <v>-1.3122765112950465E-2</v>
      </c>
    </row>
    <row r="1171" spans="1:8" x14ac:dyDescent="0.25">
      <c r="A1171" t="s">
        <v>845</v>
      </c>
      <c r="B1171">
        <v>33.42</v>
      </c>
      <c r="C1171">
        <v>33.909999999999997</v>
      </c>
      <c r="D1171">
        <v>33.25</v>
      </c>
      <c r="E1171">
        <v>33.75</v>
      </c>
      <c r="F1171">
        <v>40982478</v>
      </c>
      <c r="H1171">
        <f t="shared" si="18"/>
        <v>7.7335305124255436E-3</v>
      </c>
    </row>
    <row r="1172" spans="1:8" x14ac:dyDescent="0.25">
      <c r="A1172" t="s">
        <v>846</v>
      </c>
      <c r="B1172">
        <v>33.229999999999997</v>
      </c>
      <c r="C1172">
        <v>33.520000000000003</v>
      </c>
      <c r="D1172">
        <v>33.08</v>
      </c>
      <c r="E1172">
        <v>33.49</v>
      </c>
      <c r="F1172">
        <v>46786840</v>
      </c>
      <c r="H1172">
        <f t="shared" si="18"/>
        <v>9.9025565390190706E-3</v>
      </c>
    </row>
    <row r="1173" spans="1:8" x14ac:dyDescent="0.25">
      <c r="A1173" t="s">
        <v>847</v>
      </c>
      <c r="B1173">
        <v>32.630000000000003</v>
      </c>
      <c r="C1173">
        <v>33.17</v>
      </c>
      <c r="D1173">
        <v>32.39</v>
      </c>
      <c r="E1173">
        <v>33.159999999999997</v>
      </c>
      <c r="F1173">
        <v>46069472</v>
      </c>
      <c r="H1173">
        <f t="shared" si="18"/>
        <v>1.3357818532547952E-2</v>
      </c>
    </row>
    <row r="1174" spans="1:8" x14ac:dyDescent="0.25">
      <c r="A1174" t="s">
        <v>848</v>
      </c>
      <c r="B1174">
        <v>32.93</v>
      </c>
      <c r="C1174">
        <v>33.08</v>
      </c>
      <c r="D1174">
        <v>32.6</v>
      </c>
      <c r="E1174">
        <v>32.72</v>
      </c>
      <c r="F1174">
        <v>54336834</v>
      </c>
      <c r="H1174">
        <f t="shared" si="18"/>
        <v>-1.1546770648470971E-2</v>
      </c>
    </row>
    <row r="1175" spans="1:8" x14ac:dyDescent="0.25">
      <c r="A1175" s="22">
        <v>41394</v>
      </c>
      <c r="B1175">
        <v>32.56</v>
      </c>
      <c r="C1175">
        <v>33.11</v>
      </c>
      <c r="D1175">
        <v>32.28</v>
      </c>
      <c r="E1175">
        <v>33.1</v>
      </c>
      <c r="F1175">
        <v>75166967</v>
      </c>
      <c r="H1175">
        <f t="shared" si="18"/>
        <v>1.4914292581789486E-2</v>
      </c>
    </row>
    <row r="1176" spans="1:8" x14ac:dyDescent="0.25">
      <c r="A1176" s="22">
        <v>41393</v>
      </c>
      <c r="B1176">
        <v>31.8</v>
      </c>
      <c r="C1176">
        <v>32.68</v>
      </c>
      <c r="D1176">
        <v>31.77</v>
      </c>
      <c r="E1176">
        <v>32.61</v>
      </c>
      <c r="F1176">
        <v>59122266</v>
      </c>
      <c r="H1176">
        <f t="shared" si="18"/>
        <v>2.5467214878516442E-2</v>
      </c>
    </row>
    <row r="1177" spans="1:8" x14ac:dyDescent="0.25">
      <c r="A1177" s="22">
        <v>41390</v>
      </c>
      <c r="B1177">
        <v>31.9</v>
      </c>
      <c r="C1177">
        <v>31.98</v>
      </c>
      <c r="D1177">
        <v>31.45</v>
      </c>
      <c r="E1177">
        <v>31.79</v>
      </c>
      <c r="F1177">
        <v>47802884</v>
      </c>
      <c r="H1177">
        <f t="shared" si="18"/>
        <v>-4.70736786415507E-3</v>
      </c>
    </row>
    <row r="1178" spans="1:8" x14ac:dyDescent="0.25">
      <c r="A1178" s="22">
        <v>41389</v>
      </c>
      <c r="B1178">
        <v>31.71</v>
      </c>
      <c r="C1178">
        <v>32.840000000000003</v>
      </c>
      <c r="D1178">
        <v>31.54</v>
      </c>
      <c r="E1178">
        <v>31.94</v>
      </c>
      <c r="F1178">
        <v>110700124</v>
      </c>
      <c r="H1178">
        <f t="shared" si="18"/>
        <v>5.6515064079313022E-3</v>
      </c>
    </row>
    <row r="1179" spans="1:8" x14ac:dyDescent="0.25">
      <c r="A1179" s="22">
        <v>41388</v>
      </c>
      <c r="B1179">
        <v>30.62</v>
      </c>
      <c r="C1179">
        <v>31.92</v>
      </c>
      <c r="D1179">
        <v>30.6</v>
      </c>
      <c r="E1179">
        <v>31.76</v>
      </c>
      <c r="F1179">
        <v>90955499</v>
      </c>
      <c r="H1179">
        <f t="shared" si="18"/>
        <v>3.7207627420599972E-2</v>
      </c>
    </row>
    <row r="1180" spans="1:8" x14ac:dyDescent="0.25">
      <c r="A1180" s="22">
        <v>41387</v>
      </c>
      <c r="B1180">
        <v>30.7</v>
      </c>
      <c r="C1180">
        <v>30.9</v>
      </c>
      <c r="D1180">
        <v>30.38</v>
      </c>
      <c r="E1180">
        <v>30.6</v>
      </c>
      <c r="F1180">
        <v>59126880</v>
      </c>
      <c r="H1180">
        <f t="shared" si="18"/>
        <v>-7.4882329397237754E-3</v>
      </c>
    </row>
    <row r="1181" spans="1:8" x14ac:dyDescent="0.25">
      <c r="A1181" s="22">
        <v>41386</v>
      </c>
      <c r="B1181">
        <v>30.3</v>
      </c>
      <c r="C1181">
        <v>31.18</v>
      </c>
      <c r="D1181">
        <v>30.27</v>
      </c>
      <c r="E1181">
        <v>30.83</v>
      </c>
      <c r="F1181">
        <v>137909468</v>
      </c>
      <c r="H1181">
        <f t="shared" si="18"/>
        <v>3.5323031933167819E-2</v>
      </c>
    </row>
    <row r="1182" spans="1:8" x14ac:dyDescent="0.25">
      <c r="A1182" s="22">
        <v>41383</v>
      </c>
      <c r="B1182">
        <v>29.62</v>
      </c>
      <c r="C1182">
        <v>30.24</v>
      </c>
      <c r="D1182">
        <v>29.61</v>
      </c>
      <c r="E1182">
        <v>29.76</v>
      </c>
      <c r="F1182">
        <v>99793502</v>
      </c>
      <c r="H1182">
        <f t="shared" si="18"/>
        <v>3.3137105340806786E-2</v>
      </c>
    </row>
    <row r="1183" spans="1:8" x14ac:dyDescent="0.25">
      <c r="A1183" s="22">
        <v>41382</v>
      </c>
      <c r="B1183">
        <v>28.95</v>
      </c>
      <c r="C1183">
        <v>28.98</v>
      </c>
      <c r="D1183">
        <v>28.5</v>
      </c>
      <c r="E1183">
        <v>28.79</v>
      </c>
      <c r="F1183">
        <v>56906528</v>
      </c>
      <c r="H1183">
        <f t="shared" si="18"/>
        <v>-1.0414859472915425E-3</v>
      </c>
    </row>
    <row r="1184" spans="1:8" x14ac:dyDescent="0.25">
      <c r="A1184" s="22">
        <v>41381</v>
      </c>
      <c r="B1184">
        <v>28.85</v>
      </c>
      <c r="C1184">
        <v>29.04</v>
      </c>
      <c r="D1184">
        <v>28.6</v>
      </c>
      <c r="E1184">
        <v>28.82</v>
      </c>
      <c r="F1184">
        <v>52841328</v>
      </c>
      <c r="H1184">
        <f t="shared" si="18"/>
        <v>-5.1912212098829029E-3</v>
      </c>
    </row>
    <row r="1185" spans="1:8" x14ac:dyDescent="0.25">
      <c r="A1185" s="22">
        <v>41380</v>
      </c>
      <c r="B1185">
        <v>28.9</v>
      </c>
      <c r="C1185">
        <v>29.14</v>
      </c>
      <c r="D1185">
        <v>28.7</v>
      </c>
      <c r="E1185">
        <v>28.97</v>
      </c>
      <c r="F1185">
        <v>52804656</v>
      </c>
      <c r="H1185">
        <f t="shared" si="18"/>
        <v>9.7121817879854983E-3</v>
      </c>
    </row>
    <row r="1186" spans="1:8" x14ac:dyDescent="0.25">
      <c r="A1186" s="22">
        <v>41379</v>
      </c>
      <c r="B1186">
        <v>28.65</v>
      </c>
      <c r="C1186">
        <v>28.98</v>
      </c>
      <c r="D1186">
        <v>28.51</v>
      </c>
      <c r="E1186">
        <v>28.69</v>
      </c>
      <c r="F1186">
        <v>56335548</v>
      </c>
      <c r="H1186">
        <f t="shared" si="18"/>
        <v>-3.479474630811049E-3</v>
      </c>
    </row>
    <row r="1187" spans="1:8" x14ac:dyDescent="0.25">
      <c r="A1187" s="22">
        <v>41376</v>
      </c>
      <c r="B1187">
        <v>28.85</v>
      </c>
      <c r="C1187">
        <v>29.02</v>
      </c>
      <c r="D1187">
        <v>28.66</v>
      </c>
      <c r="E1187">
        <v>28.79</v>
      </c>
      <c r="F1187">
        <v>62888012</v>
      </c>
      <c r="H1187">
        <f t="shared" si="18"/>
        <v>-5.1966165792534267E-3</v>
      </c>
    </row>
    <row r="1188" spans="1:8" x14ac:dyDescent="0.25">
      <c r="A1188" s="22">
        <v>41375</v>
      </c>
      <c r="B1188">
        <v>29.1</v>
      </c>
      <c r="C1188">
        <v>29.2</v>
      </c>
      <c r="D1188">
        <v>28.73</v>
      </c>
      <c r="E1188">
        <v>28.94</v>
      </c>
      <c r="F1188">
        <v>130923162</v>
      </c>
      <c r="H1188">
        <f t="shared" si="18"/>
        <v>-4.5262707365910274E-2</v>
      </c>
    </row>
    <row r="1189" spans="1:8" x14ac:dyDescent="0.25">
      <c r="A1189" s="22">
        <v>41374</v>
      </c>
      <c r="B1189">
        <v>29.57</v>
      </c>
      <c r="C1189">
        <v>30.32</v>
      </c>
      <c r="D1189">
        <v>29.52</v>
      </c>
      <c r="E1189">
        <v>30.28</v>
      </c>
      <c r="F1189">
        <v>71116616</v>
      </c>
      <c r="H1189">
        <f t="shared" si="18"/>
        <v>2.2375286455748197E-2</v>
      </c>
    </row>
    <row r="1190" spans="1:8" x14ac:dyDescent="0.25">
      <c r="A1190" s="22">
        <v>41373</v>
      </c>
      <c r="B1190">
        <v>28.73</v>
      </c>
      <c r="C1190">
        <v>29.82</v>
      </c>
      <c r="D1190">
        <v>28.68</v>
      </c>
      <c r="E1190">
        <v>29.61</v>
      </c>
      <c r="F1190">
        <v>77737851</v>
      </c>
      <c r="H1190">
        <f t="shared" si="18"/>
        <v>3.5055135779279357E-2</v>
      </c>
    </row>
    <row r="1191" spans="1:8" x14ac:dyDescent="0.25">
      <c r="A1191" s="22">
        <v>41372</v>
      </c>
      <c r="B1191">
        <v>28.73</v>
      </c>
      <c r="C1191">
        <v>28.73</v>
      </c>
      <c r="D1191">
        <v>28.47</v>
      </c>
      <c r="E1191">
        <v>28.59</v>
      </c>
      <c r="F1191">
        <v>34759724</v>
      </c>
      <c r="H1191">
        <f t="shared" si="18"/>
        <v>-3.8401164313550244E-3</v>
      </c>
    </row>
    <row r="1192" spans="1:8" x14ac:dyDescent="0.25">
      <c r="A1192" s="22">
        <v>41369</v>
      </c>
      <c r="B1192">
        <v>28.22</v>
      </c>
      <c r="C1192">
        <v>28.78</v>
      </c>
      <c r="D1192">
        <v>28.11</v>
      </c>
      <c r="E1192">
        <v>28.7</v>
      </c>
      <c r="F1192">
        <v>50928776</v>
      </c>
      <c r="H1192">
        <f t="shared" si="18"/>
        <v>3.4904049397683459E-3</v>
      </c>
    </row>
    <row r="1193" spans="1:8" x14ac:dyDescent="0.25">
      <c r="A1193" s="22">
        <v>41368</v>
      </c>
      <c r="B1193">
        <v>28.39</v>
      </c>
      <c r="C1193">
        <v>28.61</v>
      </c>
      <c r="D1193">
        <v>28.27</v>
      </c>
      <c r="E1193">
        <v>28.6</v>
      </c>
      <c r="F1193">
        <v>45267601</v>
      </c>
      <c r="H1193">
        <f t="shared" si="18"/>
        <v>1.3995803544232636E-3</v>
      </c>
    </row>
    <row r="1194" spans="1:8" x14ac:dyDescent="0.25">
      <c r="A1194" s="22">
        <v>41367</v>
      </c>
      <c r="B1194">
        <v>28.75</v>
      </c>
      <c r="C1194">
        <v>28.95</v>
      </c>
      <c r="D1194">
        <v>28.54</v>
      </c>
      <c r="E1194">
        <v>28.56</v>
      </c>
      <c r="F1194">
        <v>35064468</v>
      </c>
      <c r="H1194">
        <f t="shared" si="18"/>
        <v>-8.3682496705166903E-3</v>
      </c>
    </row>
    <row r="1195" spans="1:8" x14ac:dyDescent="0.25">
      <c r="A1195" s="22">
        <v>41366</v>
      </c>
      <c r="B1195">
        <v>28.59</v>
      </c>
      <c r="C1195">
        <v>28.85</v>
      </c>
      <c r="D1195">
        <v>28.52</v>
      </c>
      <c r="E1195">
        <v>28.8</v>
      </c>
      <c r="F1195">
        <v>28460384</v>
      </c>
      <c r="H1195">
        <f t="shared" si="18"/>
        <v>6.6190800798814784E-3</v>
      </c>
    </row>
    <row r="1196" spans="1:8" x14ac:dyDescent="0.25">
      <c r="A1196" s="22">
        <v>41365</v>
      </c>
      <c r="B1196">
        <v>28.64</v>
      </c>
      <c r="C1196">
        <v>28.66</v>
      </c>
      <c r="D1196">
        <v>28.36</v>
      </c>
      <c r="E1196">
        <v>28.61</v>
      </c>
      <c r="F1196">
        <v>29203122</v>
      </c>
      <c r="H1196">
        <f t="shared" si="18"/>
        <v>3.4958923621192429E-4</v>
      </c>
    </row>
    <row r="1197" spans="1:8" x14ac:dyDescent="0.25">
      <c r="A1197" s="22">
        <v>41361</v>
      </c>
      <c r="B1197">
        <v>28.32</v>
      </c>
      <c r="C1197">
        <v>28.66</v>
      </c>
      <c r="D1197">
        <v>28.26</v>
      </c>
      <c r="E1197">
        <v>28.6</v>
      </c>
      <c r="F1197">
        <v>55455613</v>
      </c>
      <c r="H1197">
        <f t="shared" si="18"/>
        <v>8.0744690050469515E-3</v>
      </c>
    </row>
    <row r="1198" spans="1:8" x14ac:dyDescent="0.25">
      <c r="A1198" s="22">
        <v>41360</v>
      </c>
      <c r="B1198">
        <v>28.14</v>
      </c>
      <c r="C1198">
        <v>28.44</v>
      </c>
      <c r="D1198">
        <v>28.08</v>
      </c>
      <c r="E1198">
        <v>28.37</v>
      </c>
      <c r="F1198">
        <v>36048959</v>
      </c>
      <c r="H1198">
        <f t="shared" si="18"/>
        <v>7.4297175309184296E-3</v>
      </c>
    </row>
    <row r="1199" spans="1:8" x14ac:dyDescent="0.25">
      <c r="A1199" s="22">
        <v>41359</v>
      </c>
      <c r="B1199">
        <v>28.24</v>
      </c>
      <c r="C1199">
        <v>28.34</v>
      </c>
      <c r="D1199">
        <v>28.11</v>
      </c>
      <c r="E1199">
        <v>28.16</v>
      </c>
      <c r="F1199">
        <v>27831654</v>
      </c>
      <c r="H1199">
        <f t="shared" si="18"/>
        <v>0</v>
      </c>
    </row>
    <row r="1200" spans="1:8" x14ac:dyDescent="0.25">
      <c r="A1200" s="22">
        <v>41358</v>
      </c>
      <c r="B1200">
        <v>28.3</v>
      </c>
      <c r="C1200">
        <v>28.35</v>
      </c>
      <c r="D1200">
        <v>27.96</v>
      </c>
      <c r="E1200">
        <v>28.16</v>
      </c>
      <c r="F1200">
        <v>44153931</v>
      </c>
      <c r="H1200">
        <f t="shared" si="18"/>
        <v>-3.1909263026082676E-3</v>
      </c>
    </row>
    <row r="1201" spans="1:8" x14ac:dyDescent="0.25">
      <c r="A1201" s="22">
        <v>41355</v>
      </c>
      <c r="B1201">
        <v>28.19</v>
      </c>
      <c r="C1201">
        <v>28.34</v>
      </c>
      <c r="D1201">
        <v>28.1</v>
      </c>
      <c r="E1201">
        <v>28.25</v>
      </c>
      <c r="F1201">
        <v>28720834</v>
      </c>
      <c r="H1201">
        <f t="shared" si="18"/>
        <v>4.9680726740094737E-3</v>
      </c>
    </row>
    <row r="1202" spans="1:8" x14ac:dyDescent="0.25">
      <c r="A1202" s="22">
        <v>41354</v>
      </c>
      <c r="B1202">
        <v>28.11</v>
      </c>
      <c r="C1202">
        <v>28.36</v>
      </c>
      <c r="D1202">
        <v>28.05</v>
      </c>
      <c r="E1202">
        <v>28.11</v>
      </c>
      <c r="F1202">
        <v>34234566</v>
      </c>
      <c r="H1202">
        <f t="shared" si="18"/>
        <v>-7.4428839070785364E-3</v>
      </c>
    </row>
    <row r="1203" spans="1:8" x14ac:dyDescent="0.25">
      <c r="A1203" s="22">
        <v>41353</v>
      </c>
      <c r="B1203">
        <v>28.34</v>
      </c>
      <c r="C1203">
        <v>28.49</v>
      </c>
      <c r="D1203">
        <v>28.18</v>
      </c>
      <c r="E1203">
        <v>28.32</v>
      </c>
      <c r="F1203">
        <v>35454207</v>
      </c>
      <c r="H1203">
        <f t="shared" si="18"/>
        <v>4.9557623549848504E-3</v>
      </c>
    </row>
    <row r="1204" spans="1:8" x14ac:dyDescent="0.25">
      <c r="A1204" s="22">
        <v>41352</v>
      </c>
      <c r="B1204">
        <v>28.12</v>
      </c>
      <c r="C1204">
        <v>28.22</v>
      </c>
      <c r="D1204">
        <v>28.03</v>
      </c>
      <c r="E1204">
        <v>28.18</v>
      </c>
      <c r="F1204">
        <v>51902968</v>
      </c>
      <c r="H1204">
        <f t="shared" si="18"/>
        <v>2.8429301308340238E-3</v>
      </c>
    </row>
    <row r="1205" spans="1:8" x14ac:dyDescent="0.25">
      <c r="A1205" s="22">
        <v>41351</v>
      </c>
      <c r="B1205">
        <v>27.88</v>
      </c>
      <c r="C1205">
        <v>28.28</v>
      </c>
      <c r="D1205">
        <v>27.81</v>
      </c>
      <c r="E1205">
        <v>28.1</v>
      </c>
      <c r="F1205">
        <v>44828022</v>
      </c>
      <c r="H1205">
        <f t="shared" si="18"/>
        <v>2.137514173310838E-3</v>
      </c>
    </row>
    <row r="1206" spans="1:8" x14ac:dyDescent="0.25">
      <c r="A1206" s="22">
        <v>41348</v>
      </c>
      <c r="B1206">
        <v>28.03</v>
      </c>
      <c r="C1206">
        <v>28.16</v>
      </c>
      <c r="D1206">
        <v>27.98</v>
      </c>
      <c r="E1206">
        <v>28.04</v>
      </c>
      <c r="F1206">
        <v>92711915</v>
      </c>
      <c r="H1206">
        <f t="shared" si="18"/>
        <v>-3.5599895198536718E-3</v>
      </c>
    </row>
    <row r="1207" spans="1:8" x14ac:dyDescent="0.25">
      <c r="A1207" s="22">
        <v>41347</v>
      </c>
      <c r="B1207">
        <v>28</v>
      </c>
      <c r="C1207">
        <v>28.16</v>
      </c>
      <c r="D1207">
        <v>27.93</v>
      </c>
      <c r="E1207">
        <v>28.14</v>
      </c>
      <c r="F1207">
        <v>55917303</v>
      </c>
      <c r="H1207">
        <f t="shared" si="18"/>
        <v>7.8487737920712036E-3</v>
      </c>
    </row>
    <row r="1208" spans="1:8" x14ac:dyDescent="0.25">
      <c r="A1208" s="22">
        <v>41346</v>
      </c>
      <c r="B1208">
        <v>27.87</v>
      </c>
      <c r="C1208">
        <v>28.02</v>
      </c>
      <c r="D1208">
        <v>27.75</v>
      </c>
      <c r="E1208">
        <v>27.92</v>
      </c>
      <c r="F1208">
        <v>29103208</v>
      </c>
      <c r="H1208">
        <f t="shared" si="18"/>
        <v>3.5823034594104146E-4</v>
      </c>
    </row>
    <row r="1209" spans="1:8" x14ac:dyDescent="0.25">
      <c r="A1209" s="22">
        <v>41345</v>
      </c>
      <c r="B1209">
        <v>27.84</v>
      </c>
      <c r="C1209">
        <v>27.95</v>
      </c>
      <c r="D1209">
        <v>27.64</v>
      </c>
      <c r="E1209">
        <v>27.91</v>
      </c>
      <c r="F1209">
        <v>39259456</v>
      </c>
      <c r="H1209">
        <f t="shared" si="18"/>
        <v>1.4342060543738955E-3</v>
      </c>
    </row>
    <row r="1210" spans="1:8" x14ac:dyDescent="0.25">
      <c r="A1210" s="22">
        <v>41344</v>
      </c>
      <c r="B1210">
        <v>27.94</v>
      </c>
      <c r="C1210">
        <v>27.97</v>
      </c>
      <c r="D1210">
        <v>27.67</v>
      </c>
      <c r="E1210">
        <v>27.87</v>
      </c>
      <c r="F1210">
        <v>36635432</v>
      </c>
      <c r="H1210">
        <f t="shared" si="18"/>
        <v>-4.6536686813470002E-3</v>
      </c>
    </row>
    <row r="1211" spans="1:8" x14ac:dyDescent="0.25">
      <c r="A1211" s="22">
        <v>41341</v>
      </c>
      <c r="B1211">
        <v>28.25</v>
      </c>
      <c r="C1211">
        <v>28.33</v>
      </c>
      <c r="D1211">
        <v>27.96</v>
      </c>
      <c r="E1211">
        <v>28</v>
      </c>
      <c r="F1211">
        <v>37671493</v>
      </c>
      <c r="H1211">
        <f t="shared" si="18"/>
        <v>-4.9875415110390512E-3</v>
      </c>
    </row>
    <row r="1212" spans="1:8" x14ac:dyDescent="0.25">
      <c r="A1212" s="22">
        <v>41340</v>
      </c>
      <c r="B1212">
        <v>28.11</v>
      </c>
      <c r="C1212">
        <v>28.28</v>
      </c>
      <c r="D1212">
        <v>28</v>
      </c>
      <c r="E1212">
        <v>28.14</v>
      </c>
      <c r="F1212">
        <v>29197630</v>
      </c>
      <c r="H1212">
        <f t="shared" si="18"/>
        <v>1.7784105700908307E-3</v>
      </c>
    </row>
    <row r="1213" spans="1:8" x14ac:dyDescent="0.25">
      <c r="A1213" s="22">
        <v>41339</v>
      </c>
      <c r="B1213">
        <v>28.21</v>
      </c>
      <c r="C1213">
        <v>28.23</v>
      </c>
      <c r="D1213">
        <v>27.78</v>
      </c>
      <c r="E1213">
        <v>28.09</v>
      </c>
      <c r="F1213">
        <v>51448913</v>
      </c>
      <c r="H1213">
        <f t="shared" si="18"/>
        <v>-9.2133890576088437E-3</v>
      </c>
    </row>
    <row r="1214" spans="1:8" x14ac:dyDescent="0.25">
      <c r="A1214" s="22">
        <v>41338</v>
      </c>
      <c r="B1214">
        <v>28.29</v>
      </c>
      <c r="C1214">
        <v>28.54</v>
      </c>
      <c r="D1214">
        <v>28.16</v>
      </c>
      <c r="E1214">
        <v>28.35</v>
      </c>
      <c r="F1214">
        <v>41437141</v>
      </c>
      <c r="H1214">
        <f t="shared" si="18"/>
        <v>7.0796755880617682E-3</v>
      </c>
    </row>
    <row r="1215" spans="1:8" x14ac:dyDescent="0.25">
      <c r="A1215" s="22">
        <v>41337</v>
      </c>
      <c r="B1215">
        <v>27.85</v>
      </c>
      <c r="C1215">
        <v>28.15</v>
      </c>
      <c r="D1215">
        <v>27.7</v>
      </c>
      <c r="E1215">
        <v>28.15</v>
      </c>
      <c r="F1215">
        <v>38167497</v>
      </c>
      <c r="H1215">
        <f t="shared" si="18"/>
        <v>7.1301549845912693E-3</v>
      </c>
    </row>
    <row r="1216" spans="1:8" x14ac:dyDescent="0.25">
      <c r="A1216" s="22">
        <v>41334</v>
      </c>
      <c r="B1216">
        <v>27.72</v>
      </c>
      <c r="C1216">
        <v>27.98</v>
      </c>
      <c r="D1216">
        <v>27.52</v>
      </c>
      <c r="E1216">
        <v>27.95</v>
      </c>
      <c r="F1216">
        <v>34851878</v>
      </c>
      <c r="H1216">
        <f t="shared" si="18"/>
        <v>5.38117890451675E-3</v>
      </c>
    </row>
    <row r="1217" spans="1:8" x14ac:dyDescent="0.25">
      <c r="A1217" s="22">
        <v>41333</v>
      </c>
      <c r="B1217">
        <v>27.88</v>
      </c>
      <c r="C1217">
        <v>27.97</v>
      </c>
      <c r="D1217">
        <v>27.74</v>
      </c>
      <c r="E1217">
        <v>27.8</v>
      </c>
      <c r="F1217">
        <v>35840861</v>
      </c>
      <c r="H1217">
        <f t="shared" si="18"/>
        <v>-3.5964754928199136E-4</v>
      </c>
    </row>
    <row r="1218" spans="1:8" x14ac:dyDescent="0.25">
      <c r="A1218" s="22">
        <v>41332</v>
      </c>
      <c r="B1218">
        <v>27.42</v>
      </c>
      <c r="C1218">
        <v>28</v>
      </c>
      <c r="D1218">
        <v>27.33</v>
      </c>
      <c r="E1218">
        <v>27.81</v>
      </c>
      <c r="F1218">
        <v>36395589</v>
      </c>
      <c r="H1218">
        <f t="shared" si="18"/>
        <v>1.5948145193285759E-2</v>
      </c>
    </row>
    <row r="1219" spans="1:8" x14ac:dyDescent="0.25">
      <c r="A1219" s="22">
        <v>41331</v>
      </c>
      <c r="B1219">
        <v>27.38</v>
      </c>
      <c r="C1219">
        <v>27.6</v>
      </c>
      <c r="D1219">
        <v>27.34</v>
      </c>
      <c r="E1219">
        <v>27.37</v>
      </c>
      <c r="F1219">
        <v>49925050</v>
      </c>
      <c r="H1219">
        <f t="shared" ref="H1219:H1282" si="19">IFERROR(LN(E1219/E1220),"")</f>
        <v>0</v>
      </c>
    </row>
    <row r="1220" spans="1:8" x14ac:dyDescent="0.25">
      <c r="A1220" s="22">
        <v>41330</v>
      </c>
      <c r="B1220">
        <v>27.97</v>
      </c>
      <c r="C1220">
        <v>28.05</v>
      </c>
      <c r="D1220">
        <v>27.37</v>
      </c>
      <c r="E1220">
        <v>27.37</v>
      </c>
      <c r="F1220">
        <v>48020353</v>
      </c>
      <c r="H1220">
        <f t="shared" si="19"/>
        <v>-1.4148612586016098E-2</v>
      </c>
    </row>
    <row r="1221" spans="1:8" x14ac:dyDescent="0.25">
      <c r="A1221" s="22">
        <v>41327</v>
      </c>
      <c r="B1221">
        <v>27.68</v>
      </c>
      <c r="C1221">
        <v>27.76</v>
      </c>
      <c r="D1221">
        <v>27.48</v>
      </c>
      <c r="E1221">
        <v>27.76</v>
      </c>
      <c r="F1221">
        <v>31430018</v>
      </c>
      <c r="H1221">
        <f t="shared" si="19"/>
        <v>9.7738334614495877E-3</v>
      </c>
    </row>
    <row r="1222" spans="1:8" x14ac:dyDescent="0.25">
      <c r="A1222" s="22">
        <v>41326</v>
      </c>
      <c r="B1222">
        <v>27.74</v>
      </c>
      <c r="C1222">
        <v>27.74</v>
      </c>
      <c r="D1222">
        <v>27.23</v>
      </c>
      <c r="E1222">
        <v>27.49</v>
      </c>
      <c r="F1222">
        <v>49085538</v>
      </c>
      <c r="H1222">
        <f t="shared" si="19"/>
        <v>-1.3728539316702535E-2</v>
      </c>
    </row>
    <row r="1223" spans="1:8" x14ac:dyDescent="0.25">
      <c r="A1223" s="22">
        <v>41325</v>
      </c>
      <c r="B1223">
        <v>28.13</v>
      </c>
      <c r="C1223">
        <v>28.2</v>
      </c>
      <c r="D1223">
        <v>27.83</v>
      </c>
      <c r="E1223">
        <v>27.87</v>
      </c>
      <c r="F1223">
        <v>44112446</v>
      </c>
      <c r="H1223">
        <f t="shared" si="19"/>
        <v>-6.0812206725324837E-3</v>
      </c>
    </row>
    <row r="1224" spans="1:8" x14ac:dyDescent="0.25">
      <c r="A1224" s="22">
        <v>41324</v>
      </c>
      <c r="B1224">
        <v>27.88</v>
      </c>
      <c r="C1224">
        <v>28.09</v>
      </c>
      <c r="D1224">
        <v>27.8</v>
      </c>
      <c r="E1224">
        <v>28.04</v>
      </c>
      <c r="F1224">
        <v>38806870</v>
      </c>
      <c r="H1224">
        <f t="shared" si="19"/>
        <v>1.0704728943721391E-3</v>
      </c>
    </row>
    <row r="1225" spans="1:8" x14ac:dyDescent="0.25">
      <c r="A1225" s="22">
        <v>41320</v>
      </c>
      <c r="B1225">
        <v>28.04</v>
      </c>
      <c r="C1225">
        <v>28.16</v>
      </c>
      <c r="D1225">
        <v>27.88</v>
      </c>
      <c r="E1225">
        <v>28.01</v>
      </c>
      <c r="F1225">
        <v>49657740</v>
      </c>
      <c r="H1225">
        <f t="shared" si="19"/>
        <v>-1.0704728943721233E-3</v>
      </c>
    </row>
    <row r="1226" spans="1:8" x14ac:dyDescent="0.25">
      <c r="A1226" s="22">
        <v>41319</v>
      </c>
      <c r="B1226">
        <v>27.92</v>
      </c>
      <c r="C1226">
        <v>28.06</v>
      </c>
      <c r="D1226">
        <v>27.87</v>
      </c>
      <c r="E1226">
        <v>28.04</v>
      </c>
      <c r="F1226">
        <v>32663454</v>
      </c>
      <c r="H1226">
        <f t="shared" si="19"/>
        <v>3.5669698969227929E-4</v>
      </c>
    </row>
    <row r="1227" spans="1:8" x14ac:dyDescent="0.25">
      <c r="A1227" s="22">
        <v>41318</v>
      </c>
      <c r="B1227">
        <v>27.93</v>
      </c>
      <c r="C1227">
        <v>28.11</v>
      </c>
      <c r="D1227">
        <v>27.88</v>
      </c>
      <c r="E1227">
        <v>28.03</v>
      </c>
      <c r="F1227">
        <v>41716060</v>
      </c>
      <c r="H1227">
        <f t="shared" si="19"/>
        <v>5.3657792843737678E-3</v>
      </c>
    </row>
    <row r="1228" spans="1:8" x14ac:dyDescent="0.25">
      <c r="A1228" s="22">
        <v>41317</v>
      </c>
      <c r="B1228">
        <v>27.88</v>
      </c>
      <c r="C1228">
        <v>28</v>
      </c>
      <c r="D1228">
        <v>27.75</v>
      </c>
      <c r="E1228">
        <v>27.88</v>
      </c>
      <c r="F1228">
        <v>35991329</v>
      </c>
      <c r="H1228">
        <f t="shared" si="19"/>
        <v>7.1761754066341685E-4</v>
      </c>
    </row>
    <row r="1229" spans="1:8" x14ac:dyDescent="0.25">
      <c r="A1229" s="22">
        <v>41316</v>
      </c>
      <c r="B1229">
        <v>27.65</v>
      </c>
      <c r="C1229">
        <v>27.92</v>
      </c>
      <c r="D1229">
        <v>27.5</v>
      </c>
      <c r="E1229">
        <v>27.86</v>
      </c>
      <c r="F1229">
        <v>32248149</v>
      </c>
      <c r="H1229">
        <f t="shared" si="19"/>
        <v>1.1189432752736008E-2</v>
      </c>
    </row>
    <row r="1230" spans="1:8" x14ac:dyDescent="0.25">
      <c r="A1230" s="22">
        <v>41313</v>
      </c>
      <c r="B1230">
        <v>27.35</v>
      </c>
      <c r="C1230">
        <v>27.71</v>
      </c>
      <c r="D1230">
        <v>27.31</v>
      </c>
      <c r="E1230">
        <v>27.55</v>
      </c>
      <c r="F1230">
        <v>33320436</v>
      </c>
      <c r="H1230">
        <f t="shared" si="19"/>
        <v>9.8487026236620256E-3</v>
      </c>
    </row>
    <row r="1231" spans="1:8" x14ac:dyDescent="0.25">
      <c r="A1231" s="22">
        <v>41312</v>
      </c>
      <c r="B1231">
        <v>27.35</v>
      </c>
      <c r="C1231">
        <v>27.39</v>
      </c>
      <c r="D1231">
        <v>27.1</v>
      </c>
      <c r="E1231">
        <v>27.28</v>
      </c>
      <c r="F1231">
        <v>38034068</v>
      </c>
      <c r="H1231">
        <f t="shared" si="19"/>
        <v>-2.1969983205420525E-3</v>
      </c>
    </row>
    <row r="1232" spans="1:8" x14ac:dyDescent="0.25">
      <c r="A1232" s="22">
        <v>41311</v>
      </c>
      <c r="B1232">
        <v>27.38</v>
      </c>
      <c r="C1232">
        <v>27.54</v>
      </c>
      <c r="D1232">
        <v>27.25</v>
      </c>
      <c r="E1232">
        <v>27.34</v>
      </c>
      <c r="F1232">
        <v>41889572</v>
      </c>
      <c r="H1232">
        <f t="shared" si="19"/>
        <v>-5.835173376722123E-3</v>
      </c>
    </row>
    <row r="1233" spans="1:8" x14ac:dyDescent="0.25">
      <c r="A1233" s="22">
        <v>41310</v>
      </c>
      <c r="B1233">
        <v>27.62</v>
      </c>
      <c r="C1233">
        <v>27.66</v>
      </c>
      <c r="D1233">
        <v>27.36</v>
      </c>
      <c r="E1233">
        <v>27.5</v>
      </c>
      <c r="F1233">
        <v>35410361</v>
      </c>
      <c r="H1233">
        <f t="shared" si="19"/>
        <v>2.1842018148409857E-3</v>
      </c>
    </row>
    <row r="1234" spans="1:8" x14ac:dyDescent="0.25">
      <c r="A1234" s="22">
        <v>41309</v>
      </c>
      <c r="B1234">
        <v>27.87</v>
      </c>
      <c r="C1234">
        <v>28.02</v>
      </c>
      <c r="D1234">
        <v>27.42</v>
      </c>
      <c r="E1234">
        <v>27.44</v>
      </c>
      <c r="F1234">
        <v>50539942</v>
      </c>
      <c r="H1234">
        <f t="shared" si="19"/>
        <v>-1.769957709940086E-2</v>
      </c>
    </row>
    <row r="1235" spans="1:8" x14ac:dyDescent="0.25">
      <c r="A1235" s="22">
        <v>41306</v>
      </c>
      <c r="B1235">
        <v>27.67</v>
      </c>
      <c r="C1235">
        <v>28.05</v>
      </c>
      <c r="D1235">
        <v>27.55</v>
      </c>
      <c r="E1235">
        <v>27.93</v>
      </c>
      <c r="F1235">
        <v>55566440</v>
      </c>
      <c r="H1235">
        <f t="shared" si="19"/>
        <v>1.7335212001545686E-2</v>
      </c>
    </row>
    <row r="1236" spans="1:8" x14ac:dyDescent="0.25">
      <c r="A1236" t="s">
        <v>849</v>
      </c>
      <c r="B1236">
        <v>27.79</v>
      </c>
      <c r="C1236">
        <v>27.97</v>
      </c>
      <c r="D1236">
        <v>27.4</v>
      </c>
      <c r="E1236">
        <v>27.45</v>
      </c>
      <c r="F1236">
        <v>50536148</v>
      </c>
      <c r="H1236">
        <f t="shared" si="19"/>
        <v>-1.4466798417753489E-2</v>
      </c>
    </row>
    <row r="1237" spans="1:8" x14ac:dyDescent="0.25">
      <c r="A1237" t="s">
        <v>850</v>
      </c>
      <c r="B1237">
        <v>28.01</v>
      </c>
      <c r="C1237">
        <v>28.19</v>
      </c>
      <c r="D1237">
        <v>27.76</v>
      </c>
      <c r="E1237">
        <v>27.85</v>
      </c>
      <c r="F1237">
        <v>43585526</v>
      </c>
      <c r="H1237">
        <f t="shared" si="19"/>
        <v>-5.7286228987241039E-3</v>
      </c>
    </row>
    <row r="1238" spans="1:8" x14ac:dyDescent="0.25">
      <c r="A1238" t="s">
        <v>851</v>
      </c>
      <c r="B1238">
        <v>27.82</v>
      </c>
      <c r="C1238">
        <v>28.13</v>
      </c>
      <c r="D1238">
        <v>27.6</v>
      </c>
      <c r="E1238">
        <v>28.01</v>
      </c>
      <c r="F1238">
        <v>49247863</v>
      </c>
      <c r="H1238">
        <f t="shared" si="19"/>
        <v>3.5765417237864456E-3</v>
      </c>
    </row>
    <row r="1239" spans="1:8" x14ac:dyDescent="0.25">
      <c r="A1239" t="s">
        <v>852</v>
      </c>
      <c r="B1239">
        <v>28.01</v>
      </c>
      <c r="C1239">
        <v>28.22</v>
      </c>
      <c r="D1239">
        <v>27.76</v>
      </c>
      <c r="E1239">
        <v>27.91</v>
      </c>
      <c r="F1239">
        <v>56061493</v>
      </c>
      <c r="H1239">
        <f t="shared" si="19"/>
        <v>1.0754616559077988E-3</v>
      </c>
    </row>
    <row r="1240" spans="1:8" x14ac:dyDescent="0.25">
      <c r="A1240" t="s">
        <v>853</v>
      </c>
      <c r="B1240">
        <v>27.58</v>
      </c>
      <c r="C1240">
        <v>28.23</v>
      </c>
      <c r="D1240">
        <v>27.39</v>
      </c>
      <c r="E1240">
        <v>27.88</v>
      </c>
      <c r="F1240">
        <v>81853106</v>
      </c>
      <c r="H1240">
        <f t="shared" si="19"/>
        <v>9.007446956997971E-3</v>
      </c>
    </row>
    <row r="1241" spans="1:8" x14ac:dyDescent="0.25">
      <c r="A1241" t="s">
        <v>854</v>
      </c>
      <c r="B1241">
        <v>27.7</v>
      </c>
      <c r="C1241">
        <v>28.07</v>
      </c>
      <c r="D1241">
        <v>27.47</v>
      </c>
      <c r="E1241">
        <v>27.63</v>
      </c>
      <c r="F1241">
        <v>101739246</v>
      </c>
      <c r="H1241">
        <f t="shared" si="19"/>
        <v>7.2411299326210544E-4</v>
      </c>
    </row>
    <row r="1242" spans="1:8" x14ac:dyDescent="0.25">
      <c r="A1242" t="s">
        <v>855</v>
      </c>
      <c r="B1242">
        <v>27.2</v>
      </c>
      <c r="C1242">
        <v>27.64</v>
      </c>
      <c r="D1242">
        <v>27.2</v>
      </c>
      <c r="E1242">
        <v>27.61</v>
      </c>
      <c r="F1242">
        <v>50387614</v>
      </c>
      <c r="H1242">
        <f t="shared" si="19"/>
        <v>1.680097956211862E-2</v>
      </c>
    </row>
    <row r="1243" spans="1:8" x14ac:dyDescent="0.25">
      <c r="A1243" t="s">
        <v>856</v>
      </c>
      <c r="B1243">
        <v>27.3</v>
      </c>
      <c r="C1243">
        <v>27.45</v>
      </c>
      <c r="D1243">
        <v>27</v>
      </c>
      <c r="E1243">
        <v>27.15</v>
      </c>
      <c r="F1243">
        <v>58656745</v>
      </c>
      <c r="H1243">
        <f t="shared" si="19"/>
        <v>-3.6764747293086368E-3</v>
      </c>
    </row>
    <row r="1244" spans="1:8" x14ac:dyDescent="0.25">
      <c r="A1244" t="s">
        <v>857</v>
      </c>
      <c r="B1244">
        <v>27.1</v>
      </c>
      <c r="C1244">
        <v>27.29</v>
      </c>
      <c r="D1244">
        <v>27.04</v>
      </c>
      <c r="E1244">
        <v>27.25</v>
      </c>
      <c r="F1244">
        <v>52171305</v>
      </c>
      <c r="H1244">
        <f t="shared" si="19"/>
        <v>0</v>
      </c>
    </row>
    <row r="1245" spans="1:8" x14ac:dyDescent="0.25">
      <c r="A1245" t="s">
        <v>858</v>
      </c>
      <c r="B1245">
        <v>27.19</v>
      </c>
      <c r="C1245">
        <v>27.47</v>
      </c>
      <c r="D1245">
        <v>27.06</v>
      </c>
      <c r="E1245">
        <v>27.25</v>
      </c>
      <c r="F1245">
        <v>51685841</v>
      </c>
      <c r="H1245">
        <f t="shared" si="19"/>
        <v>7.736269934489848E-3</v>
      </c>
    </row>
    <row r="1246" spans="1:8" x14ac:dyDescent="0.25">
      <c r="A1246" t="s">
        <v>859</v>
      </c>
      <c r="B1246">
        <v>27.15</v>
      </c>
      <c r="C1246">
        <v>27.23</v>
      </c>
      <c r="D1246">
        <v>27.01</v>
      </c>
      <c r="E1246">
        <v>27.04</v>
      </c>
      <c r="F1246">
        <v>41077374</v>
      </c>
      <c r="H1246">
        <f t="shared" si="19"/>
        <v>-6.2673016203916108E-3</v>
      </c>
    </row>
    <row r="1247" spans="1:8" x14ac:dyDescent="0.25">
      <c r="A1247" t="s">
        <v>860</v>
      </c>
      <c r="B1247">
        <v>26.83</v>
      </c>
      <c r="C1247">
        <v>27.29</v>
      </c>
      <c r="D1247">
        <v>26.82</v>
      </c>
      <c r="E1247">
        <v>27.21</v>
      </c>
      <c r="F1247">
        <v>48244452</v>
      </c>
      <c r="H1247">
        <f t="shared" si="19"/>
        <v>1.1830082514381592E-2</v>
      </c>
    </row>
    <row r="1248" spans="1:8" x14ac:dyDescent="0.25">
      <c r="A1248" t="s">
        <v>861</v>
      </c>
      <c r="B1248">
        <v>26.9</v>
      </c>
      <c r="C1248">
        <v>27.08</v>
      </c>
      <c r="D1248">
        <v>26.76</v>
      </c>
      <c r="E1248">
        <v>26.89</v>
      </c>
      <c r="F1248">
        <v>48324338</v>
      </c>
      <c r="H1248">
        <f t="shared" si="19"/>
        <v>2.2338058432405539E-3</v>
      </c>
    </row>
    <row r="1249" spans="1:8" x14ac:dyDescent="0.25">
      <c r="A1249" t="s">
        <v>862</v>
      </c>
      <c r="B1249">
        <v>26.49</v>
      </c>
      <c r="C1249">
        <v>26.93</v>
      </c>
      <c r="D1249">
        <v>26.28</v>
      </c>
      <c r="E1249">
        <v>26.83</v>
      </c>
      <c r="F1249">
        <v>55518050</v>
      </c>
      <c r="H1249">
        <f t="shared" si="19"/>
        <v>1.3886505750723149E-2</v>
      </c>
    </row>
    <row r="1250" spans="1:8" x14ac:dyDescent="0.25">
      <c r="A1250" t="s">
        <v>863</v>
      </c>
      <c r="B1250">
        <v>26.65</v>
      </c>
      <c r="C1250">
        <v>26.98</v>
      </c>
      <c r="D1250">
        <v>26.29</v>
      </c>
      <c r="E1250">
        <v>26.46</v>
      </c>
      <c r="F1250">
        <v>71430810</v>
      </c>
      <c r="H1250">
        <f t="shared" si="19"/>
        <v>-9.0294067193941521E-3</v>
      </c>
    </row>
    <row r="1251" spans="1:8" x14ac:dyDescent="0.25">
      <c r="A1251" t="s">
        <v>864</v>
      </c>
      <c r="B1251">
        <v>26.72</v>
      </c>
      <c r="C1251">
        <v>26.75</v>
      </c>
      <c r="D1251">
        <v>26.56</v>
      </c>
      <c r="E1251">
        <v>26.7</v>
      </c>
      <c r="F1251">
        <v>49047873</v>
      </c>
      <c r="H1251">
        <f t="shared" si="19"/>
        <v>5.6338177182558439E-3</v>
      </c>
    </row>
    <row r="1252" spans="1:8" x14ac:dyDescent="0.25">
      <c r="A1252" t="s">
        <v>865</v>
      </c>
      <c r="B1252">
        <v>26.75</v>
      </c>
      <c r="C1252">
        <v>26.79</v>
      </c>
      <c r="D1252">
        <v>26.46</v>
      </c>
      <c r="E1252">
        <v>26.55</v>
      </c>
      <c r="F1252">
        <v>44703081</v>
      </c>
      <c r="H1252">
        <f t="shared" si="19"/>
        <v>-5.2592157284849089E-3</v>
      </c>
    </row>
    <row r="1253" spans="1:8" x14ac:dyDescent="0.25">
      <c r="A1253" t="s">
        <v>866</v>
      </c>
      <c r="B1253">
        <v>26.77</v>
      </c>
      <c r="C1253">
        <v>26.88</v>
      </c>
      <c r="D1253">
        <v>26.64</v>
      </c>
      <c r="E1253">
        <v>26.69</v>
      </c>
      <c r="F1253">
        <v>37120059</v>
      </c>
      <c r="H1253">
        <f t="shared" si="19"/>
        <v>-1.8716082573642366E-3</v>
      </c>
    </row>
    <row r="1254" spans="1:8" x14ac:dyDescent="0.25">
      <c r="A1254" t="s">
        <v>867</v>
      </c>
      <c r="B1254">
        <v>27.27</v>
      </c>
      <c r="C1254">
        <v>27.34</v>
      </c>
      <c r="D1254">
        <v>26.73</v>
      </c>
      <c r="E1254">
        <v>26.74</v>
      </c>
      <c r="F1254">
        <v>52521019</v>
      </c>
      <c r="H1254">
        <f t="shared" si="19"/>
        <v>-1.8892949435456042E-2</v>
      </c>
    </row>
    <row r="1255" spans="1:8" x14ac:dyDescent="0.25">
      <c r="A1255" t="s">
        <v>868</v>
      </c>
      <c r="B1255">
        <v>27.63</v>
      </c>
      <c r="C1255">
        <v>27.65</v>
      </c>
      <c r="D1255">
        <v>27.16</v>
      </c>
      <c r="E1255">
        <v>27.25</v>
      </c>
      <c r="F1255">
        <v>48297740</v>
      </c>
      <c r="H1255">
        <f t="shared" si="19"/>
        <v>-1.3486626871893019E-2</v>
      </c>
    </row>
    <row r="1256" spans="1:8" x14ac:dyDescent="0.25">
      <c r="A1256" t="s">
        <v>869</v>
      </c>
      <c r="B1256">
        <v>27.25</v>
      </c>
      <c r="C1256">
        <v>27.73</v>
      </c>
      <c r="D1256">
        <v>27.15</v>
      </c>
      <c r="E1256">
        <v>27.62</v>
      </c>
      <c r="F1256">
        <v>52905499</v>
      </c>
      <c r="H1256">
        <f t="shared" si="19"/>
        <v>3.3502120859276535E-2</v>
      </c>
    </row>
    <row r="1257" spans="1:8" x14ac:dyDescent="0.25">
      <c r="A1257" t="s">
        <v>870</v>
      </c>
      <c r="B1257">
        <v>26.59</v>
      </c>
      <c r="C1257">
        <v>26.77</v>
      </c>
      <c r="D1257">
        <v>26.37</v>
      </c>
      <c r="E1257">
        <v>26.71</v>
      </c>
      <c r="F1257">
        <v>42757836</v>
      </c>
      <c r="H1257">
        <f t="shared" si="19"/>
        <v>6.0082794339215905E-3</v>
      </c>
    </row>
    <row r="1258" spans="1:8" x14ac:dyDescent="0.25">
      <c r="A1258" t="s">
        <v>871</v>
      </c>
      <c r="B1258">
        <v>26.71</v>
      </c>
      <c r="C1258">
        <v>26.9</v>
      </c>
      <c r="D1258">
        <v>26.55</v>
      </c>
      <c r="E1258">
        <v>26.55</v>
      </c>
      <c r="F1258">
        <v>28248325</v>
      </c>
      <c r="H1258">
        <f t="shared" si="19"/>
        <v>-1.5324538356158428E-2</v>
      </c>
    </row>
    <row r="1259" spans="1:8" x14ac:dyDescent="0.25">
      <c r="A1259" t="s">
        <v>872</v>
      </c>
      <c r="B1259">
        <v>26.89</v>
      </c>
      <c r="C1259">
        <v>27.09</v>
      </c>
      <c r="D1259">
        <v>26.57</v>
      </c>
      <c r="E1259">
        <v>26.96</v>
      </c>
      <c r="F1259">
        <v>39393927</v>
      </c>
      <c r="H1259">
        <f t="shared" si="19"/>
        <v>3.7160949490148538E-3</v>
      </c>
    </row>
    <row r="1260" spans="1:8" x14ac:dyDescent="0.25">
      <c r="A1260" t="s">
        <v>873</v>
      </c>
      <c r="B1260">
        <v>27.03</v>
      </c>
      <c r="C1260">
        <v>27.2</v>
      </c>
      <c r="D1260">
        <v>26.7</v>
      </c>
      <c r="E1260">
        <v>26.86</v>
      </c>
      <c r="F1260">
        <v>31640952</v>
      </c>
      <c r="H1260">
        <f t="shared" si="19"/>
        <v>-7.4184316475504036E-3</v>
      </c>
    </row>
    <row r="1261" spans="1:8" x14ac:dyDescent="0.25">
      <c r="A1261" t="s">
        <v>874</v>
      </c>
      <c r="B1261">
        <v>27.2</v>
      </c>
      <c r="C1261">
        <v>27.25</v>
      </c>
      <c r="D1261">
        <v>27</v>
      </c>
      <c r="E1261">
        <v>27.06</v>
      </c>
      <c r="F1261">
        <v>20842331</v>
      </c>
      <c r="H1261">
        <f t="shared" si="19"/>
        <v>-1.4309545212897628E-2</v>
      </c>
    </row>
    <row r="1262" spans="1:8" x14ac:dyDescent="0.25">
      <c r="A1262" t="s">
        <v>875</v>
      </c>
      <c r="B1262">
        <v>27.45</v>
      </c>
      <c r="C1262">
        <v>27.49</v>
      </c>
      <c r="D1262">
        <v>27</v>
      </c>
      <c r="E1262">
        <v>27.45</v>
      </c>
      <c r="F1262">
        <v>98779723</v>
      </c>
      <c r="H1262">
        <f t="shared" si="19"/>
        <v>-8.3439627939292122E-3</v>
      </c>
    </row>
    <row r="1263" spans="1:8" x14ac:dyDescent="0.25">
      <c r="A1263" t="s">
        <v>876</v>
      </c>
      <c r="B1263">
        <v>27.36</v>
      </c>
      <c r="C1263">
        <v>27.68</v>
      </c>
      <c r="D1263">
        <v>27.15</v>
      </c>
      <c r="E1263">
        <v>27.68</v>
      </c>
      <c r="F1263">
        <v>52607251</v>
      </c>
      <c r="H1263">
        <f t="shared" si="19"/>
        <v>1.3457195263855174E-2</v>
      </c>
    </row>
    <row r="1264" spans="1:8" x14ac:dyDescent="0.25">
      <c r="A1264" t="s">
        <v>877</v>
      </c>
      <c r="B1264">
        <v>27.69</v>
      </c>
      <c r="C1264">
        <v>27.73</v>
      </c>
      <c r="D1264">
        <v>27.25</v>
      </c>
      <c r="E1264">
        <v>27.31</v>
      </c>
      <c r="F1264">
        <v>53523188</v>
      </c>
      <c r="H1264">
        <f t="shared" si="19"/>
        <v>-9.1125106598441315E-3</v>
      </c>
    </row>
    <row r="1265" spans="1:8" x14ac:dyDescent="0.25">
      <c r="A1265" t="s">
        <v>878</v>
      </c>
      <c r="B1265">
        <v>27.25</v>
      </c>
      <c r="C1265">
        <v>27.63</v>
      </c>
      <c r="D1265">
        <v>27.14</v>
      </c>
      <c r="E1265">
        <v>27.56</v>
      </c>
      <c r="F1265">
        <v>50494942</v>
      </c>
      <c r="H1265">
        <f t="shared" si="19"/>
        <v>1.6831718259802599E-2</v>
      </c>
    </row>
    <row r="1266" spans="1:8" x14ac:dyDescent="0.25">
      <c r="A1266" t="s">
        <v>879</v>
      </c>
      <c r="B1266">
        <v>26.79</v>
      </c>
      <c r="C1266">
        <v>27.22</v>
      </c>
      <c r="D1266">
        <v>26.68</v>
      </c>
      <c r="E1266">
        <v>27.1</v>
      </c>
      <c r="F1266">
        <v>42053240</v>
      </c>
      <c r="H1266">
        <f t="shared" si="19"/>
        <v>1.0758775637787453E-2</v>
      </c>
    </row>
    <row r="1267" spans="1:8" x14ac:dyDescent="0.25">
      <c r="A1267" t="s">
        <v>880</v>
      </c>
      <c r="B1267">
        <v>27.11</v>
      </c>
      <c r="C1267">
        <v>27.13</v>
      </c>
      <c r="D1267">
        <v>26.7</v>
      </c>
      <c r="E1267">
        <v>26.81</v>
      </c>
      <c r="F1267">
        <v>42077469</v>
      </c>
      <c r="H1267">
        <f t="shared" si="19"/>
        <v>-1.112771126270622E-2</v>
      </c>
    </row>
    <row r="1268" spans="1:8" x14ac:dyDescent="0.25">
      <c r="A1268" t="s">
        <v>881</v>
      </c>
      <c r="B1268">
        <v>27.32</v>
      </c>
      <c r="C1268">
        <v>27.52</v>
      </c>
      <c r="D1268">
        <v>26.95</v>
      </c>
      <c r="E1268">
        <v>27.11</v>
      </c>
      <c r="F1268">
        <v>45080041</v>
      </c>
      <c r="H1268">
        <f t="shared" si="19"/>
        <v>-4.783817770737441E-3</v>
      </c>
    </row>
    <row r="1269" spans="1:8" x14ac:dyDescent="0.25">
      <c r="A1269" t="s">
        <v>882</v>
      </c>
      <c r="B1269">
        <v>27.53</v>
      </c>
      <c r="C1269">
        <v>27.62</v>
      </c>
      <c r="D1269">
        <v>27.08</v>
      </c>
      <c r="E1269">
        <v>27.24</v>
      </c>
      <c r="F1269">
        <v>43966242</v>
      </c>
      <c r="H1269">
        <f t="shared" si="19"/>
        <v>-2.9325534212777528E-3</v>
      </c>
    </row>
    <row r="1270" spans="1:8" x14ac:dyDescent="0.25">
      <c r="A1270" t="s">
        <v>883</v>
      </c>
      <c r="B1270">
        <v>27.05</v>
      </c>
      <c r="C1270">
        <v>27.49</v>
      </c>
      <c r="D1270">
        <v>27.05</v>
      </c>
      <c r="E1270">
        <v>27.32</v>
      </c>
      <c r="F1270">
        <v>52288386</v>
      </c>
      <c r="H1270">
        <f t="shared" si="19"/>
        <v>1.4006863720371287E-2</v>
      </c>
    </row>
    <row r="1271" spans="1:8" x14ac:dyDescent="0.25">
      <c r="A1271" t="s">
        <v>884</v>
      </c>
      <c r="B1271">
        <v>26.56</v>
      </c>
      <c r="C1271">
        <v>26.97</v>
      </c>
      <c r="D1271">
        <v>26.52</v>
      </c>
      <c r="E1271">
        <v>26.94</v>
      </c>
      <c r="F1271">
        <v>47037881</v>
      </c>
      <c r="H1271">
        <f t="shared" si="19"/>
        <v>1.7978012295408394E-2</v>
      </c>
    </row>
    <row r="1272" spans="1:8" x14ac:dyDescent="0.25">
      <c r="A1272" t="s">
        <v>885</v>
      </c>
      <c r="B1272">
        <v>26.82</v>
      </c>
      <c r="C1272">
        <v>26.82</v>
      </c>
      <c r="D1272">
        <v>26.37</v>
      </c>
      <c r="E1272">
        <v>26.46</v>
      </c>
      <c r="F1272">
        <v>46179491</v>
      </c>
      <c r="H1272">
        <f t="shared" si="19"/>
        <v>-9.7781899816352467E-3</v>
      </c>
    </row>
    <row r="1273" spans="1:8" x14ac:dyDescent="0.25">
      <c r="A1273" t="s">
        <v>886</v>
      </c>
      <c r="B1273">
        <v>26.81</v>
      </c>
      <c r="C1273">
        <v>26.98</v>
      </c>
      <c r="D1273">
        <v>26.61</v>
      </c>
      <c r="E1273">
        <v>26.72</v>
      </c>
      <c r="F1273">
        <v>39186491</v>
      </c>
      <c r="H1273">
        <f t="shared" si="19"/>
        <v>1.8730104745218715E-3</v>
      </c>
    </row>
    <row r="1274" spans="1:8" x14ac:dyDescent="0.25">
      <c r="A1274" t="s">
        <v>887</v>
      </c>
      <c r="B1274">
        <v>26.38</v>
      </c>
      <c r="C1274">
        <v>26.93</v>
      </c>
      <c r="D1274">
        <v>26.26</v>
      </c>
      <c r="E1274">
        <v>26.67</v>
      </c>
      <c r="F1274">
        <v>68283731</v>
      </c>
      <c r="H1274">
        <f t="shared" si="19"/>
        <v>1.1312337828727675E-2</v>
      </c>
    </row>
    <row r="1275" spans="1:8" x14ac:dyDescent="0.25">
      <c r="A1275" t="s">
        <v>888</v>
      </c>
      <c r="B1275">
        <v>26.5</v>
      </c>
      <c r="C1275">
        <v>26.63</v>
      </c>
      <c r="D1275">
        <v>26.34</v>
      </c>
      <c r="E1275">
        <v>26.37</v>
      </c>
      <c r="F1275">
        <v>49798319</v>
      </c>
      <c r="H1275">
        <f t="shared" si="19"/>
        <v>-2.2727282510024553E-3</v>
      </c>
    </row>
    <row r="1276" spans="1:8" x14ac:dyDescent="0.25">
      <c r="A1276" t="s">
        <v>889</v>
      </c>
      <c r="B1276">
        <v>26.78</v>
      </c>
      <c r="C1276">
        <v>26.82</v>
      </c>
      <c r="D1276">
        <v>26.4</v>
      </c>
      <c r="E1276">
        <v>26.43</v>
      </c>
      <c r="F1276">
        <v>53173722</v>
      </c>
      <c r="H1276">
        <f t="shared" si="19"/>
        <v>-7.163084350767809E-3</v>
      </c>
    </row>
    <row r="1277" spans="1:8" x14ac:dyDescent="0.25">
      <c r="A1277" s="22">
        <v>41243</v>
      </c>
      <c r="B1277">
        <v>27.05</v>
      </c>
      <c r="C1277">
        <v>27.13</v>
      </c>
      <c r="D1277">
        <v>26.49</v>
      </c>
      <c r="E1277">
        <v>26.62</v>
      </c>
      <c r="F1277">
        <v>83690187</v>
      </c>
      <c r="H1277" t="str">
        <f t="shared" si="19"/>
        <v/>
      </c>
    </row>
    <row r="1278" spans="1:8" x14ac:dyDescent="0.25">
      <c r="H1278" t="str">
        <f t="shared" si="19"/>
        <v/>
      </c>
    </row>
    <row r="1279" spans="1:8" x14ac:dyDescent="0.25">
      <c r="H1279" t="str">
        <f t="shared" si="19"/>
        <v/>
      </c>
    </row>
    <row r="1280" spans="1:8" x14ac:dyDescent="0.25">
      <c r="H1280" t="str">
        <f t="shared" si="19"/>
        <v/>
      </c>
    </row>
    <row r="1281" spans="8:8" x14ac:dyDescent="0.25">
      <c r="H1281" t="str">
        <f t="shared" si="19"/>
        <v/>
      </c>
    </row>
    <row r="1282" spans="8:8" x14ac:dyDescent="0.25">
      <c r="H1282" t="str">
        <f t="shared" si="19"/>
        <v/>
      </c>
    </row>
    <row r="1283" spans="8:8" x14ac:dyDescent="0.25">
      <c r="H1283" t="str">
        <f t="shared" ref="H1283:H1346" si="20">IFERROR(LN(E1283/E1284),"")</f>
        <v/>
      </c>
    </row>
    <row r="1284" spans="8:8" x14ac:dyDescent="0.25">
      <c r="H1284" t="str">
        <f t="shared" si="20"/>
        <v/>
      </c>
    </row>
    <row r="1285" spans="8:8" x14ac:dyDescent="0.25">
      <c r="H1285" t="str">
        <f t="shared" si="20"/>
        <v/>
      </c>
    </row>
    <row r="1286" spans="8:8" x14ac:dyDescent="0.25">
      <c r="H1286" t="str">
        <f t="shared" si="20"/>
        <v/>
      </c>
    </row>
    <row r="1287" spans="8:8" x14ac:dyDescent="0.25">
      <c r="H1287" t="str">
        <f t="shared" si="20"/>
        <v/>
      </c>
    </row>
    <row r="1288" spans="8:8" x14ac:dyDescent="0.25">
      <c r="H1288" t="str">
        <f t="shared" si="20"/>
        <v/>
      </c>
    </row>
    <row r="1289" spans="8:8" x14ac:dyDescent="0.25">
      <c r="H1289" t="str">
        <f t="shared" si="20"/>
        <v/>
      </c>
    </row>
    <row r="1290" spans="8:8" x14ac:dyDescent="0.25">
      <c r="H1290" t="str">
        <f t="shared" si="20"/>
        <v/>
      </c>
    </row>
    <row r="1291" spans="8:8" x14ac:dyDescent="0.25">
      <c r="H1291" t="str">
        <f t="shared" si="20"/>
        <v/>
      </c>
    </row>
    <row r="1292" spans="8:8" x14ac:dyDescent="0.25">
      <c r="H1292" t="str">
        <f t="shared" si="20"/>
        <v/>
      </c>
    </row>
    <row r="1293" spans="8:8" x14ac:dyDescent="0.25">
      <c r="H1293" t="str">
        <f t="shared" si="20"/>
        <v/>
      </c>
    </row>
    <row r="1294" spans="8:8" x14ac:dyDescent="0.25">
      <c r="H1294" t="str">
        <f t="shared" si="20"/>
        <v/>
      </c>
    </row>
    <row r="1295" spans="8:8" x14ac:dyDescent="0.25">
      <c r="H1295" t="str">
        <f t="shared" si="20"/>
        <v/>
      </c>
    </row>
    <row r="1296" spans="8:8" x14ac:dyDescent="0.25">
      <c r="H1296" t="str">
        <f t="shared" si="20"/>
        <v/>
      </c>
    </row>
    <row r="1297" spans="8:8" x14ac:dyDescent="0.25">
      <c r="H1297" t="str">
        <f t="shared" si="20"/>
        <v/>
      </c>
    </row>
    <row r="1298" spans="8:8" x14ac:dyDescent="0.25">
      <c r="H1298" t="str">
        <f t="shared" si="20"/>
        <v/>
      </c>
    </row>
    <row r="1299" spans="8:8" x14ac:dyDescent="0.25">
      <c r="H1299" t="str">
        <f t="shared" si="20"/>
        <v/>
      </c>
    </row>
    <row r="1300" spans="8:8" x14ac:dyDescent="0.25">
      <c r="H1300" t="str">
        <f t="shared" si="20"/>
        <v/>
      </c>
    </row>
    <row r="1301" spans="8:8" x14ac:dyDescent="0.25">
      <c r="H1301" t="str">
        <f t="shared" si="20"/>
        <v/>
      </c>
    </row>
    <row r="1302" spans="8:8" x14ac:dyDescent="0.25">
      <c r="H1302" t="str">
        <f t="shared" si="20"/>
        <v/>
      </c>
    </row>
    <row r="1303" spans="8:8" x14ac:dyDescent="0.25">
      <c r="H1303" t="str">
        <f t="shared" si="20"/>
        <v/>
      </c>
    </row>
    <row r="1304" spans="8:8" x14ac:dyDescent="0.25">
      <c r="H1304" t="str">
        <f t="shared" si="20"/>
        <v/>
      </c>
    </row>
    <row r="1305" spans="8:8" x14ac:dyDescent="0.25">
      <c r="H1305" t="str">
        <f t="shared" si="20"/>
        <v/>
      </c>
    </row>
    <row r="1306" spans="8:8" x14ac:dyDescent="0.25">
      <c r="H1306" t="str">
        <f t="shared" si="20"/>
        <v/>
      </c>
    </row>
    <row r="1307" spans="8:8" x14ac:dyDescent="0.25">
      <c r="H1307" t="str">
        <f t="shared" si="20"/>
        <v/>
      </c>
    </row>
    <row r="1308" spans="8:8" x14ac:dyDescent="0.25">
      <c r="H1308" t="str">
        <f t="shared" si="20"/>
        <v/>
      </c>
    </row>
    <row r="1309" spans="8:8" x14ac:dyDescent="0.25">
      <c r="H1309" t="str">
        <f t="shared" si="20"/>
        <v/>
      </c>
    </row>
    <row r="1310" spans="8:8" x14ac:dyDescent="0.25">
      <c r="H1310" t="str">
        <f t="shared" si="20"/>
        <v/>
      </c>
    </row>
    <row r="1311" spans="8:8" x14ac:dyDescent="0.25">
      <c r="H1311" t="str">
        <f t="shared" si="20"/>
        <v/>
      </c>
    </row>
    <row r="1312" spans="8:8" x14ac:dyDescent="0.25">
      <c r="H1312" t="str">
        <f t="shared" si="20"/>
        <v/>
      </c>
    </row>
    <row r="1313" spans="8:8" x14ac:dyDescent="0.25">
      <c r="H1313" t="str">
        <f t="shared" si="20"/>
        <v/>
      </c>
    </row>
    <row r="1314" spans="8:8" x14ac:dyDescent="0.25">
      <c r="H1314" t="str">
        <f t="shared" si="20"/>
        <v/>
      </c>
    </row>
    <row r="1315" spans="8:8" x14ac:dyDescent="0.25">
      <c r="H1315" t="str">
        <f t="shared" si="20"/>
        <v/>
      </c>
    </row>
    <row r="1316" spans="8:8" x14ac:dyDescent="0.25">
      <c r="H1316" t="str">
        <f t="shared" si="20"/>
        <v/>
      </c>
    </row>
    <row r="1317" spans="8:8" x14ac:dyDescent="0.25">
      <c r="H1317" t="str">
        <f t="shared" si="20"/>
        <v/>
      </c>
    </row>
    <row r="1318" spans="8:8" x14ac:dyDescent="0.25">
      <c r="H1318" t="str">
        <f t="shared" si="20"/>
        <v/>
      </c>
    </row>
    <row r="1319" spans="8:8" x14ac:dyDescent="0.25">
      <c r="H1319" t="str">
        <f t="shared" si="20"/>
        <v/>
      </c>
    </row>
    <row r="1320" spans="8:8" x14ac:dyDescent="0.25">
      <c r="H1320" t="str">
        <f t="shared" si="20"/>
        <v/>
      </c>
    </row>
    <row r="1321" spans="8:8" x14ac:dyDescent="0.25">
      <c r="H1321" t="str">
        <f t="shared" si="20"/>
        <v/>
      </c>
    </row>
    <row r="1322" spans="8:8" x14ac:dyDescent="0.25">
      <c r="H1322" t="str">
        <f t="shared" si="20"/>
        <v/>
      </c>
    </row>
    <row r="1323" spans="8:8" x14ac:dyDescent="0.25">
      <c r="H1323" t="str">
        <f t="shared" si="20"/>
        <v/>
      </c>
    </row>
    <row r="1324" spans="8:8" x14ac:dyDescent="0.25">
      <c r="H1324" t="str">
        <f t="shared" si="20"/>
        <v/>
      </c>
    </row>
    <row r="1325" spans="8:8" x14ac:dyDescent="0.25">
      <c r="H1325" t="str">
        <f t="shared" si="20"/>
        <v/>
      </c>
    </row>
    <row r="1326" spans="8:8" x14ac:dyDescent="0.25">
      <c r="H1326" t="str">
        <f t="shared" si="20"/>
        <v/>
      </c>
    </row>
    <row r="1327" spans="8:8" x14ac:dyDescent="0.25">
      <c r="H1327" t="str">
        <f t="shared" si="20"/>
        <v/>
      </c>
    </row>
    <row r="1328" spans="8:8" x14ac:dyDescent="0.25">
      <c r="H1328" t="str">
        <f t="shared" si="20"/>
        <v/>
      </c>
    </row>
    <row r="1329" spans="8:8" x14ac:dyDescent="0.25">
      <c r="H1329" t="str">
        <f t="shared" si="20"/>
        <v/>
      </c>
    </row>
    <row r="1330" spans="8:8" x14ac:dyDescent="0.25">
      <c r="H1330" t="str">
        <f t="shared" si="20"/>
        <v/>
      </c>
    </row>
    <row r="1331" spans="8:8" x14ac:dyDescent="0.25">
      <c r="H1331" t="str">
        <f t="shared" si="20"/>
        <v/>
      </c>
    </row>
    <row r="1332" spans="8:8" x14ac:dyDescent="0.25">
      <c r="H1332" t="str">
        <f t="shared" si="20"/>
        <v/>
      </c>
    </row>
    <row r="1333" spans="8:8" x14ac:dyDescent="0.25">
      <c r="H1333" t="str">
        <f t="shared" si="20"/>
        <v/>
      </c>
    </row>
    <row r="1334" spans="8:8" x14ac:dyDescent="0.25">
      <c r="H1334" t="str">
        <f t="shared" si="20"/>
        <v/>
      </c>
    </row>
    <row r="1335" spans="8:8" x14ac:dyDescent="0.25">
      <c r="H1335" t="str">
        <f t="shared" si="20"/>
        <v/>
      </c>
    </row>
    <row r="1336" spans="8:8" x14ac:dyDescent="0.25">
      <c r="H1336" t="str">
        <f t="shared" si="20"/>
        <v/>
      </c>
    </row>
    <row r="1337" spans="8:8" x14ac:dyDescent="0.25">
      <c r="H1337" t="str">
        <f t="shared" si="20"/>
        <v/>
      </c>
    </row>
    <row r="1338" spans="8:8" x14ac:dyDescent="0.25">
      <c r="H1338" t="str">
        <f t="shared" si="20"/>
        <v/>
      </c>
    </row>
    <row r="1339" spans="8:8" x14ac:dyDescent="0.25">
      <c r="H1339" t="str">
        <f t="shared" si="20"/>
        <v/>
      </c>
    </row>
    <row r="1340" spans="8:8" x14ac:dyDescent="0.25">
      <c r="H1340" t="str">
        <f t="shared" si="20"/>
        <v/>
      </c>
    </row>
    <row r="1341" spans="8:8" x14ac:dyDescent="0.25">
      <c r="H1341" t="str">
        <f t="shared" si="20"/>
        <v/>
      </c>
    </row>
    <row r="1342" spans="8:8" x14ac:dyDescent="0.25">
      <c r="H1342" t="str">
        <f t="shared" si="20"/>
        <v/>
      </c>
    </row>
    <row r="1343" spans="8:8" x14ac:dyDescent="0.25">
      <c r="H1343" t="str">
        <f t="shared" si="20"/>
        <v/>
      </c>
    </row>
    <row r="1344" spans="8:8" x14ac:dyDescent="0.25">
      <c r="H1344" t="str">
        <f t="shared" si="20"/>
        <v/>
      </c>
    </row>
    <row r="1345" spans="8:8" x14ac:dyDescent="0.25">
      <c r="H1345" t="str">
        <f t="shared" si="20"/>
        <v/>
      </c>
    </row>
    <row r="1346" spans="8:8" x14ac:dyDescent="0.25">
      <c r="H1346" t="str">
        <f t="shared" si="20"/>
        <v/>
      </c>
    </row>
    <row r="1347" spans="8:8" x14ac:dyDescent="0.25">
      <c r="H1347" t="str">
        <f t="shared" ref="H1347:H1410" si="21">IFERROR(LN(E1347/E1348),"")</f>
        <v/>
      </c>
    </row>
    <row r="1348" spans="8:8" x14ac:dyDescent="0.25">
      <c r="H1348" t="str">
        <f t="shared" si="21"/>
        <v/>
      </c>
    </row>
    <row r="1349" spans="8:8" x14ac:dyDescent="0.25">
      <c r="H1349" t="str">
        <f t="shared" si="21"/>
        <v/>
      </c>
    </row>
    <row r="1350" spans="8:8" x14ac:dyDescent="0.25">
      <c r="H1350" t="str">
        <f t="shared" si="21"/>
        <v/>
      </c>
    </row>
    <row r="1351" spans="8:8" x14ac:dyDescent="0.25">
      <c r="H1351" t="str">
        <f t="shared" si="21"/>
        <v/>
      </c>
    </row>
    <row r="1352" spans="8:8" x14ac:dyDescent="0.25">
      <c r="H1352" t="str">
        <f t="shared" si="21"/>
        <v/>
      </c>
    </row>
    <row r="1353" spans="8:8" x14ac:dyDescent="0.25">
      <c r="H1353" t="str">
        <f t="shared" si="21"/>
        <v/>
      </c>
    </row>
    <row r="1354" spans="8:8" x14ac:dyDescent="0.25">
      <c r="H1354" t="str">
        <f t="shared" si="21"/>
        <v/>
      </c>
    </row>
    <row r="1355" spans="8:8" x14ac:dyDescent="0.25">
      <c r="H1355" t="str">
        <f t="shared" si="21"/>
        <v/>
      </c>
    </row>
    <row r="1356" spans="8:8" x14ac:dyDescent="0.25">
      <c r="H1356" t="str">
        <f t="shared" si="21"/>
        <v/>
      </c>
    </row>
    <row r="1357" spans="8:8" x14ac:dyDescent="0.25">
      <c r="H1357" t="str">
        <f t="shared" si="21"/>
        <v/>
      </c>
    </row>
    <row r="1358" spans="8:8" x14ac:dyDescent="0.25">
      <c r="H1358" t="str">
        <f t="shared" si="21"/>
        <v/>
      </c>
    </row>
    <row r="1359" spans="8:8" x14ac:dyDescent="0.25">
      <c r="H1359" t="str">
        <f t="shared" si="21"/>
        <v/>
      </c>
    </row>
    <row r="1360" spans="8:8" x14ac:dyDescent="0.25">
      <c r="H1360" t="str">
        <f t="shared" si="21"/>
        <v/>
      </c>
    </row>
    <row r="1361" spans="8:8" x14ac:dyDescent="0.25">
      <c r="H1361" t="str">
        <f t="shared" si="21"/>
        <v/>
      </c>
    </row>
    <row r="1362" spans="8:8" x14ac:dyDescent="0.25">
      <c r="H1362" t="str">
        <f t="shared" si="21"/>
        <v/>
      </c>
    </row>
    <row r="1363" spans="8:8" x14ac:dyDescent="0.25">
      <c r="H1363" t="str">
        <f t="shared" si="21"/>
        <v/>
      </c>
    </row>
    <row r="1364" spans="8:8" x14ac:dyDescent="0.25">
      <c r="H1364" t="str">
        <f t="shared" si="21"/>
        <v/>
      </c>
    </row>
    <row r="1365" spans="8:8" x14ac:dyDescent="0.25">
      <c r="H1365" t="str">
        <f t="shared" si="21"/>
        <v/>
      </c>
    </row>
    <row r="1366" spans="8:8" x14ac:dyDescent="0.25">
      <c r="H1366" t="str">
        <f t="shared" si="21"/>
        <v/>
      </c>
    </row>
    <row r="1367" spans="8:8" x14ac:dyDescent="0.25">
      <c r="H1367" t="str">
        <f t="shared" si="21"/>
        <v/>
      </c>
    </row>
    <row r="1368" spans="8:8" x14ac:dyDescent="0.25">
      <c r="H1368" t="str">
        <f t="shared" si="21"/>
        <v/>
      </c>
    </row>
    <row r="1369" spans="8:8" x14ac:dyDescent="0.25">
      <c r="H1369" t="str">
        <f t="shared" si="21"/>
        <v/>
      </c>
    </row>
    <row r="1370" spans="8:8" x14ac:dyDescent="0.25">
      <c r="H1370" t="str">
        <f t="shared" si="21"/>
        <v/>
      </c>
    </row>
    <row r="1371" spans="8:8" x14ac:dyDescent="0.25">
      <c r="H1371" t="str">
        <f t="shared" si="21"/>
        <v/>
      </c>
    </row>
    <row r="1372" spans="8:8" x14ac:dyDescent="0.25">
      <c r="H1372" t="str">
        <f t="shared" si="21"/>
        <v/>
      </c>
    </row>
    <row r="1373" spans="8:8" x14ac:dyDescent="0.25">
      <c r="H1373" t="str">
        <f t="shared" si="21"/>
        <v/>
      </c>
    </row>
    <row r="1374" spans="8:8" x14ac:dyDescent="0.25">
      <c r="H1374" t="str">
        <f t="shared" si="21"/>
        <v/>
      </c>
    </row>
    <row r="1375" spans="8:8" x14ac:dyDescent="0.25">
      <c r="H1375" t="str">
        <f t="shared" si="21"/>
        <v/>
      </c>
    </row>
    <row r="1376" spans="8:8" x14ac:dyDescent="0.25">
      <c r="H1376" t="str">
        <f t="shared" si="21"/>
        <v/>
      </c>
    </row>
    <row r="1377" spans="8:8" x14ac:dyDescent="0.25">
      <c r="H1377" t="str">
        <f t="shared" si="21"/>
        <v/>
      </c>
    </row>
    <row r="1378" spans="8:8" x14ac:dyDescent="0.25">
      <c r="H1378" t="str">
        <f t="shared" si="21"/>
        <v/>
      </c>
    </row>
    <row r="1379" spans="8:8" x14ac:dyDescent="0.25">
      <c r="H1379" t="str">
        <f t="shared" si="21"/>
        <v/>
      </c>
    </row>
    <row r="1380" spans="8:8" x14ac:dyDescent="0.25">
      <c r="H1380" t="str">
        <f t="shared" si="21"/>
        <v/>
      </c>
    </row>
    <row r="1381" spans="8:8" x14ac:dyDescent="0.25">
      <c r="H1381" t="str">
        <f t="shared" si="21"/>
        <v/>
      </c>
    </row>
    <row r="1382" spans="8:8" x14ac:dyDescent="0.25">
      <c r="H1382" t="str">
        <f t="shared" si="21"/>
        <v/>
      </c>
    </row>
    <row r="1383" spans="8:8" x14ac:dyDescent="0.25">
      <c r="H1383" t="str">
        <f t="shared" si="21"/>
        <v/>
      </c>
    </row>
    <row r="1384" spans="8:8" x14ac:dyDescent="0.25">
      <c r="H1384" t="str">
        <f t="shared" si="21"/>
        <v/>
      </c>
    </row>
    <row r="1385" spans="8:8" x14ac:dyDescent="0.25">
      <c r="H1385" t="str">
        <f t="shared" si="21"/>
        <v/>
      </c>
    </row>
    <row r="1386" spans="8:8" x14ac:dyDescent="0.25">
      <c r="H1386" t="str">
        <f t="shared" si="21"/>
        <v/>
      </c>
    </row>
    <row r="1387" spans="8:8" x14ac:dyDescent="0.25">
      <c r="H1387" t="str">
        <f t="shared" si="21"/>
        <v/>
      </c>
    </row>
    <row r="1388" spans="8:8" x14ac:dyDescent="0.25">
      <c r="H1388" t="str">
        <f t="shared" si="21"/>
        <v/>
      </c>
    </row>
    <row r="1389" spans="8:8" x14ac:dyDescent="0.25">
      <c r="H1389" t="str">
        <f t="shared" si="21"/>
        <v/>
      </c>
    </row>
    <row r="1390" spans="8:8" x14ac:dyDescent="0.25">
      <c r="H1390" t="str">
        <f t="shared" si="21"/>
        <v/>
      </c>
    </row>
    <row r="1391" spans="8:8" x14ac:dyDescent="0.25">
      <c r="H1391" t="str">
        <f t="shared" si="21"/>
        <v/>
      </c>
    </row>
    <row r="1392" spans="8:8" x14ac:dyDescent="0.25">
      <c r="H1392" t="str">
        <f t="shared" si="21"/>
        <v/>
      </c>
    </row>
    <row r="1393" spans="8:8" x14ac:dyDescent="0.25">
      <c r="H1393" t="str">
        <f t="shared" si="21"/>
        <v/>
      </c>
    </row>
    <row r="1394" spans="8:8" x14ac:dyDescent="0.25">
      <c r="H1394" t="str">
        <f t="shared" si="21"/>
        <v/>
      </c>
    </row>
    <row r="1395" spans="8:8" x14ac:dyDescent="0.25">
      <c r="H1395" t="str">
        <f t="shared" si="21"/>
        <v/>
      </c>
    </row>
    <row r="1396" spans="8:8" x14ac:dyDescent="0.25">
      <c r="H1396" t="str">
        <f t="shared" si="21"/>
        <v/>
      </c>
    </row>
    <row r="1397" spans="8:8" x14ac:dyDescent="0.25">
      <c r="H1397" t="str">
        <f t="shared" si="21"/>
        <v/>
      </c>
    </row>
    <row r="1398" spans="8:8" x14ac:dyDescent="0.25">
      <c r="H1398" t="str">
        <f t="shared" si="21"/>
        <v/>
      </c>
    </row>
    <row r="1399" spans="8:8" x14ac:dyDescent="0.25">
      <c r="H1399" t="str">
        <f t="shared" si="21"/>
        <v/>
      </c>
    </row>
    <row r="1400" spans="8:8" x14ac:dyDescent="0.25">
      <c r="H1400" t="str">
        <f t="shared" si="21"/>
        <v/>
      </c>
    </row>
    <row r="1401" spans="8:8" x14ac:dyDescent="0.25">
      <c r="H1401" t="str">
        <f t="shared" si="21"/>
        <v/>
      </c>
    </row>
    <row r="1402" spans="8:8" x14ac:dyDescent="0.25">
      <c r="H1402" t="str">
        <f t="shared" si="21"/>
        <v/>
      </c>
    </row>
    <row r="1403" spans="8:8" x14ac:dyDescent="0.25">
      <c r="H1403" t="str">
        <f t="shared" si="21"/>
        <v/>
      </c>
    </row>
    <row r="1404" spans="8:8" x14ac:dyDescent="0.25">
      <c r="H1404" t="str">
        <f t="shared" si="21"/>
        <v/>
      </c>
    </row>
    <row r="1405" spans="8:8" x14ac:dyDescent="0.25">
      <c r="H1405" t="str">
        <f t="shared" si="21"/>
        <v/>
      </c>
    </row>
    <row r="1406" spans="8:8" x14ac:dyDescent="0.25">
      <c r="H1406" t="str">
        <f t="shared" si="21"/>
        <v/>
      </c>
    </row>
    <row r="1407" spans="8:8" x14ac:dyDescent="0.25">
      <c r="H1407" t="str">
        <f t="shared" si="21"/>
        <v/>
      </c>
    </row>
    <row r="1408" spans="8:8" x14ac:dyDescent="0.25">
      <c r="H1408" t="str">
        <f t="shared" si="21"/>
        <v/>
      </c>
    </row>
    <row r="1409" spans="8:8" x14ac:dyDescent="0.25">
      <c r="H1409" t="str">
        <f t="shared" si="21"/>
        <v/>
      </c>
    </row>
    <row r="1410" spans="8:8" x14ac:dyDescent="0.25">
      <c r="H1410" t="str">
        <f t="shared" si="21"/>
        <v/>
      </c>
    </row>
    <row r="1411" spans="8:8" x14ac:dyDescent="0.25">
      <c r="H1411" t="str">
        <f t="shared" ref="H1411:H1474" si="22">IFERROR(LN(E1411/E1412),"")</f>
        <v/>
      </c>
    </row>
    <row r="1412" spans="8:8" x14ac:dyDescent="0.25">
      <c r="H1412" t="str">
        <f t="shared" si="22"/>
        <v/>
      </c>
    </row>
    <row r="1413" spans="8:8" x14ac:dyDescent="0.25">
      <c r="H1413" t="str">
        <f t="shared" si="22"/>
        <v/>
      </c>
    </row>
    <row r="1414" spans="8:8" x14ac:dyDescent="0.25">
      <c r="H1414" t="str">
        <f t="shared" si="22"/>
        <v/>
      </c>
    </row>
    <row r="1415" spans="8:8" x14ac:dyDescent="0.25">
      <c r="H1415" t="str">
        <f t="shared" si="22"/>
        <v/>
      </c>
    </row>
    <row r="1416" spans="8:8" x14ac:dyDescent="0.25">
      <c r="H1416" t="str">
        <f t="shared" si="22"/>
        <v/>
      </c>
    </row>
    <row r="1417" spans="8:8" x14ac:dyDescent="0.25">
      <c r="H1417" t="str">
        <f t="shared" si="22"/>
        <v/>
      </c>
    </row>
    <row r="1418" spans="8:8" x14ac:dyDescent="0.25">
      <c r="H1418" t="str">
        <f t="shared" si="22"/>
        <v/>
      </c>
    </row>
    <row r="1419" spans="8:8" x14ac:dyDescent="0.25">
      <c r="H1419" t="str">
        <f t="shared" si="22"/>
        <v/>
      </c>
    </row>
    <row r="1420" spans="8:8" x14ac:dyDescent="0.25">
      <c r="H1420" t="str">
        <f t="shared" si="22"/>
        <v/>
      </c>
    </row>
    <row r="1421" spans="8:8" x14ac:dyDescent="0.25">
      <c r="H1421" t="str">
        <f t="shared" si="22"/>
        <v/>
      </c>
    </row>
    <row r="1422" spans="8:8" x14ac:dyDescent="0.25">
      <c r="H1422" t="str">
        <f t="shared" si="22"/>
        <v/>
      </c>
    </row>
    <row r="1423" spans="8:8" x14ac:dyDescent="0.25">
      <c r="H1423" t="str">
        <f t="shared" si="22"/>
        <v/>
      </c>
    </row>
    <row r="1424" spans="8:8" x14ac:dyDescent="0.25">
      <c r="H1424" t="str">
        <f t="shared" si="22"/>
        <v/>
      </c>
    </row>
    <row r="1425" spans="8:8" x14ac:dyDescent="0.25">
      <c r="H1425" t="str">
        <f t="shared" si="22"/>
        <v/>
      </c>
    </row>
    <row r="1426" spans="8:8" x14ac:dyDescent="0.25">
      <c r="H1426" t="str">
        <f t="shared" si="22"/>
        <v/>
      </c>
    </row>
    <row r="1427" spans="8:8" x14ac:dyDescent="0.25">
      <c r="H1427" t="str">
        <f t="shared" si="22"/>
        <v/>
      </c>
    </row>
    <row r="1428" spans="8:8" x14ac:dyDescent="0.25">
      <c r="H1428" t="str">
        <f t="shared" si="22"/>
        <v/>
      </c>
    </row>
    <row r="1429" spans="8:8" x14ac:dyDescent="0.25">
      <c r="H1429" t="str">
        <f t="shared" si="22"/>
        <v/>
      </c>
    </row>
    <row r="1430" spans="8:8" x14ac:dyDescent="0.25">
      <c r="H1430" t="str">
        <f t="shared" si="22"/>
        <v/>
      </c>
    </row>
    <row r="1431" spans="8:8" x14ac:dyDescent="0.25">
      <c r="H1431" t="str">
        <f t="shared" si="22"/>
        <v/>
      </c>
    </row>
    <row r="1432" spans="8:8" x14ac:dyDescent="0.25">
      <c r="H1432" t="str">
        <f t="shared" si="22"/>
        <v/>
      </c>
    </row>
    <row r="1433" spans="8:8" x14ac:dyDescent="0.25">
      <c r="H1433" t="str">
        <f t="shared" si="22"/>
        <v/>
      </c>
    </row>
    <row r="1434" spans="8:8" x14ac:dyDescent="0.25">
      <c r="H1434" t="str">
        <f t="shared" si="22"/>
        <v/>
      </c>
    </row>
    <row r="1435" spans="8:8" x14ac:dyDescent="0.25">
      <c r="H1435" t="str">
        <f t="shared" si="22"/>
        <v/>
      </c>
    </row>
    <row r="1436" spans="8:8" x14ac:dyDescent="0.25">
      <c r="H1436" t="str">
        <f t="shared" si="22"/>
        <v/>
      </c>
    </row>
    <row r="1437" spans="8:8" x14ac:dyDescent="0.25">
      <c r="H1437" t="str">
        <f t="shared" si="22"/>
        <v/>
      </c>
    </row>
    <row r="1438" spans="8:8" x14ac:dyDescent="0.25">
      <c r="H1438" t="str">
        <f t="shared" si="22"/>
        <v/>
      </c>
    </row>
    <row r="1439" spans="8:8" x14ac:dyDescent="0.25">
      <c r="H1439" t="str">
        <f t="shared" si="22"/>
        <v/>
      </c>
    </row>
    <row r="1440" spans="8:8" x14ac:dyDescent="0.25">
      <c r="H1440" t="str">
        <f t="shared" si="22"/>
        <v/>
      </c>
    </row>
    <row r="1441" spans="8:8" x14ac:dyDescent="0.25">
      <c r="H1441" t="str">
        <f t="shared" si="22"/>
        <v/>
      </c>
    </row>
    <row r="1442" spans="8:8" x14ac:dyDescent="0.25">
      <c r="H1442" t="str">
        <f t="shared" si="22"/>
        <v/>
      </c>
    </row>
    <row r="1443" spans="8:8" x14ac:dyDescent="0.25">
      <c r="H1443" t="str">
        <f t="shared" si="22"/>
        <v/>
      </c>
    </row>
    <row r="1444" spans="8:8" x14ac:dyDescent="0.25">
      <c r="H1444" t="str">
        <f t="shared" si="22"/>
        <v/>
      </c>
    </row>
    <row r="1445" spans="8:8" x14ac:dyDescent="0.25">
      <c r="H1445" t="str">
        <f t="shared" si="22"/>
        <v/>
      </c>
    </row>
    <row r="1446" spans="8:8" x14ac:dyDescent="0.25">
      <c r="H1446" t="str">
        <f t="shared" si="22"/>
        <v/>
      </c>
    </row>
    <row r="1447" spans="8:8" x14ac:dyDescent="0.25">
      <c r="H1447" t="str">
        <f t="shared" si="22"/>
        <v/>
      </c>
    </row>
    <row r="1448" spans="8:8" x14ac:dyDescent="0.25">
      <c r="H1448" t="str">
        <f t="shared" si="22"/>
        <v/>
      </c>
    </row>
    <row r="1449" spans="8:8" x14ac:dyDescent="0.25">
      <c r="H1449" t="str">
        <f t="shared" si="22"/>
        <v/>
      </c>
    </row>
    <row r="1450" spans="8:8" x14ac:dyDescent="0.25">
      <c r="H1450" t="str">
        <f t="shared" si="22"/>
        <v/>
      </c>
    </row>
    <row r="1451" spans="8:8" x14ac:dyDescent="0.25">
      <c r="H1451" t="str">
        <f t="shared" si="22"/>
        <v/>
      </c>
    </row>
    <row r="1452" spans="8:8" x14ac:dyDescent="0.25">
      <c r="H1452" t="str">
        <f t="shared" si="22"/>
        <v/>
      </c>
    </row>
    <row r="1453" spans="8:8" x14ac:dyDescent="0.25">
      <c r="H1453" t="str">
        <f t="shared" si="22"/>
        <v/>
      </c>
    </row>
    <row r="1454" spans="8:8" x14ac:dyDescent="0.25">
      <c r="H1454" t="str">
        <f t="shared" si="22"/>
        <v/>
      </c>
    </row>
    <row r="1455" spans="8:8" x14ac:dyDescent="0.25">
      <c r="H1455" t="str">
        <f t="shared" si="22"/>
        <v/>
      </c>
    </row>
    <row r="1456" spans="8:8" x14ac:dyDescent="0.25">
      <c r="H1456" t="str">
        <f t="shared" si="22"/>
        <v/>
      </c>
    </row>
    <row r="1457" spans="8:8" x14ac:dyDescent="0.25">
      <c r="H1457" t="str">
        <f t="shared" si="22"/>
        <v/>
      </c>
    </row>
    <row r="1458" spans="8:8" x14ac:dyDescent="0.25">
      <c r="H1458" t="str">
        <f t="shared" si="22"/>
        <v/>
      </c>
    </row>
    <row r="1459" spans="8:8" x14ac:dyDescent="0.25">
      <c r="H1459" t="str">
        <f t="shared" si="22"/>
        <v/>
      </c>
    </row>
    <row r="1460" spans="8:8" x14ac:dyDescent="0.25">
      <c r="H1460" t="str">
        <f t="shared" si="22"/>
        <v/>
      </c>
    </row>
    <row r="1461" spans="8:8" x14ac:dyDescent="0.25">
      <c r="H1461" t="str">
        <f t="shared" si="22"/>
        <v/>
      </c>
    </row>
    <row r="1462" spans="8:8" x14ac:dyDescent="0.25">
      <c r="H1462" t="str">
        <f t="shared" si="22"/>
        <v/>
      </c>
    </row>
    <row r="1463" spans="8:8" x14ac:dyDescent="0.25">
      <c r="H1463" t="str">
        <f t="shared" si="22"/>
        <v/>
      </c>
    </row>
    <row r="1464" spans="8:8" x14ac:dyDescent="0.25">
      <c r="H1464" t="str">
        <f t="shared" si="22"/>
        <v/>
      </c>
    </row>
    <row r="1465" spans="8:8" x14ac:dyDescent="0.25">
      <c r="H1465" t="str">
        <f t="shared" si="22"/>
        <v/>
      </c>
    </row>
    <row r="1466" spans="8:8" x14ac:dyDescent="0.25">
      <c r="H1466" t="str">
        <f t="shared" si="22"/>
        <v/>
      </c>
    </row>
    <row r="1467" spans="8:8" x14ac:dyDescent="0.25">
      <c r="H1467" t="str">
        <f t="shared" si="22"/>
        <v/>
      </c>
    </row>
    <row r="1468" spans="8:8" x14ac:dyDescent="0.25">
      <c r="H1468" t="str">
        <f t="shared" si="22"/>
        <v/>
      </c>
    </row>
    <row r="1469" spans="8:8" x14ac:dyDescent="0.25">
      <c r="H1469" t="str">
        <f t="shared" si="22"/>
        <v/>
      </c>
    </row>
    <row r="1470" spans="8:8" x14ac:dyDescent="0.25">
      <c r="H1470" t="str">
        <f t="shared" si="22"/>
        <v/>
      </c>
    </row>
    <row r="1471" spans="8:8" x14ac:dyDescent="0.25">
      <c r="H1471" t="str">
        <f t="shared" si="22"/>
        <v/>
      </c>
    </row>
    <row r="1472" spans="8:8" x14ac:dyDescent="0.25">
      <c r="H1472" t="str">
        <f t="shared" si="22"/>
        <v/>
      </c>
    </row>
    <row r="1473" spans="8:8" x14ac:dyDescent="0.25">
      <c r="H1473" t="str">
        <f t="shared" si="22"/>
        <v/>
      </c>
    </row>
    <row r="1474" spans="8:8" x14ac:dyDescent="0.25">
      <c r="H1474" t="str">
        <f t="shared" si="22"/>
        <v/>
      </c>
    </row>
    <row r="1475" spans="8:8" x14ac:dyDescent="0.25">
      <c r="H1475" t="str">
        <f t="shared" ref="H1475:H1538" si="23">IFERROR(LN(E1475/E1476),"")</f>
        <v/>
      </c>
    </row>
    <row r="1476" spans="8:8" x14ac:dyDescent="0.25">
      <c r="H1476" t="str">
        <f t="shared" si="23"/>
        <v/>
      </c>
    </row>
    <row r="1477" spans="8:8" x14ac:dyDescent="0.25">
      <c r="H1477" t="str">
        <f t="shared" si="23"/>
        <v/>
      </c>
    </row>
    <row r="1478" spans="8:8" x14ac:dyDescent="0.25">
      <c r="H1478" t="str">
        <f t="shared" si="23"/>
        <v/>
      </c>
    </row>
    <row r="1479" spans="8:8" x14ac:dyDescent="0.25">
      <c r="H1479" t="str">
        <f t="shared" si="23"/>
        <v/>
      </c>
    </row>
    <row r="1480" spans="8:8" x14ac:dyDescent="0.25">
      <c r="H1480" t="str">
        <f t="shared" si="23"/>
        <v/>
      </c>
    </row>
    <row r="1481" spans="8:8" x14ac:dyDescent="0.25">
      <c r="H1481" t="str">
        <f t="shared" si="23"/>
        <v/>
      </c>
    </row>
    <row r="1482" spans="8:8" x14ac:dyDescent="0.25">
      <c r="H1482" t="str">
        <f t="shared" si="23"/>
        <v/>
      </c>
    </row>
    <row r="1483" spans="8:8" x14ac:dyDescent="0.25">
      <c r="H1483" t="str">
        <f t="shared" si="23"/>
        <v/>
      </c>
    </row>
    <row r="1484" spans="8:8" x14ac:dyDescent="0.25">
      <c r="H1484" t="str">
        <f t="shared" si="23"/>
        <v/>
      </c>
    </row>
    <row r="1485" spans="8:8" x14ac:dyDescent="0.25">
      <c r="H1485" t="str">
        <f t="shared" si="23"/>
        <v/>
      </c>
    </row>
    <row r="1486" spans="8:8" x14ac:dyDescent="0.25">
      <c r="H1486" t="str">
        <f t="shared" si="23"/>
        <v/>
      </c>
    </row>
    <row r="1487" spans="8:8" x14ac:dyDescent="0.25">
      <c r="H1487" t="str">
        <f t="shared" si="23"/>
        <v/>
      </c>
    </row>
    <row r="1488" spans="8:8" x14ac:dyDescent="0.25">
      <c r="H1488" t="str">
        <f t="shared" si="23"/>
        <v/>
      </c>
    </row>
    <row r="1489" spans="8:8" x14ac:dyDescent="0.25">
      <c r="H1489" t="str">
        <f t="shared" si="23"/>
        <v/>
      </c>
    </row>
    <row r="1490" spans="8:8" x14ac:dyDescent="0.25">
      <c r="H1490" t="str">
        <f t="shared" si="23"/>
        <v/>
      </c>
    </row>
    <row r="1491" spans="8:8" x14ac:dyDescent="0.25">
      <c r="H1491" t="str">
        <f t="shared" si="23"/>
        <v/>
      </c>
    </row>
    <row r="1492" spans="8:8" x14ac:dyDescent="0.25">
      <c r="H1492" t="str">
        <f t="shared" si="23"/>
        <v/>
      </c>
    </row>
    <row r="1493" spans="8:8" x14ac:dyDescent="0.25">
      <c r="H1493" t="str">
        <f t="shared" si="23"/>
        <v/>
      </c>
    </row>
    <row r="1494" spans="8:8" x14ac:dyDescent="0.25">
      <c r="H1494" t="str">
        <f t="shared" si="23"/>
        <v/>
      </c>
    </row>
    <row r="1495" spans="8:8" x14ac:dyDescent="0.25">
      <c r="H1495" t="str">
        <f t="shared" si="23"/>
        <v/>
      </c>
    </row>
    <row r="1496" spans="8:8" x14ac:dyDescent="0.25">
      <c r="H1496" t="str">
        <f t="shared" si="23"/>
        <v/>
      </c>
    </row>
    <row r="1497" spans="8:8" x14ac:dyDescent="0.25">
      <c r="H1497" t="str">
        <f t="shared" si="23"/>
        <v/>
      </c>
    </row>
    <row r="1498" spans="8:8" x14ac:dyDescent="0.25">
      <c r="H1498" t="str">
        <f t="shared" si="23"/>
        <v/>
      </c>
    </row>
    <row r="1499" spans="8:8" x14ac:dyDescent="0.25">
      <c r="H1499" t="str">
        <f t="shared" si="23"/>
        <v/>
      </c>
    </row>
    <row r="1500" spans="8:8" x14ac:dyDescent="0.25">
      <c r="H1500" t="str">
        <f t="shared" si="23"/>
        <v/>
      </c>
    </row>
    <row r="1501" spans="8:8" x14ac:dyDescent="0.25">
      <c r="H1501" t="str">
        <f t="shared" si="23"/>
        <v/>
      </c>
    </row>
    <row r="1502" spans="8:8" x14ac:dyDescent="0.25">
      <c r="H1502" t="str">
        <f t="shared" si="23"/>
        <v/>
      </c>
    </row>
    <row r="1503" spans="8:8" x14ac:dyDescent="0.25">
      <c r="H1503" t="str">
        <f t="shared" si="23"/>
        <v/>
      </c>
    </row>
    <row r="1504" spans="8:8" x14ac:dyDescent="0.25">
      <c r="H1504" t="str">
        <f t="shared" si="23"/>
        <v/>
      </c>
    </row>
    <row r="1505" spans="8:8" x14ac:dyDescent="0.25">
      <c r="H1505" t="str">
        <f t="shared" si="23"/>
        <v/>
      </c>
    </row>
    <row r="1506" spans="8:8" x14ac:dyDescent="0.25">
      <c r="H1506" t="str">
        <f t="shared" si="23"/>
        <v/>
      </c>
    </row>
    <row r="1507" spans="8:8" x14ac:dyDescent="0.25">
      <c r="H1507" t="str">
        <f t="shared" si="23"/>
        <v/>
      </c>
    </row>
    <row r="1508" spans="8:8" x14ac:dyDescent="0.25">
      <c r="H1508" t="str">
        <f t="shared" si="23"/>
        <v/>
      </c>
    </row>
    <row r="1509" spans="8:8" x14ac:dyDescent="0.25">
      <c r="H1509" t="str">
        <f t="shared" si="23"/>
        <v/>
      </c>
    </row>
    <row r="1510" spans="8:8" x14ac:dyDescent="0.25">
      <c r="H1510" t="str">
        <f t="shared" si="23"/>
        <v/>
      </c>
    </row>
    <row r="1511" spans="8:8" x14ac:dyDescent="0.25">
      <c r="H1511" t="str">
        <f t="shared" si="23"/>
        <v/>
      </c>
    </row>
    <row r="1512" spans="8:8" x14ac:dyDescent="0.25">
      <c r="H1512" t="str">
        <f t="shared" si="23"/>
        <v/>
      </c>
    </row>
    <row r="1513" spans="8:8" x14ac:dyDescent="0.25">
      <c r="H1513" t="str">
        <f t="shared" si="23"/>
        <v/>
      </c>
    </row>
    <row r="1514" spans="8:8" x14ac:dyDescent="0.25">
      <c r="H1514" t="str">
        <f t="shared" si="23"/>
        <v/>
      </c>
    </row>
    <row r="1515" spans="8:8" x14ac:dyDescent="0.25">
      <c r="H1515" t="str">
        <f t="shared" si="23"/>
        <v/>
      </c>
    </row>
    <row r="1516" spans="8:8" x14ac:dyDescent="0.25">
      <c r="H1516" t="str">
        <f t="shared" si="23"/>
        <v/>
      </c>
    </row>
    <row r="1517" spans="8:8" x14ac:dyDescent="0.25">
      <c r="H1517" t="str">
        <f t="shared" si="23"/>
        <v/>
      </c>
    </row>
    <row r="1518" spans="8:8" x14ac:dyDescent="0.25">
      <c r="H1518" t="str">
        <f t="shared" si="23"/>
        <v/>
      </c>
    </row>
    <row r="1519" spans="8:8" x14ac:dyDescent="0.25">
      <c r="H1519" t="str">
        <f t="shared" si="23"/>
        <v/>
      </c>
    </row>
    <row r="1520" spans="8:8" x14ac:dyDescent="0.25">
      <c r="H1520" t="str">
        <f t="shared" si="23"/>
        <v/>
      </c>
    </row>
    <row r="1521" spans="8:8" x14ac:dyDescent="0.25">
      <c r="H1521" t="str">
        <f t="shared" si="23"/>
        <v/>
      </c>
    </row>
    <row r="1522" spans="8:8" x14ac:dyDescent="0.25">
      <c r="H1522" t="str">
        <f t="shared" si="23"/>
        <v/>
      </c>
    </row>
    <row r="1523" spans="8:8" x14ac:dyDescent="0.25">
      <c r="H1523" t="str">
        <f t="shared" si="23"/>
        <v/>
      </c>
    </row>
    <row r="1524" spans="8:8" x14ac:dyDescent="0.25">
      <c r="H1524" t="str">
        <f t="shared" si="23"/>
        <v/>
      </c>
    </row>
    <row r="1525" spans="8:8" x14ac:dyDescent="0.25">
      <c r="H1525" t="str">
        <f t="shared" si="23"/>
        <v/>
      </c>
    </row>
    <row r="1526" spans="8:8" x14ac:dyDescent="0.25">
      <c r="H1526" t="str">
        <f t="shared" si="23"/>
        <v/>
      </c>
    </row>
    <row r="1527" spans="8:8" x14ac:dyDescent="0.25">
      <c r="H1527" t="str">
        <f t="shared" si="23"/>
        <v/>
      </c>
    </row>
    <row r="1528" spans="8:8" x14ac:dyDescent="0.25">
      <c r="H1528" t="str">
        <f t="shared" si="23"/>
        <v/>
      </c>
    </row>
    <row r="1529" spans="8:8" x14ac:dyDescent="0.25">
      <c r="H1529" t="str">
        <f t="shared" si="23"/>
        <v/>
      </c>
    </row>
    <row r="1530" spans="8:8" x14ac:dyDescent="0.25">
      <c r="H1530" t="str">
        <f t="shared" si="23"/>
        <v/>
      </c>
    </row>
    <row r="1531" spans="8:8" x14ac:dyDescent="0.25">
      <c r="H1531" t="str">
        <f t="shared" si="23"/>
        <v/>
      </c>
    </row>
    <row r="1532" spans="8:8" x14ac:dyDescent="0.25">
      <c r="H1532" t="str">
        <f t="shared" si="23"/>
        <v/>
      </c>
    </row>
    <row r="1533" spans="8:8" x14ac:dyDescent="0.25">
      <c r="H1533" t="str">
        <f t="shared" si="23"/>
        <v/>
      </c>
    </row>
    <row r="1534" spans="8:8" x14ac:dyDescent="0.25">
      <c r="H1534" t="str">
        <f t="shared" si="23"/>
        <v/>
      </c>
    </row>
    <row r="1535" spans="8:8" x14ac:dyDescent="0.25">
      <c r="H1535" t="str">
        <f t="shared" si="23"/>
        <v/>
      </c>
    </row>
    <row r="1536" spans="8:8" x14ac:dyDescent="0.25">
      <c r="H1536" t="str">
        <f t="shared" si="23"/>
        <v/>
      </c>
    </row>
    <row r="1537" spans="8:8" x14ac:dyDescent="0.25">
      <c r="H1537" t="str">
        <f t="shared" si="23"/>
        <v/>
      </c>
    </row>
    <row r="1538" spans="8:8" x14ac:dyDescent="0.25">
      <c r="H1538" t="str">
        <f t="shared" si="23"/>
        <v/>
      </c>
    </row>
    <row r="1539" spans="8:8" x14ac:dyDescent="0.25">
      <c r="H1539" t="str">
        <f t="shared" ref="H1539:H1602" si="24">IFERROR(LN(E1539/E1540),"")</f>
        <v/>
      </c>
    </row>
    <row r="1540" spans="8:8" x14ac:dyDescent="0.25">
      <c r="H1540" t="str">
        <f t="shared" si="24"/>
        <v/>
      </c>
    </row>
    <row r="1541" spans="8:8" x14ac:dyDescent="0.25">
      <c r="H1541" t="str">
        <f t="shared" si="24"/>
        <v/>
      </c>
    </row>
    <row r="1542" spans="8:8" x14ac:dyDescent="0.25">
      <c r="H1542" t="str">
        <f t="shared" si="24"/>
        <v/>
      </c>
    </row>
    <row r="1543" spans="8:8" x14ac:dyDescent="0.25">
      <c r="H1543" t="str">
        <f t="shared" si="24"/>
        <v/>
      </c>
    </row>
    <row r="1544" spans="8:8" x14ac:dyDescent="0.25">
      <c r="H1544" t="str">
        <f t="shared" si="24"/>
        <v/>
      </c>
    </row>
    <row r="1545" spans="8:8" x14ac:dyDescent="0.25">
      <c r="H1545" t="str">
        <f t="shared" si="24"/>
        <v/>
      </c>
    </row>
    <row r="1546" spans="8:8" x14ac:dyDescent="0.25">
      <c r="H1546" t="str">
        <f t="shared" si="24"/>
        <v/>
      </c>
    </row>
    <row r="1547" spans="8:8" x14ac:dyDescent="0.25">
      <c r="H1547" t="str">
        <f t="shared" si="24"/>
        <v/>
      </c>
    </row>
    <row r="1548" spans="8:8" x14ac:dyDescent="0.25">
      <c r="H1548" t="str">
        <f t="shared" si="24"/>
        <v/>
      </c>
    </row>
    <row r="1549" spans="8:8" x14ac:dyDescent="0.25">
      <c r="H1549" t="str">
        <f t="shared" si="24"/>
        <v/>
      </c>
    </row>
    <row r="1550" spans="8:8" x14ac:dyDescent="0.25">
      <c r="H1550" t="str">
        <f t="shared" si="24"/>
        <v/>
      </c>
    </row>
    <row r="1551" spans="8:8" x14ac:dyDescent="0.25">
      <c r="H1551" t="str">
        <f t="shared" si="24"/>
        <v/>
      </c>
    </row>
    <row r="1552" spans="8:8" x14ac:dyDescent="0.25">
      <c r="H1552" t="str">
        <f t="shared" si="24"/>
        <v/>
      </c>
    </row>
    <row r="1553" spans="8:8" x14ac:dyDescent="0.25">
      <c r="H1553" t="str">
        <f t="shared" si="24"/>
        <v/>
      </c>
    </row>
    <row r="1554" spans="8:8" x14ac:dyDescent="0.25">
      <c r="H1554" t="str">
        <f t="shared" si="24"/>
        <v/>
      </c>
    </row>
    <row r="1555" spans="8:8" x14ac:dyDescent="0.25">
      <c r="H1555" t="str">
        <f t="shared" si="24"/>
        <v/>
      </c>
    </row>
    <row r="1556" spans="8:8" x14ac:dyDescent="0.25">
      <c r="H1556" t="str">
        <f t="shared" si="24"/>
        <v/>
      </c>
    </row>
    <row r="1557" spans="8:8" x14ac:dyDescent="0.25">
      <c r="H1557" t="str">
        <f t="shared" si="24"/>
        <v/>
      </c>
    </row>
    <row r="1558" spans="8:8" x14ac:dyDescent="0.25">
      <c r="H1558" t="str">
        <f t="shared" si="24"/>
        <v/>
      </c>
    </row>
    <row r="1559" spans="8:8" x14ac:dyDescent="0.25">
      <c r="H1559" t="str">
        <f t="shared" si="24"/>
        <v/>
      </c>
    </row>
    <row r="1560" spans="8:8" x14ac:dyDescent="0.25">
      <c r="H1560" t="str">
        <f t="shared" si="24"/>
        <v/>
      </c>
    </row>
    <row r="1561" spans="8:8" x14ac:dyDescent="0.25">
      <c r="H1561" t="str">
        <f t="shared" si="24"/>
        <v/>
      </c>
    </row>
    <row r="1562" spans="8:8" x14ac:dyDescent="0.25">
      <c r="H1562" t="str">
        <f t="shared" si="24"/>
        <v/>
      </c>
    </row>
    <row r="1563" spans="8:8" x14ac:dyDescent="0.25">
      <c r="H1563" t="str">
        <f t="shared" si="24"/>
        <v/>
      </c>
    </row>
    <row r="1564" spans="8:8" x14ac:dyDescent="0.25">
      <c r="H1564" t="str">
        <f t="shared" si="24"/>
        <v/>
      </c>
    </row>
    <row r="1565" spans="8:8" x14ac:dyDescent="0.25">
      <c r="H1565" t="str">
        <f t="shared" si="24"/>
        <v/>
      </c>
    </row>
    <row r="1566" spans="8:8" x14ac:dyDescent="0.25">
      <c r="H1566" t="str">
        <f t="shared" si="24"/>
        <v/>
      </c>
    </row>
    <row r="1567" spans="8:8" x14ac:dyDescent="0.25">
      <c r="H1567" t="str">
        <f t="shared" si="24"/>
        <v/>
      </c>
    </row>
    <row r="1568" spans="8:8" x14ac:dyDescent="0.25">
      <c r="H1568" t="str">
        <f t="shared" si="24"/>
        <v/>
      </c>
    </row>
    <row r="1569" spans="8:8" x14ac:dyDescent="0.25">
      <c r="H1569" t="str">
        <f t="shared" si="24"/>
        <v/>
      </c>
    </row>
    <row r="1570" spans="8:8" x14ac:dyDescent="0.25">
      <c r="H1570" t="str">
        <f t="shared" si="24"/>
        <v/>
      </c>
    </row>
    <row r="1571" spans="8:8" x14ac:dyDescent="0.25">
      <c r="H1571" t="str">
        <f t="shared" si="24"/>
        <v/>
      </c>
    </row>
    <row r="1572" spans="8:8" x14ac:dyDescent="0.25">
      <c r="H1572" t="str">
        <f t="shared" si="24"/>
        <v/>
      </c>
    </row>
    <row r="1573" spans="8:8" x14ac:dyDescent="0.25">
      <c r="H1573" t="str">
        <f t="shared" si="24"/>
        <v/>
      </c>
    </row>
    <row r="1574" spans="8:8" x14ac:dyDescent="0.25">
      <c r="H1574" t="str">
        <f t="shared" si="24"/>
        <v/>
      </c>
    </row>
    <row r="1575" spans="8:8" x14ac:dyDescent="0.25">
      <c r="H1575" t="str">
        <f t="shared" si="24"/>
        <v/>
      </c>
    </row>
    <row r="1576" spans="8:8" x14ac:dyDescent="0.25">
      <c r="H1576" t="str">
        <f t="shared" si="24"/>
        <v/>
      </c>
    </row>
    <row r="1577" spans="8:8" x14ac:dyDescent="0.25">
      <c r="H1577" t="str">
        <f t="shared" si="24"/>
        <v/>
      </c>
    </row>
    <row r="1578" spans="8:8" x14ac:dyDescent="0.25">
      <c r="H1578" t="str">
        <f t="shared" si="24"/>
        <v/>
      </c>
    </row>
    <row r="1579" spans="8:8" x14ac:dyDescent="0.25">
      <c r="H1579" t="str">
        <f t="shared" si="24"/>
        <v/>
      </c>
    </row>
    <row r="1580" spans="8:8" x14ac:dyDescent="0.25">
      <c r="H1580" t="str">
        <f t="shared" si="24"/>
        <v/>
      </c>
    </row>
    <row r="1581" spans="8:8" x14ac:dyDescent="0.25">
      <c r="H1581" t="str">
        <f t="shared" si="24"/>
        <v/>
      </c>
    </row>
    <row r="1582" spans="8:8" x14ac:dyDescent="0.25">
      <c r="H1582" t="str">
        <f t="shared" si="24"/>
        <v/>
      </c>
    </row>
    <row r="1583" spans="8:8" x14ac:dyDescent="0.25">
      <c r="H1583" t="str">
        <f t="shared" si="24"/>
        <v/>
      </c>
    </row>
    <row r="1584" spans="8:8" x14ac:dyDescent="0.25">
      <c r="H1584" t="str">
        <f t="shared" si="24"/>
        <v/>
      </c>
    </row>
    <row r="1585" spans="8:8" x14ac:dyDescent="0.25">
      <c r="H1585" t="str">
        <f t="shared" si="24"/>
        <v/>
      </c>
    </row>
    <row r="1586" spans="8:8" x14ac:dyDescent="0.25">
      <c r="H1586" t="str">
        <f t="shared" si="24"/>
        <v/>
      </c>
    </row>
    <row r="1587" spans="8:8" x14ac:dyDescent="0.25">
      <c r="H1587" t="str">
        <f t="shared" si="24"/>
        <v/>
      </c>
    </row>
    <row r="1588" spans="8:8" x14ac:dyDescent="0.25">
      <c r="H1588" t="str">
        <f t="shared" si="24"/>
        <v/>
      </c>
    </row>
    <row r="1589" spans="8:8" x14ac:dyDescent="0.25">
      <c r="H1589" t="str">
        <f t="shared" si="24"/>
        <v/>
      </c>
    </row>
    <row r="1590" spans="8:8" x14ac:dyDescent="0.25">
      <c r="H1590" t="str">
        <f t="shared" si="24"/>
        <v/>
      </c>
    </row>
    <row r="1591" spans="8:8" x14ac:dyDescent="0.25">
      <c r="H1591" t="str">
        <f t="shared" si="24"/>
        <v/>
      </c>
    </row>
    <row r="1592" spans="8:8" x14ac:dyDescent="0.25">
      <c r="H1592" t="str">
        <f t="shared" si="24"/>
        <v/>
      </c>
    </row>
    <row r="1593" spans="8:8" x14ac:dyDescent="0.25">
      <c r="H1593" t="str">
        <f t="shared" si="24"/>
        <v/>
      </c>
    </row>
    <row r="1594" spans="8:8" x14ac:dyDescent="0.25">
      <c r="H1594" t="str">
        <f t="shared" si="24"/>
        <v/>
      </c>
    </row>
    <row r="1595" spans="8:8" x14ac:dyDescent="0.25">
      <c r="H1595" t="str">
        <f t="shared" si="24"/>
        <v/>
      </c>
    </row>
    <row r="1596" spans="8:8" x14ac:dyDescent="0.25">
      <c r="H1596" t="str">
        <f t="shared" si="24"/>
        <v/>
      </c>
    </row>
    <row r="1597" spans="8:8" x14ac:dyDescent="0.25">
      <c r="H1597" t="str">
        <f t="shared" si="24"/>
        <v/>
      </c>
    </row>
    <row r="1598" spans="8:8" x14ac:dyDescent="0.25">
      <c r="H1598" t="str">
        <f t="shared" si="24"/>
        <v/>
      </c>
    </row>
    <row r="1599" spans="8:8" x14ac:dyDescent="0.25">
      <c r="H1599" t="str">
        <f t="shared" si="24"/>
        <v/>
      </c>
    </row>
    <row r="1600" spans="8:8" x14ac:dyDescent="0.25">
      <c r="H1600" t="str">
        <f t="shared" si="24"/>
        <v/>
      </c>
    </row>
    <row r="1601" spans="8:8" x14ac:dyDescent="0.25">
      <c r="H1601" t="str">
        <f t="shared" si="24"/>
        <v/>
      </c>
    </row>
    <row r="1602" spans="8:8" x14ac:dyDescent="0.25">
      <c r="H1602" t="str">
        <f t="shared" si="24"/>
        <v/>
      </c>
    </row>
    <row r="1603" spans="8:8" x14ac:dyDescent="0.25">
      <c r="H1603" t="str">
        <f t="shared" ref="H1603:H1666" si="25">IFERROR(LN(E1603/E1604),"")</f>
        <v/>
      </c>
    </row>
    <row r="1604" spans="8:8" x14ac:dyDescent="0.25">
      <c r="H1604" t="str">
        <f t="shared" si="25"/>
        <v/>
      </c>
    </row>
    <row r="1605" spans="8:8" x14ac:dyDescent="0.25">
      <c r="H1605" t="str">
        <f t="shared" si="25"/>
        <v/>
      </c>
    </row>
    <row r="1606" spans="8:8" x14ac:dyDescent="0.25">
      <c r="H1606" t="str">
        <f t="shared" si="25"/>
        <v/>
      </c>
    </row>
    <row r="1607" spans="8:8" x14ac:dyDescent="0.25">
      <c r="H1607" t="str">
        <f t="shared" si="25"/>
        <v/>
      </c>
    </row>
    <row r="1608" spans="8:8" x14ac:dyDescent="0.25">
      <c r="H1608" t="str">
        <f t="shared" si="25"/>
        <v/>
      </c>
    </row>
    <row r="1609" spans="8:8" x14ac:dyDescent="0.25">
      <c r="H1609" t="str">
        <f t="shared" si="25"/>
        <v/>
      </c>
    </row>
    <row r="1610" spans="8:8" x14ac:dyDescent="0.25">
      <c r="H1610" t="str">
        <f t="shared" si="25"/>
        <v/>
      </c>
    </row>
    <row r="1611" spans="8:8" x14ac:dyDescent="0.25">
      <c r="H1611" t="str">
        <f t="shared" si="25"/>
        <v/>
      </c>
    </row>
    <row r="1612" spans="8:8" x14ac:dyDescent="0.25">
      <c r="H1612" t="str">
        <f t="shared" si="25"/>
        <v/>
      </c>
    </row>
    <row r="1613" spans="8:8" x14ac:dyDescent="0.25">
      <c r="H1613" t="str">
        <f t="shared" si="25"/>
        <v/>
      </c>
    </row>
    <row r="1614" spans="8:8" x14ac:dyDescent="0.25">
      <c r="H1614" t="str">
        <f t="shared" si="25"/>
        <v/>
      </c>
    </row>
    <row r="1615" spans="8:8" x14ac:dyDescent="0.25">
      <c r="H1615" t="str">
        <f t="shared" si="25"/>
        <v/>
      </c>
    </row>
    <row r="1616" spans="8:8" x14ac:dyDescent="0.25">
      <c r="H1616" t="str">
        <f t="shared" si="25"/>
        <v/>
      </c>
    </row>
    <row r="1617" spans="8:8" x14ac:dyDescent="0.25">
      <c r="H1617" t="str">
        <f t="shared" si="25"/>
        <v/>
      </c>
    </row>
    <row r="1618" spans="8:8" x14ac:dyDescent="0.25">
      <c r="H1618" t="str">
        <f t="shared" si="25"/>
        <v/>
      </c>
    </row>
    <row r="1619" spans="8:8" x14ac:dyDescent="0.25">
      <c r="H1619" t="str">
        <f t="shared" si="25"/>
        <v/>
      </c>
    </row>
    <row r="1620" spans="8:8" x14ac:dyDescent="0.25">
      <c r="H1620" t="str">
        <f t="shared" si="25"/>
        <v/>
      </c>
    </row>
    <row r="1621" spans="8:8" x14ac:dyDescent="0.25">
      <c r="H1621" t="str">
        <f t="shared" si="25"/>
        <v/>
      </c>
    </row>
    <row r="1622" spans="8:8" x14ac:dyDescent="0.25">
      <c r="H1622" t="str">
        <f t="shared" si="25"/>
        <v/>
      </c>
    </row>
    <row r="1623" spans="8:8" x14ac:dyDescent="0.25">
      <c r="H1623" t="str">
        <f t="shared" si="25"/>
        <v/>
      </c>
    </row>
    <row r="1624" spans="8:8" x14ac:dyDescent="0.25">
      <c r="H1624" t="str">
        <f t="shared" si="25"/>
        <v/>
      </c>
    </row>
    <row r="1625" spans="8:8" x14ac:dyDescent="0.25">
      <c r="H1625" t="str">
        <f t="shared" si="25"/>
        <v/>
      </c>
    </row>
    <row r="1626" spans="8:8" x14ac:dyDescent="0.25">
      <c r="H1626" t="str">
        <f t="shared" si="25"/>
        <v/>
      </c>
    </row>
    <row r="1627" spans="8:8" x14ac:dyDescent="0.25">
      <c r="H1627" t="str">
        <f t="shared" si="25"/>
        <v/>
      </c>
    </row>
    <row r="1628" spans="8:8" x14ac:dyDescent="0.25">
      <c r="H1628" t="str">
        <f t="shared" si="25"/>
        <v/>
      </c>
    </row>
    <row r="1629" spans="8:8" x14ac:dyDescent="0.25">
      <c r="H1629" t="str">
        <f t="shared" si="25"/>
        <v/>
      </c>
    </row>
    <row r="1630" spans="8:8" x14ac:dyDescent="0.25">
      <c r="H1630" t="str">
        <f t="shared" si="25"/>
        <v/>
      </c>
    </row>
    <row r="1631" spans="8:8" x14ac:dyDescent="0.25">
      <c r="H1631" t="str">
        <f t="shared" si="25"/>
        <v/>
      </c>
    </row>
    <row r="1632" spans="8:8" x14ac:dyDescent="0.25">
      <c r="H1632" t="str">
        <f t="shared" si="25"/>
        <v/>
      </c>
    </row>
    <row r="1633" spans="8:8" x14ac:dyDescent="0.25">
      <c r="H1633" t="str">
        <f t="shared" si="25"/>
        <v/>
      </c>
    </row>
    <row r="1634" spans="8:8" x14ac:dyDescent="0.25">
      <c r="H1634" t="str">
        <f t="shared" si="25"/>
        <v/>
      </c>
    </row>
    <row r="1635" spans="8:8" x14ac:dyDescent="0.25">
      <c r="H1635" t="str">
        <f t="shared" si="25"/>
        <v/>
      </c>
    </row>
    <row r="1636" spans="8:8" x14ac:dyDescent="0.25">
      <c r="H1636" t="str">
        <f t="shared" si="25"/>
        <v/>
      </c>
    </row>
    <row r="1637" spans="8:8" x14ac:dyDescent="0.25">
      <c r="H1637" t="str">
        <f t="shared" si="25"/>
        <v/>
      </c>
    </row>
    <row r="1638" spans="8:8" x14ac:dyDescent="0.25">
      <c r="H1638" t="str">
        <f t="shared" si="25"/>
        <v/>
      </c>
    </row>
    <row r="1639" spans="8:8" x14ac:dyDescent="0.25">
      <c r="H1639" t="str">
        <f t="shared" si="25"/>
        <v/>
      </c>
    </row>
    <row r="1640" spans="8:8" x14ac:dyDescent="0.25">
      <c r="H1640" t="str">
        <f t="shared" si="25"/>
        <v/>
      </c>
    </row>
    <row r="1641" spans="8:8" x14ac:dyDescent="0.25">
      <c r="H1641" t="str">
        <f t="shared" si="25"/>
        <v/>
      </c>
    </row>
    <row r="1642" spans="8:8" x14ac:dyDescent="0.25">
      <c r="H1642" t="str">
        <f t="shared" si="25"/>
        <v/>
      </c>
    </row>
    <row r="1643" spans="8:8" x14ac:dyDescent="0.25">
      <c r="H1643" t="str">
        <f t="shared" si="25"/>
        <v/>
      </c>
    </row>
    <row r="1644" spans="8:8" x14ac:dyDescent="0.25">
      <c r="H1644" t="str">
        <f t="shared" si="25"/>
        <v/>
      </c>
    </row>
    <row r="1645" spans="8:8" x14ac:dyDescent="0.25">
      <c r="H1645" t="str">
        <f t="shared" si="25"/>
        <v/>
      </c>
    </row>
    <row r="1646" spans="8:8" x14ac:dyDescent="0.25">
      <c r="H1646" t="str">
        <f t="shared" si="25"/>
        <v/>
      </c>
    </row>
    <row r="1647" spans="8:8" x14ac:dyDescent="0.25">
      <c r="H1647" t="str">
        <f t="shared" si="25"/>
        <v/>
      </c>
    </row>
    <row r="1648" spans="8:8" x14ac:dyDescent="0.25">
      <c r="H1648" t="str">
        <f t="shared" si="25"/>
        <v/>
      </c>
    </row>
    <row r="1649" spans="8:8" x14ac:dyDescent="0.25">
      <c r="H1649" t="str">
        <f t="shared" si="25"/>
        <v/>
      </c>
    </row>
    <row r="1650" spans="8:8" x14ac:dyDescent="0.25">
      <c r="H1650" t="str">
        <f t="shared" si="25"/>
        <v/>
      </c>
    </row>
    <row r="1651" spans="8:8" x14ac:dyDescent="0.25">
      <c r="H1651" t="str">
        <f t="shared" si="25"/>
        <v/>
      </c>
    </row>
    <row r="1652" spans="8:8" x14ac:dyDescent="0.25">
      <c r="H1652" t="str">
        <f t="shared" si="25"/>
        <v/>
      </c>
    </row>
    <row r="1653" spans="8:8" x14ac:dyDescent="0.25">
      <c r="H1653" t="str">
        <f t="shared" si="25"/>
        <v/>
      </c>
    </row>
    <row r="1654" spans="8:8" x14ac:dyDescent="0.25">
      <c r="H1654" t="str">
        <f t="shared" si="25"/>
        <v/>
      </c>
    </row>
    <row r="1655" spans="8:8" x14ac:dyDescent="0.25">
      <c r="H1655" t="str">
        <f t="shared" si="25"/>
        <v/>
      </c>
    </row>
    <row r="1656" spans="8:8" x14ac:dyDescent="0.25">
      <c r="H1656" t="str">
        <f t="shared" si="25"/>
        <v/>
      </c>
    </row>
    <row r="1657" spans="8:8" x14ac:dyDescent="0.25">
      <c r="H1657" t="str">
        <f t="shared" si="25"/>
        <v/>
      </c>
    </row>
    <row r="1658" spans="8:8" x14ac:dyDescent="0.25">
      <c r="H1658" t="str">
        <f t="shared" si="25"/>
        <v/>
      </c>
    </row>
    <row r="1659" spans="8:8" x14ac:dyDescent="0.25">
      <c r="H1659" t="str">
        <f t="shared" si="25"/>
        <v/>
      </c>
    </row>
    <row r="1660" spans="8:8" x14ac:dyDescent="0.25">
      <c r="H1660" t="str">
        <f t="shared" si="25"/>
        <v/>
      </c>
    </row>
    <row r="1661" spans="8:8" x14ac:dyDescent="0.25">
      <c r="H1661" t="str">
        <f t="shared" si="25"/>
        <v/>
      </c>
    </row>
    <row r="1662" spans="8:8" x14ac:dyDescent="0.25">
      <c r="H1662" t="str">
        <f t="shared" si="25"/>
        <v/>
      </c>
    </row>
    <row r="1663" spans="8:8" x14ac:dyDescent="0.25">
      <c r="H1663" t="str">
        <f t="shared" si="25"/>
        <v/>
      </c>
    </row>
    <row r="1664" spans="8:8" x14ac:dyDescent="0.25">
      <c r="H1664" t="str">
        <f t="shared" si="25"/>
        <v/>
      </c>
    </row>
    <row r="1665" spans="8:8" x14ac:dyDescent="0.25">
      <c r="H1665" t="str">
        <f t="shared" si="25"/>
        <v/>
      </c>
    </row>
    <row r="1666" spans="8:8" x14ac:dyDescent="0.25">
      <c r="H1666" t="str">
        <f t="shared" si="25"/>
        <v/>
      </c>
    </row>
    <row r="1667" spans="8:8" x14ac:dyDescent="0.25">
      <c r="H1667" t="str">
        <f t="shared" ref="H1667:H1730" si="26">IFERROR(LN(E1667/E1668),"")</f>
        <v/>
      </c>
    </row>
    <row r="1668" spans="8:8" x14ac:dyDescent="0.25">
      <c r="H1668" t="str">
        <f t="shared" si="26"/>
        <v/>
      </c>
    </row>
    <row r="1669" spans="8:8" x14ac:dyDescent="0.25">
      <c r="H1669" t="str">
        <f t="shared" si="26"/>
        <v/>
      </c>
    </row>
    <row r="1670" spans="8:8" x14ac:dyDescent="0.25">
      <c r="H1670" t="str">
        <f t="shared" si="26"/>
        <v/>
      </c>
    </row>
    <row r="1671" spans="8:8" x14ac:dyDescent="0.25">
      <c r="H1671" t="str">
        <f t="shared" si="26"/>
        <v/>
      </c>
    </row>
    <row r="1672" spans="8:8" x14ac:dyDescent="0.25">
      <c r="H1672" t="str">
        <f t="shared" si="26"/>
        <v/>
      </c>
    </row>
    <row r="1673" spans="8:8" x14ac:dyDescent="0.25">
      <c r="H1673" t="str">
        <f t="shared" si="26"/>
        <v/>
      </c>
    </row>
    <row r="1674" spans="8:8" x14ac:dyDescent="0.25">
      <c r="H1674" t="str">
        <f t="shared" si="26"/>
        <v/>
      </c>
    </row>
    <row r="1675" spans="8:8" x14ac:dyDescent="0.25">
      <c r="H1675" t="str">
        <f t="shared" si="26"/>
        <v/>
      </c>
    </row>
    <row r="1676" spans="8:8" x14ac:dyDescent="0.25">
      <c r="H1676" t="str">
        <f t="shared" si="26"/>
        <v/>
      </c>
    </row>
    <row r="1677" spans="8:8" x14ac:dyDescent="0.25">
      <c r="H1677" t="str">
        <f t="shared" si="26"/>
        <v/>
      </c>
    </row>
    <row r="1678" spans="8:8" x14ac:dyDescent="0.25">
      <c r="H1678" t="str">
        <f t="shared" si="26"/>
        <v/>
      </c>
    </row>
    <row r="1679" spans="8:8" x14ac:dyDescent="0.25">
      <c r="H1679" t="str">
        <f t="shared" si="26"/>
        <v/>
      </c>
    </row>
    <row r="1680" spans="8:8" x14ac:dyDescent="0.25">
      <c r="H1680" t="str">
        <f t="shared" si="26"/>
        <v/>
      </c>
    </row>
    <row r="1681" spans="8:8" x14ac:dyDescent="0.25">
      <c r="H1681" t="str">
        <f t="shared" si="26"/>
        <v/>
      </c>
    </row>
    <row r="1682" spans="8:8" x14ac:dyDescent="0.25">
      <c r="H1682" t="str">
        <f t="shared" si="26"/>
        <v/>
      </c>
    </row>
    <row r="1683" spans="8:8" x14ac:dyDescent="0.25">
      <c r="H1683" t="str">
        <f t="shared" si="26"/>
        <v/>
      </c>
    </row>
    <row r="1684" spans="8:8" x14ac:dyDescent="0.25">
      <c r="H1684" t="str">
        <f t="shared" si="26"/>
        <v/>
      </c>
    </row>
    <row r="1685" spans="8:8" x14ac:dyDescent="0.25">
      <c r="H1685" t="str">
        <f t="shared" si="26"/>
        <v/>
      </c>
    </row>
    <row r="1686" spans="8:8" x14ac:dyDescent="0.25">
      <c r="H1686" t="str">
        <f t="shared" si="26"/>
        <v/>
      </c>
    </row>
    <row r="1687" spans="8:8" x14ac:dyDescent="0.25">
      <c r="H1687" t="str">
        <f t="shared" si="26"/>
        <v/>
      </c>
    </row>
    <row r="1688" spans="8:8" x14ac:dyDescent="0.25">
      <c r="H1688" t="str">
        <f t="shared" si="26"/>
        <v/>
      </c>
    </row>
    <row r="1689" spans="8:8" x14ac:dyDescent="0.25">
      <c r="H1689" t="str">
        <f t="shared" si="26"/>
        <v/>
      </c>
    </row>
    <row r="1690" spans="8:8" x14ac:dyDescent="0.25">
      <c r="H1690" t="str">
        <f t="shared" si="26"/>
        <v/>
      </c>
    </row>
    <row r="1691" spans="8:8" x14ac:dyDescent="0.25">
      <c r="H1691" t="str">
        <f t="shared" si="26"/>
        <v/>
      </c>
    </row>
    <row r="1692" spans="8:8" x14ac:dyDescent="0.25">
      <c r="H1692" t="str">
        <f t="shared" si="26"/>
        <v/>
      </c>
    </row>
    <row r="1693" spans="8:8" x14ac:dyDescent="0.25">
      <c r="H1693" t="str">
        <f t="shared" si="26"/>
        <v/>
      </c>
    </row>
    <row r="1694" spans="8:8" x14ac:dyDescent="0.25">
      <c r="H1694" t="str">
        <f t="shared" si="26"/>
        <v/>
      </c>
    </row>
    <row r="1695" spans="8:8" x14ac:dyDescent="0.25">
      <c r="H1695" t="str">
        <f t="shared" si="26"/>
        <v/>
      </c>
    </row>
    <row r="1696" spans="8:8" x14ac:dyDescent="0.25">
      <c r="H1696" t="str">
        <f t="shared" si="26"/>
        <v/>
      </c>
    </row>
    <row r="1697" spans="8:8" x14ac:dyDescent="0.25">
      <c r="H1697" t="str">
        <f t="shared" si="26"/>
        <v/>
      </c>
    </row>
    <row r="1698" spans="8:8" x14ac:dyDescent="0.25">
      <c r="H1698" t="str">
        <f t="shared" si="26"/>
        <v/>
      </c>
    </row>
    <row r="1699" spans="8:8" x14ac:dyDescent="0.25">
      <c r="H1699" t="str">
        <f t="shared" si="26"/>
        <v/>
      </c>
    </row>
    <row r="1700" spans="8:8" x14ac:dyDescent="0.25">
      <c r="H1700" t="str">
        <f t="shared" si="26"/>
        <v/>
      </c>
    </row>
    <row r="1701" spans="8:8" x14ac:dyDescent="0.25">
      <c r="H1701" t="str">
        <f t="shared" si="26"/>
        <v/>
      </c>
    </row>
    <row r="1702" spans="8:8" x14ac:dyDescent="0.25">
      <c r="H1702" t="str">
        <f t="shared" si="26"/>
        <v/>
      </c>
    </row>
    <row r="1703" spans="8:8" x14ac:dyDescent="0.25">
      <c r="H1703" t="str">
        <f t="shared" si="26"/>
        <v/>
      </c>
    </row>
    <row r="1704" spans="8:8" x14ac:dyDescent="0.25">
      <c r="H1704" t="str">
        <f t="shared" si="26"/>
        <v/>
      </c>
    </row>
    <row r="1705" spans="8:8" x14ac:dyDescent="0.25">
      <c r="H1705" t="str">
        <f t="shared" si="26"/>
        <v/>
      </c>
    </row>
    <row r="1706" spans="8:8" x14ac:dyDescent="0.25">
      <c r="H1706" t="str">
        <f t="shared" si="26"/>
        <v/>
      </c>
    </row>
    <row r="1707" spans="8:8" x14ac:dyDescent="0.25">
      <c r="H1707" t="str">
        <f t="shared" si="26"/>
        <v/>
      </c>
    </row>
    <row r="1708" spans="8:8" x14ac:dyDescent="0.25">
      <c r="H1708" t="str">
        <f t="shared" si="26"/>
        <v/>
      </c>
    </row>
    <row r="1709" spans="8:8" x14ac:dyDescent="0.25">
      <c r="H1709" t="str">
        <f t="shared" si="26"/>
        <v/>
      </c>
    </row>
    <row r="1710" spans="8:8" x14ac:dyDescent="0.25">
      <c r="H1710" t="str">
        <f t="shared" si="26"/>
        <v/>
      </c>
    </row>
    <row r="1711" spans="8:8" x14ac:dyDescent="0.25">
      <c r="H1711" t="str">
        <f t="shared" si="26"/>
        <v/>
      </c>
    </row>
    <row r="1712" spans="8:8" x14ac:dyDescent="0.25">
      <c r="H1712" t="str">
        <f t="shared" si="26"/>
        <v/>
      </c>
    </row>
    <row r="1713" spans="8:8" x14ac:dyDescent="0.25">
      <c r="H1713" t="str">
        <f t="shared" si="26"/>
        <v/>
      </c>
    </row>
    <row r="1714" spans="8:8" x14ac:dyDescent="0.25">
      <c r="H1714" t="str">
        <f t="shared" si="26"/>
        <v/>
      </c>
    </row>
    <row r="1715" spans="8:8" x14ac:dyDescent="0.25">
      <c r="H1715" t="str">
        <f t="shared" si="26"/>
        <v/>
      </c>
    </row>
    <row r="1716" spans="8:8" x14ac:dyDescent="0.25">
      <c r="H1716" t="str">
        <f t="shared" si="26"/>
        <v/>
      </c>
    </row>
    <row r="1717" spans="8:8" x14ac:dyDescent="0.25">
      <c r="H1717" t="str">
        <f t="shared" si="26"/>
        <v/>
      </c>
    </row>
    <row r="1718" spans="8:8" x14ac:dyDescent="0.25">
      <c r="H1718" t="str">
        <f t="shared" si="26"/>
        <v/>
      </c>
    </row>
    <row r="1719" spans="8:8" x14ac:dyDescent="0.25">
      <c r="H1719" t="str">
        <f t="shared" si="26"/>
        <v/>
      </c>
    </row>
    <row r="1720" spans="8:8" x14ac:dyDescent="0.25">
      <c r="H1720" t="str">
        <f t="shared" si="26"/>
        <v/>
      </c>
    </row>
    <row r="1721" spans="8:8" x14ac:dyDescent="0.25">
      <c r="H1721" t="str">
        <f t="shared" si="26"/>
        <v/>
      </c>
    </row>
    <row r="1722" spans="8:8" x14ac:dyDescent="0.25">
      <c r="H1722" t="str">
        <f t="shared" si="26"/>
        <v/>
      </c>
    </row>
    <row r="1723" spans="8:8" x14ac:dyDescent="0.25">
      <c r="H1723" t="str">
        <f t="shared" si="26"/>
        <v/>
      </c>
    </row>
    <row r="1724" spans="8:8" x14ac:dyDescent="0.25">
      <c r="H1724" t="str">
        <f t="shared" si="26"/>
        <v/>
      </c>
    </row>
    <row r="1725" spans="8:8" x14ac:dyDescent="0.25">
      <c r="H1725" t="str">
        <f t="shared" si="26"/>
        <v/>
      </c>
    </row>
    <row r="1726" spans="8:8" x14ac:dyDescent="0.25">
      <c r="H1726" t="str">
        <f t="shared" si="26"/>
        <v/>
      </c>
    </row>
    <row r="1727" spans="8:8" x14ac:dyDescent="0.25">
      <c r="H1727" t="str">
        <f t="shared" si="26"/>
        <v/>
      </c>
    </row>
    <row r="1728" spans="8:8" x14ac:dyDescent="0.25">
      <c r="H1728" t="str">
        <f t="shared" si="26"/>
        <v/>
      </c>
    </row>
    <row r="1729" spans="8:8" x14ac:dyDescent="0.25">
      <c r="H1729" t="str">
        <f t="shared" si="26"/>
        <v/>
      </c>
    </row>
    <row r="1730" spans="8:8" x14ac:dyDescent="0.25">
      <c r="H1730" t="str">
        <f t="shared" si="26"/>
        <v/>
      </c>
    </row>
    <row r="1731" spans="8:8" x14ac:dyDescent="0.25">
      <c r="H1731" t="str">
        <f t="shared" ref="H1731:H1794" si="27">IFERROR(LN(E1731/E1732),"")</f>
        <v/>
      </c>
    </row>
    <row r="1732" spans="8:8" x14ac:dyDescent="0.25">
      <c r="H1732" t="str">
        <f t="shared" si="27"/>
        <v/>
      </c>
    </row>
    <row r="1733" spans="8:8" x14ac:dyDescent="0.25">
      <c r="H1733" t="str">
        <f t="shared" si="27"/>
        <v/>
      </c>
    </row>
    <row r="1734" spans="8:8" x14ac:dyDescent="0.25">
      <c r="H1734" t="str">
        <f t="shared" si="27"/>
        <v/>
      </c>
    </row>
    <row r="1735" spans="8:8" x14ac:dyDescent="0.25">
      <c r="H1735" t="str">
        <f t="shared" si="27"/>
        <v/>
      </c>
    </row>
    <row r="1736" spans="8:8" x14ac:dyDescent="0.25">
      <c r="H1736" t="str">
        <f t="shared" si="27"/>
        <v/>
      </c>
    </row>
    <row r="1737" spans="8:8" x14ac:dyDescent="0.25">
      <c r="H1737" t="str">
        <f t="shared" si="27"/>
        <v/>
      </c>
    </row>
    <row r="1738" spans="8:8" x14ac:dyDescent="0.25">
      <c r="H1738" t="str">
        <f t="shared" si="27"/>
        <v/>
      </c>
    </row>
    <row r="1739" spans="8:8" x14ac:dyDescent="0.25">
      <c r="H1739" t="str">
        <f t="shared" si="27"/>
        <v/>
      </c>
    </row>
    <row r="1740" spans="8:8" x14ac:dyDescent="0.25">
      <c r="H1740" t="str">
        <f t="shared" si="27"/>
        <v/>
      </c>
    </row>
    <row r="1741" spans="8:8" x14ac:dyDescent="0.25">
      <c r="H1741" t="str">
        <f t="shared" si="27"/>
        <v/>
      </c>
    </row>
    <row r="1742" spans="8:8" x14ac:dyDescent="0.25">
      <c r="H1742" t="str">
        <f t="shared" si="27"/>
        <v/>
      </c>
    </row>
    <row r="1743" spans="8:8" x14ac:dyDescent="0.25">
      <c r="H1743" t="str">
        <f t="shared" si="27"/>
        <v/>
      </c>
    </row>
    <row r="1744" spans="8:8" x14ac:dyDescent="0.25">
      <c r="H1744" t="str">
        <f t="shared" si="27"/>
        <v/>
      </c>
    </row>
    <row r="1745" spans="8:8" x14ac:dyDescent="0.25">
      <c r="H1745" t="str">
        <f t="shared" si="27"/>
        <v/>
      </c>
    </row>
    <row r="1746" spans="8:8" x14ac:dyDescent="0.25">
      <c r="H1746" t="str">
        <f t="shared" si="27"/>
        <v/>
      </c>
    </row>
    <row r="1747" spans="8:8" x14ac:dyDescent="0.25">
      <c r="H1747" t="str">
        <f t="shared" si="27"/>
        <v/>
      </c>
    </row>
    <row r="1748" spans="8:8" x14ac:dyDescent="0.25">
      <c r="H1748" t="str">
        <f t="shared" si="27"/>
        <v/>
      </c>
    </row>
    <row r="1749" spans="8:8" x14ac:dyDescent="0.25">
      <c r="H1749" t="str">
        <f t="shared" si="27"/>
        <v/>
      </c>
    </row>
    <row r="1750" spans="8:8" x14ac:dyDescent="0.25">
      <c r="H1750" t="str">
        <f t="shared" si="27"/>
        <v/>
      </c>
    </row>
    <row r="1751" spans="8:8" x14ac:dyDescent="0.25">
      <c r="H1751" t="str">
        <f t="shared" si="27"/>
        <v/>
      </c>
    </row>
    <row r="1752" spans="8:8" x14ac:dyDescent="0.25">
      <c r="H1752" t="str">
        <f t="shared" si="27"/>
        <v/>
      </c>
    </row>
    <row r="1753" spans="8:8" x14ac:dyDescent="0.25">
      <c r="H1753" t="str">
        <f t="shared" si="27"/>
        <v/>
      </c>
    </row>
    <row r="1754" spans="8:8" x14ac:dyDescent="0.25">
      <c r="H1754" t="str">
        <f t="shared" si="27"/>
        <v/>
      </c>
    </row>
    <row r="1755" spans="8:8" x14ac:dyDescent="0.25">
      <c r="H1755" t="str">
        <f t="shared" si="27"/>
        <v/>
      </c>
    </row>
    <row r="1756" spans="8:8" x14ac:dyDescent="0.25">
      <c r="H1756" t="str">
        <f t="shared" si="27"/>
        <v/>
      </c>
    </row>
    <row r="1757" spans="8:8" x14ac:dyDescent="0.25">
      <c r="H1757" t="str">
        <f t="shared" si="27"/>
        <v/>
      </c>
    </row>
    <row r="1758" spans="8:8" x14ac:dyDescent="0.25">
      <c r="H1758" t="str">
        <f t="shared" si="27"/>
        <v/>
      </c>
    </row>
    <row r="1759" spans="8:8" x14ac:dyDescent="0.25">
      <c r="H1759" t="str">
        <f t="shared" si="27"/>
        <v/>
      </c>
    </row>
    <row r="1760" spans="8:8" x14ac:dyDescent="0.25">
      <c r="H1760" t="str">
        <f t="shared" si="27"/>
        <v/>
      </c>
    </row>
    <row r="1761" spans="8:8" x14ac:dyDescent="0.25">
      <c r="H1761" t="str">
        <f t="shared" si="27"/>
        <v/>
      </c>
    </row>
    <row r="1762" spans="8:8" x14ac:dyDescent="0.25">
      <c r="H1762" t="str">
        <f t="shared" si="27"/>
        <v/>
      </c>
    </row>
    <row r="1763" spans="8:8" x14ac:dyDescent="0.25">
      <c r="H1763" t="str">
        <f t="shared" si="27"/>
        <v/>
      </c>
    </row>
    <row r="1764" spans="8:8" x14ac:dyDescent="0.25">
      <c r="H1764" t="str">
        <f t="shared" si="27"/>
        <v/>
      </c>
    </row>
    <row r="1765" spans="8:8" x14ac:dyDescent="0.25">
      <c r="H1765" t="str">
        <f t="shared" si="27"/>
        <v/>
      </c>
    </row>
    <row r="1766" spans="8:8" x14ac:dyDescent="0.25">
      <c r="H1766" t="str">
        <f t="shared" si="27"/>
        <v/>
      </c>
    </row>
    <row r="1767" spans="8:8" x14ac:dyDescent="0.25">
      <c r="H1767" t="str">
        <f t="shared" si="27"/>
        <v/>
      </c>
    </row>
    <row r="1768" spans="8:8" x14ac:dyDescent="0.25">
      <c r="H1768" t="str">
        <f t="shared" si="27"/>
        <v/>
      </c>
    </row>
    <row r="1769" spans="8:8" x14ac:dyDescent="0.25">
      <c r="H1769" t="str">
        <f t="shared" si="27"/>
        <v/>
      </c>
    </row>
    <row r="1770" spans="8:8" x14ac:dyDescent="0.25">
      <c r="H1770" t="str">
        <f t="shared" si="27"/>
        <v/>
      </c>
    </row>
    <row r="1771" spans="8:8" x14ac:dyDescent="0.25">
      <c r="H1771" t="str">
        <f t="shared" si="27"/>
        <v/>
      </c>
    </row>
    <row r="1772" spans="8:8" x14ac:dyDescent="0.25">
      <c r="H1772" t="str">
        <f t="shared" si="27"/>
        <v/>
      </c>
    </row>
    <row r="1773" spans="8:8" x14ac:dyDescent="0.25">
      <c r="H1773" t="str">
        <f t="shared" si="27"/>
        <v/>
      </c>
    </row>
    <row r="1774" spans="8:8" x14ac:dyDescent="0.25">
      <c r="H1774" t="str">
        <f t="shared" si="27"/>
        <v/>
      </c>
    </row>
    <row r="1775" spans="8:8" x14ac:dyDescent="0.25">
      <c r="H1775" t="str">
        <f t="shared" si="27"/>
        <v/>
      </c>
    </row>
    <row r="1776" spans="8:8" x14ac:dyDescent="0.25">
      <c r="H1776" t="str">
        <f t="shared" si="27"/>
        <v/>
      </c>
    </row>
    <row r="1777" spans="8:8" x14ac:dyDescent="0.25">
      <c r="H1777" t="str">
        <f t="shared" si="27"/>
        <v/>
      </c>
    </row>
    <row r="1778" spans="8:8" x14ac:dyDescent="0.25">
      <c r="H1778" t="str">
        <f t="shared" si="27"/>
        <v/>
      </c>
    </row>
    <row r="1779" spans="8:8" x14ac:dyDescent="0.25">
      <c r="H1779" t="str">
        <f t="shared" si="27"/>
        <v/>
      </c>
    </row>
    <row r="1780" spans="8:8" x14ac:dyDescent="0.25">
      <c r="H1780" t="str">
        <f t="shared" si="27"/>
        <v/>
      </c>
    </row>
    <row r="1781" spans="8:8" x14ac:dyDescent="0.25">
      <c r="H1781" t="str">
        <f t="shared" si="27"/>
        <v/>
      </c>
    </row>
    <row r="1782" spans="8:8" x14ac:dyDescent="0.25">
      <c r="H1782" t="str">
        <f t="shared" si="27"/>
        <v/>
      </c>
    </row>
    <row r="1783" spans="8:8" x14ac:dyDescent="0.25">
      <c r="H1783" t="str">
        <f t="shared" si="27"/>
        <v/>
      </c>
    </row>
    <row r="1784" spans="8:8" x14ac:dyDescent="0.25">
      <c r="H1784" t="str">
        <f t="shared" si="27"/>
        <v/>
      </c>
    </row>
    <row r="1785" spans="8:8" x14ac:dyDescent="0.25">
      <c r="H1785" t="str">
        <f t="shared" si="27"/>
        <v/>
      </c>
    </row>
    <row r="1786" spans="8:8" x14ac:dyDescent="0.25">
      <c r="H1786" t="str">
        <f t="shared" si="27"/>
        <v/>
      </c>
    </row>
    <row r="1787" spans="8:8" x14ac:dyDescent="0.25">
      <c r="H1787" t="str">
        <f t="shared" si="27"/>
        <v/>
      </c>
    </row>
    <row r="1788" spans="8:8" x14ac:dyDescent="0.25">
      <c r="H1788" t="str">
        <f t="shared" si="27"/>
        <v/>
      </c>
    </row>
    <row r="1789" spans="8:8" x14ac:dyDescent="0.25">
      <c r="H1789" t="str">
        <f t="shared" si="27"/>
        <v/>
      </c>
    </row>
    <row r="1790" spans="8:8" x14ac:dyDescent="0.25">
      <c r="H1790" t="str">
        <f t="shared" si="27"/>
        <v/>
      </c>
    </row>
    <row r="1791" spans="8:8" x14ac:dyDescent="0.25">
      <c r="H1791" t="str">
        <f t="shared" si="27"/>
        <v/>
      </c>
    </row>
    <row r="1792" spans="8:8" x14ac:dyDescent="0.25">
      <c r="H1792" t="str">
        <f t="shared" si="27"/>
        <v/>
      </c>
    </row>
    <row r="1793" spans="8:8" x14ac:dyDescent="0.25">
      <c r="H1793" t="str">
        <f t="shared" si="27"/>
        <v/>
      </c>
    </row>
    <row r="1794" spans="8:8" x14ac:dyDescent="0.25">
      <c r="H1794" t="str">
        <f t="shared" si="27"/>
        <v/>
      </c>
    </row>
    <row r="1795" spans="8:8" x14ac:dyDescent="0.25">
      <c r="H1795" t="str">
        <f t="shared" ref="H1795:H1858" si="28">IFERROR(LN(E1795/E1796),"")</f>
        <v/>
      </c>
    </row>
    <row r="1796" spans="8:8" x14ac:dyDescent="0.25">
      <c r="H1796" t="str">
        <f t="shared" si="28"/>
        <v/>
      </c>
    </row>
    <row r="1797" spans="8:8" x14ac:dyDescent="0.25">
      <c r="H1797" t="str">
        <f t="shared" si="28"/>
        <v/>
      </c>
    </row>
    <row r="1798" spans="8:8" x14ac:dyDescent="0.25">
      <c r="H1798" t="str">
        <f t="shared" si="28"/>
        <v/>
      </c>
    </row>
    <row r="1799" spans="8:8" x14ac:dyDescent="0.25">
      <c r="H1799" t="str">
        <f t="shared" si="28"/>
        <v/>
      </c>
    </row>
    <row r="1800" spans="8:8" x14ac:dyDescent="0.25">
      <c r="H1800" t="str">
        <f t="shared" si="28"/>
        <v/>
      </c>
    </row>
    <row r="1801" spans="8:8" x14ac:dyDescent="0.25">
      <c r="H1801" t="str">
        <f t="shared" si="28"/>
        <v/>
      </c>
    </row>
    <row r="1802" spans="8:8" x14ac:dyDescent="0.25">
      <c r="H1802" t="str">
        <f t="shared" si="28"/>
        <v/>
      </c>
    </row>
    <row r="1803" spans="8:8" x14ac:dyDescent="0.25">
      <c r="H1803" t="str">
        <f t="shared" si="28"/>
        <v/>
      </c>
    </row>
    <row r="1804" spans="8:8" x14ac:dyDescent="0.25">
      <c r="H1804" t="str">
        <f t="shared" si="28"/>
        <v/>
      </c>
    </row>
    <row r="1805" spans="8:8" x14ac:dyDescent="0.25">
      <c r="H1805" t="str">
        <f t="shared" si="28"/>
        <v/>
      </c>
    </row>
    <row r="1806" spans="8:8" x14ac:dyDescent="0.25">
      <c r="H1806" t="str">
        <f t="shared" si="28"/>
        <v/>
      </c>
    </row>
    <row r="1807" spans="8:8" x14ac:dyDescent="0.25">
      <c r="H1807" t="str">
        <f t="shared" si="28"/>
        <v/>
      </c>
    </row>
    <row r="1808" spans="8:8" x14ac:dyDescent="0.25">
      <c r="H1808" t="str">
        <f t="shared" si="28"/>
        <v/>
      </c>
    </row>
    <row r="1809" spans="8:8" x14ac:dyDescent="0.25">
      <c r="H1809" t="str">
        <f t="shared" si="28"/>
        <v/>
      </c>
    </row>
    <row r="1810" spans="8:8" x14ac:dyDescent="0.25">
      <c r="H1810" t="str">
        <f t="shared" si="28"/>
        <v/>
      </c>
    </row>
    <row r="1811" spans="8:8" x14ac:dyDescent="0.25">
      <c r="H1811" t="str">
        <f t="shared" si="28"/>
        <v/>
      </c>
    </row>
    <row r="1812" spans="8:8" x14ac:dyDescent="0.25">
      <c r="H1812" t="str">
        <f t="shared" si="28"/>
        <v/>
      </c>
    </row>
    <row r="1813" spans="8:8" x14ac:dyDescent="0.25">
      <c r="H1813" t="str">
        <f t="shared" si="28"/>
        <v/>
      </c>
    </row>
    <row r="1814" spans="8:8" x14ac:dyDescent="0.25">
      <c r="H1814" t="str">
        <f t="shared" si="28"/>
        <v/>
      </c>
    </row>
    <row r="1815" spans="8:8" x14ac:dyDescent="0.25">
      <c r="H1815" t="str">
        <f t="shared" si="28"/>
        <v/>
      </c>
    </row>
    <row r="1816" spans="8:8" x14ac:dyDescent="0.25">
      <c r="H1816" t="str">
        <f t="shared" si="28"/>
        <v/>
      </c>
    </row>
    <row r="1817" spans="8:8" x14ac:dyDescent="0.25">
      <c r="H1817" t="str">
        <f t="shared" si="28"/>
        <v/>
      </c>
    </row>
    <row r="1818" spans="8:8" x14ac:dyDescent="0.25">
      <c r="H1818" t="str">
        <f t="shared" si="28"/>
        <v/>
      </c>
    </row>
    <row r="1819" spans="8:8" x14ac:dyDescent="0.25">
      <c r="H1819" t="str">
        <f t="shared" si="28"/>
        <v/>
      </c>
    </row>
    <row r="1820" spans="8:8" x14ac:dyDescent="0.25">
      <c r="H1820" t="str">
        <f t="shared" si="28"/>
        <v/>
      </c>
    </row>
    <row r="1821" spans="8:8" x14ac:dyDescent="0.25">
      <c r="H1821" t="str">
        <f t="shared" si="28"/>
        <v/>
      </c>
    </row>
    <row r="1822" spans="8:8" x14ac:dyDescent="0.25">
      <c r="H1822" t="str">
        <f t="shared" si="28"/>
        <v/>
      </c>
    </row>
    <row r="1823" spans="8:8" x14ac:dyDescent="0.25">
      <c r="H1823" t="str">
        <f t="shared" si="28"/>
        <v/>
      </c>
    </row>
    <row r="1824" spans="8:8" x14ac:dyDescent="0.25">
      <c r="H1824" t="str">
        <f t="shared" si="28"/>
        <v/>
      </c>
    </row>
    <row r="1825" spans="8:8" x14ac:dyDescent="0.25">
      <c r="H1825" t="str">
        <f t="shared" si="28"/>
        <v/>
      </c>
    </row>
    <row r="1826" spans="8:8" x14ac:dyDescent="0.25">
      <c r="H1826" t="str">
        <f t="shared" si="28"/>
        <v/>
      </c>
    </row>
    <row r="1827" spans="8:8" x14ac:dyDescent="0.25">
      <c r="H1827" t="str">
        <f t="shared" si="28"/>
        <v/>
      </c>
    </row>
    <row r="1828" spans="8:8" x14ac:dyDescent="0.25">
      <c r="H1828" t="str">
        <f t="shared" si="28"/>
        <v/>
      </c>
    </row>
    <row r="1829" spans="8:8" x14ac:dyDescent="0.25">
      <c r="H1829" t="str">
        <f t="shared" si="28"/>
        <v/>
      </c>
    </row>
    <row r="1830" spans="8:8" x14ac:dyDescent="0.25">
      <c r="H1830" t="str">
        <f t="shared" si="28"/>
        <v/>
      </c>
    </row>
    <row r="1831" spans="8:8" x14ac:dyDescent="0.25">
      <c r="H1831" t="str">
        <f t="shared" si="28"/>
        <v/>
      </c>
    </row>
    <row r="1832" spans="8:8" x14ac:dyDescent="0.25">
      <c r="H1832" t="str">
        <f t="shared" si="28"/>
        <v/>
      </c>
    </row>
    <row r="1833" spans="8:8" x14ac:dyDescent="0.25">
      <c r="H1833" t="str">
        <f t="shared" si="28"/>
        <v/>
      </c>
    </row>
    <row r="1834" spans="8:8" x14ac:dyDescent="0.25">
      <c r="H1834" t="str">
        <f t="shared" si="28"/>
        <v/>
      </c>
    </row>
    <row r="1835" spans="8:8" x14ac:dyDescent="0.25">
      <c r="H1835" t="str">
        <f t="shared" si="28"/>
        <v/>
      </c>
    </row>
    <row r="1836" spans="8:8" x14ac:dyDescent="0.25">
      <c r="H1836" t="str">
        <f t="shared" si="28"/>
        <v/>
      </c>
    </row>
    <row r="1837" spans="8:8" x14ac:dyDescent="0.25">
      <c r="H1837" t="str">
        <f t="shared" si="28"/>
        <v/>
      </c>
    </row>
    <row r="1838" spans="8:8" x14ac:dyDescent="0.25">
      <c r="H1838" t="str">
        <f t="shared" si="28"/>
        <v/>
      </c>
    </row>
    <row r="1839" spans="8:8" x14ac:dyDescent="0.25">
      <c r="H1839" t="str">
        <f t="shared" si="28"/>
        <v/>
      </c>
    </row>
    <row r="1840" spans="8:8" x14ac:dyDescent="0.25">
      <c r="H1840" t="str">
        <f t="shared" si="28"/>
        <v/>
      </c>
    </row>
    <row r="1841" spans="8:8" x14ac:dyDescent="0.25">
      <c r="H1841" t="str">
        <f t="shared" si="28"/>
        <v/>
      </c>
    </row>
    <row r="1842" spans="8:8" x14ac:dyDescent="0.25">
      <c r="H1842" t="str">
        <f t="shared" si="28"/>
        <v/>
      </c>
    </row>
    <row r="1843" spans="8:8" x14ac:dyDescent="0.25">
      <c r="H1843" t="str">
        <f t="shared" si="28"/>
        <v/>
      </c>
    </row>
    <row r="1844" spans="8:8" x14ac:dyDescent="0.25">
      <c r="H1844" t="str">
        <f t="shared" si="28"/>
        <v/>
      </c>
    </row>
    <row r="1845" spans="8:8" x14ac:dyDescent="0.25">
      <c r="H1845" t="str">
        <f t="shared" si="28"/>
        <v/>
      </c>
    </row>
    <row r="1846" spans="8:8" x14ac:dyDescent="0.25">
      <c r="H1846" t="str">
        <f t="shared" si="28"/>
        <v/>
      </c>
    </row>
    <row r="1847" spans="8:8" x14ac:dyDescent="0.25">
      <c r="H1847" t="str">
        <f t="shared" si="28"/>
        <v/>
      </c>
    </row>
    <row r="1848" spans="8:8" x14ac:dyDescent="0.25">
      <c r="H1848" t="str">
        <f t="shared" si="28"/>
        <v/>
      </c>
    </row>
    <row r="1849" spans="8:8" x14ac:dyDescent="0.25">
      <c r="H1849" t="str">
        <f t="shared" si="28"/>
        <v/>
      </c>
    </row>
    <row r="1850" spans="8:8" x14ac:dyDescent="0.25">
      <c r="H1850" t="str">
        <f t="shared" si="28"/>
        <v/>
      </c>
    </row>
    <row r="1851" spans="8:8" x14ac:dyDescent="0.25">
      <c r="H1851" t="str">
        <f t="shared" si="28"/>
        <v/>
      </c>
    </row>
    <row r="1852" spans="8:8" x14ac:dyDescent="0.25">
      <c r="H1852" t="str">
        <f t="shared" si="28"/>
        <v/>
      </c>
    </row>
    <row r="1853" spans="8:8" x14ac:dyDescent="0.25">
      <c r="H1853" t="str">
        <f t="shared" si="28"/>
        <v/>
      </c>
    </row>
    <row r="1854" spans="8:8" x14ac:dyDescent="0.25">
      <c r="H1854" t="str">
        <f t="shared" si="28"/>
        <v/>
      </c>
    </row>
    <row r="1855" spans="8:8" x14ac:dyDescent="0.25">
      <c r="H1855" t="str">
        <f t="shared" si="28"/>
        <v/>
      </c>
    </row>
    <row r="1856" spans="8:8" x14ac:dyDescent="0.25">
      <c r="H1856" t="str">
        <f t="shared" si="28"/>
        <v/>
      </c>
    </row>
    <row r="1857" spans="8:8" x14ac:dyDescent="0.25">
      <c r="H1857" t="str">
        <f t="shared" si="28"/>
        <v/>
      </c>
    </row>
    <row r="1858" spans="8:8" x14ac:dyDescent="0.25">
      <c r="H1858" t="str">
        <f t="shared" si="28"/>
        <v/>
      </c>
    </row>
    <row r="1859" spans="8:8" x14ac:dyDescent="0.25">
      <c r="H1859" t="str">
        <f t="shared" ref="H1859:H1922" si="29">IFERROR(LN(E1859/E1860),"")</f>
        <v/>
      </c>
    </row>
    <row r="1860" spans="8:8" x14ac:dyDescent="0.25">
      <c r="H1860" t="str">
        <f t="shared" si="29"/>
        <v/>
      </c>
    </row>
    <row r="1861" spans="8:8" x14ac:dyDescent="0.25">
      <c r="H1861" t="str">
        <f t="shared" si="29"/>
        <v/>
      </c>
    </row>
    <row r="1862" spans="8:8" x14ac:dyDescent="0.25">
      <c r="H1862" t="str">
        <f t="shared" si="29"/>
        <v/>
      </c>
    </row>
    <row r="1863" spans="8:8" x14ac:dyDescent="0.25">
      <c r="H1863" t="str">
        <f t="shared" si="29"/>
        <v/>
      </c>
    </row>
    <row r="1864" spans="8:8" x14ac:dyDescent="0.25">
      <c r="H1864" t="str">
        <f t="shared" si="29"/>
        <v/>
      </c>
    </row>
    <row r="1865" spans="8:8" x14ac:dyDescent="0.25">
      <c r="H1865" t="str">
        <f t="shared" si="29"/>
        <v/>
      </c>
    </row>
    <row r="1866" spans="8:8" x14ac:dyDescent="0.25">
      <c r="H1866" t="str">
        <f t="shared" si="29"/>
        <v/>
      </c>
    </row>
    <row r="1867" spans="8:8" x14ac:dyDescent="0.25">
      <c r="H1867" t="str">
        <f t="shared" si="29"/>
        <v/>
      </c>
    </row>
    <row r="1868" spans="8:8" x14ac:dyDescent="0.25">
      <c r="H1868" t="str">
        <f t="shared" si="29"/>
        <v/>
      </c>
    </row>
    <row r="1869" spans="8:8" x14ac:dyDescent="0.25">
      <c r="H1869" t="str">
        <f t="shared" si="29"/>
        <v/>
      </c>
    </row>
    <row r="1870" spans="8:8" x14ac:dyDescent="0.25">
      <c r="H1870" t="str">
        <f t="shared" si="29"/>
        <v/>
      </c>
    </row>
    <row r="1871" spans="8:8" x14ac:dyDescent="0.25">
      <c r="H1871" t="str">
        <f t="shared" si="29"/>
        <v/>
      </c>
    </row>
    <row r="1872" spans="8:8" x14ac:dyDescent="0.25">
      <c r="H1872" t="str">
        <f t="shared" si="29"/>
        <v/>
      </c>
    </row>
    <row r="1873" spans="8:8" x14ac:dyDescent="0.25">
      <c r="H1873" t="str">
        <f t="shared" si="29"/>
        <v/>
      </c>
    </row>
    <row r="1874" spans="8:8" x14ac:dyDescent="0.25">
      <c r="H1874" t="str">
        <f t="shared" si="29"/>
        <v/>
      </c>
    </row>
    <row r="1875" spans="8:8" x14ac:dyDescent="0.25">
      <c r="H1875" t="str">
        <f t="shared" si="29"/>
        <v/>
      </c>
    </row>
    <row r="1876" spans="8:8" x14ac:dyDescent="0.25">
      <c r="H1876" t="str">
        <f t="shared" si="29"/>
        <v/>
      </c>
    </row>
    <row r="1877" spans="8:8" x14ac:dyDescent="0.25">
      <c r="H1877" t="str">
        <f t="shared" si="29"/>
        <v/>
      </c>
    </row>
    <row r="1878" spans="8:8" x14ac:dyDescent="0.25">
      <c r="H1878" t="str">
        <f t="shared" si="29"/>
        <v/>
      </c>
    </row>
    <row r="1879" spans="8:8" x14ac:dyDescent="0.25">
      <c r="H1879" t="str">
        <f t="shared" si="29"/>
        <v/>
      </c>
    </row>
    <row r="1880" spans="8:8" x14ac:dyDescent="0.25">
      <c r="H1880" t="str">
        <f t="shared" si="29"/>
        <v/>
      </c>
    </row>
    <row r="1881" spans="8:8" x14ac:dyDescent="0.25">
      <c r="H1881" t="str">
        <f t="shared" si="29"/>
        <v/>
      </c>
    </row>
    <row r="1882" spans="8:8" x14ac:dyDescent="0.25">
      <c r="H1882" t="str">
        <f t="shared" si="29"/>
        <v/>
      </c>
    </row>
    <row r="1883" spans="8:8" x14ac:dyDescent="0.25">
      <c r="H1883" t="str">
        <f t="shared" si="29"/>
        <v/>
      </c>
    </row>
    <row r="1884" spans="8:8" x14ac:dyDescent="0.25">
      <c r="H1884" t="str">
        <f t="shared" si="29"/>
        <v/>
      </c>
    </row>
    <row r="1885" spans="8:8" x14ac:dyDescent="0.25">
      <c r="H1885" t="str">
        <f t="shared" si="29"/>
        <v/>
      </c>
    </row>
    <row r="1886" spans="8:8" x14ac:dyDescent="0.25">
      <c r="H1886" t="str">
        <f t="shared" si="29"/>
        <v/>
      </c>
    </row>
    <row r="1887" spans="8:8" x14ac:dyDescent="0.25">
      <c r="H1887" t="str">
        <f t="shared" si="29"/>
        <v/>
      </c>
    </row>
    <row r="1888" spans="8:8" x14ac:dyDescent="0.25">
      <c r="H1888" t="str">
        <f t="shared" si="29"/>
        <v/>
      </c>
    </row>
    <row r="1889" spans="8:8" x14ac:dyDescent="0.25">
      <c r="H1889" t="str">
        <f t="shared" si="29"/>
        <v/>
      </c>
    </row>
    <row r="1890" spans="8:8" x14ac:dyDescent="0.25">
      <c r="H1890" t="str">
        <f t="shared" si="29"/>
        <v/>
      </c>
    </row>
    <row r="1891" spans="8:8" x14ac:dyDescent="0.25">
      <c r="H1891" t="str">
        <f t="shared" si="29"/>
        <v/>
      </c>
    </row>
    <row r="1892" spans="8:8" x14ac:dyDescent="0.25">
      <c r="H1892" t="str">
        <f t="shared" si="29"/>
        <v/>
      </c>
    </row>
    <row r="1893" spans="8:8" x14ac:dyDescent="0.25">
      <c r="H1893" t="str">
        <f t="shared" si="29"/>
        <v/>
      </c>
    </row>
    <row r="1894" spans="8:8" x14ac:dyDescent="0.25">
      <c r="H1894" t="str">
        <f t="shared" si="29"/>
        <v/>
      </c>
    </row>
    <row r="1895" spans="8:8" x14ac:dyDescent="0.25">
      <c r="H1895" t="str">
        <f t="shared" si="29"/>
        <v/>
      </c>
    </row>
    <row r="1896" spans="8:8" x14ac:dyDescent="0.25">
      <c r="H1896" t="str">
        <f t="shared" si="29"/>
        <v/>
      </c>
    </row>
    <row r="1897" spans="8:8" x14ac:dyDescent="0.25">
      <c r="H1897" t="str">
        <f t="shared" si="29"/>
        <v/>
      </c>
    </row>
    <row r="1898" spans="8:8" x14ac:dyDescent="0.25">
      <c r="H1898" t="str">
        <f t="shared" si="29"/>
        <v/>
      </c>
    </row>
    <row r="1899" spans="8:8" x14ac:dyDescent="0.25">
      <c r="H1899" t="str">
        <f t="shared" si="29"/>
        <v/>
      </c>
    </row>
    <row r="1900" spans="8:8" x14ac:dyDescent="0.25">
      <c r="H1900" t="str">
        <f t="shared" si="29"/>
        <v/>
      </c>
    </row>
    <row r="1901" spans="8:8" x14ac:dyDescent="0.25">
      <c r="H1901" t="str">
        <f t="shared" si="29"/>
        <v/>
      </c>
    </row>
    <row r="1902" spans="8:8" x14ac:dyDescent="0.25">
      <c r="H1902" t="str">
        <f t="shared" si="29"/>
        <v/>
      </c>
    </row>
    <row r="1903" spans="8:8" x14ac:dyDescent="0.25">
      <c r="H1903" t="str">
        <f t="shared" si="29"/>
        <v/>
      </c>
    </row>
    <row r="1904" spans="8:8" x14ac:dyDescent="0.25">
      <c r="H1904" t="str">
        <f t="shared" si="29"/>
        <v/>
      </c>
    </row>
    <row r="1905" spans="8:8" x14ac:dyDescent="0.25">
      <c r="H1905" t="str">
        <f t="shared" si="29"/>
        <v/>
      </c>
    </row>
    <row r="1906" spans="8:8" x14ac:dyDescent="0.25">
      <c r="H1906" t="str">
        <f t="shared" si="29"/>
        <v/>
      </c>
    </row>
    <row r="1907" spans="8:8" x14ac:dyDescent="0.25">
      <c r="H1907" t="str">
        <f t="shared" si="29"/>
        <v/>
      </c>
    </row>
    <row r="1908" spans="8:8" x14ac:dyDescent="0.25">
      <c r="H1908" t="str">
        <f t="shared" si="29"/>
        <v/>
      </c>
    </row>
    <row r="1909" spans="8:8" x14ac:dyDescent="0.25">
      <c r="H1909" t="str">
        <f t="shared" si="29"/>
        <v/>
      </c>
    </row>
    <row r="1910" spans="8:8" x14ac:dyDescent="0.25">
      <c r="H1910" t="str">
        <f t="shared" si="29"/>
        <v/>
      </c>
    </row>
    <row r="1911" spans="8:8" x14ac:dyDescent="0.25">
      <c r="H1911" t="str">
        <f t="shared" si="29"/>
        <v/>
      </c>
    </row>
    <row r="1912" spans="8:8" x14ac:dyDescent="0.25">
      <c r="H1912" t="str">
        <f t="shared" si="29"/>
        <v/>
      </c>
    </row>
    <row r="1913" spans="8:8" x14ac:dyDescent="0.25">
      <c r="H1913" t="str">
        <f t="shared" si="29"/>
        <v/>
      </c>
    </row>
    <row r="1914" spans="8:8" x14ac:dyDescent="0.25">
      <c r="H1914" t="str">
        <f t="shared" si="29"/>
        <v/>
      </c>
    </row>
    <row r="1915" spans="8:8" x14ac:dyDescent="0.25">
      <c r="H1915" t="str">
        <f t="shared" si="29"/>
        <v/>
      </c>
    </row>
    <row r="1916" spans="8:8" x14ac:dyDescent="0.25">
      <c r="H1916" t="str">
        <f t="shared" si="29"/>
        <v/>
      </c>
    </row>
    <row r="1917" spans="8:8" x14ac:dyDescent="0.25">
      <c r="H1917" t="str">
        <f t="shared" si="29"/>
        <v/>
      </c>
    </row>
    <row r="1918" spans="8:8" x14ac:dyDescent="0.25">
      <c r="H1918" t="str">
        <f t="shared" si="29"/>
        <v/>
      </c>
    </row>
    <row r="1919" spans="8:8" x14ac:dyDescent="0.25">
      <c r="H1919" t="str">
        <f t="shared" si="29"/>
        <v/>
      </c>
    </row>
    <row r="1920" spans="8:8" x14ac:dyDescent="0.25">
      <c r="H1920" t="str">
        <f t="shared" si="29"/>
        <v/>
      </c>
    </row>
    <row r="1921" spans="8:8" x14ac:dyDescent="0.25">
      <c r="H1921" t="str">
        <f t="shared" si="29"/>
        <v/>
      </c>
    </row>
    <row r="1922" spans="8:8" x14ac:dyDescent="0.25">
      <c r="H1922" t="str">
        <f t="shared" si="29"/>
        <v/>
      </c>
    </row>
    <row r="1923" spans="8:8" x14ac:dyDescent="0.25">
      <c r="H1923" t="str">
        <f t="shared" ref="H1923:H1986" si="30">IFERROR(LN(E1923/E1924),"")</f>
        <v/>
      </c>
    </row>
    <row r="1924" spans="8:8" x14ac:dyDescent="0.25">
      <c r="H1924" t="str">
        <f t="shared" si="30"/>
        <v/>
      </c>
    </row>
    <row r="1925" spans="8:8" x14ac:dyDescent="0.25">
      <c r="H1925" t="str">
        <f t="shared" si="30"/>
        <v/>
      </c>
    </row>
    <row r="1926" spans="8:8" x14ac:dyDescent="0.25">
      <c r="H1926" t="str">
        <f t="shared" si="30"/>
        <v/>
      </c>
    </row>
    <row r="1927" spans="8:8" x14ac:dyDescent="0.25">
      <c r="H1927" t="str">
        <f t="shared" si="30"/>
        <v/>
      </c>
    </row>
    <row r="1928" spans="8:8" x14ac:dyDescent="0.25">
      <c r="H1928" t="str">
        <f t="shared" si="30"/>
        <v/>
      </c>
    </row>
    <row r="1929" spans="8:8" x14ac:dyDescent="0.25">
      <c r="H1929" t="str">
        <f t="shared" si="30"/>
        <v/>
      </c>
    </row>
    <row r="1930" spans="8:8" x14ac:dyDescent="0.25">
      <c r="H1930" t="str">
        <f t="shared" si="30"/>
        <v/>
      </c>
    </row>
    <row r="1931" spans="8:8" x14ac:dyDescent="0.25">
      <c r="H1931" t="str">
        <f t="shared" si="30"/>
        <v/>
      </c>
    </row>
    <row r="1932" spans="8:8" x14ac:dyDescent="0.25">
      <c r="H1932" t="str">
        <f t="shared" si="30"/>
        <v/>
      </c>
    </row>
    <row r="1933" spans="8:8" x14ac:dyDescent="0.25">
      <c r="H1933" t="str">
        <f t="shared" si="30"/>
        <v/>
      </c>
    </row>
    <row r="1934" spans="8:8" x14ac:dyDescent="0.25">
      <c r="H1934" t="str">
        <f t="shared" si="30"/>
        <v/>
      </c>
    </row>
    <row r="1935" spans="8:8" x14ac:dyDescent="0.25">
      <c r="H1935" t="str">
        <f t="shared" si="30"/>
        <v/>
      </c>
    </row>
    <row r="1936" spans="8:8" x14ac:dyDescent="0.25">
      <c r="H1936" t="str">
        <f t="shared" si="30"/>
        <v/>
      </c>
    </row>
    <row r="1937" spans="8:8" x14ac:dyDescent="0.25">
      <c r="H1937" t="str">
        <f t="shared" si="30"/>
        <v/>
      </c>
    </row>
    <row r="1938" spans="8:8" x14ac:dyDescent="0.25">
      <c r="H1938" t="str">
        <f t="shared" si="30"/>
        <v/>
      </c>
    </row>
    <row r="1939" spans="8:8" x14ac:dyDescent="0.25">
      <c r="H1939" t="str">
        <f t="shared" si="30"/>
        <v/>
      </c>
    </row>
    <row r="1940" spans="8:8" x14ac:dyDescent="0.25">
      <c r="H1940" t="str">
        <f t="shared" si="30"/>
        <v/>
      </c>
    </row>
    <row r="1941" spans="8:8" x14ac:dyDescent="0.25">
      <c r="H1941" t="str">
        <f t="shared" si="30"/>
        <v/>
      </c>
    </row>
    <row r="1942" spans="8:8" x14ac:dyDescent="0.25">
      <c r="H1942" t="str">
        <f t="shared" si="30"/>
        <v/>
      </c>
    </row>
    <row r="1943" spans="8:8" x14ac:dyDescent="0.25">
      <c r="H1943" t="str">
        <f t="shared" si="30"/>
        <v/>
      </c>
    </row>
    <row r="1944" spans="8:8" x14ac:dyDescent="0.25">
      <c r="H1944" t="str">
        <f t="shared" si="30"/>
        <v/>
      </c>
    </row>
    <row r="1945" spans="8:8" x14ac:dyDescent="0.25">
      <c r="H1945" t="str">
        <f t="shared" si="30"/>
        <v/>
      </c>
    </row>
    <row r="1946" spans="8:8" x14ac:dyDescent="0.25">
      <c r="H1946" t="str">
        <f t="shared" si="30"/>
        <v/>
      </c>
    </row>
    <row r="1947" spans="8:8" x14ac:dyDescent="0.25">
      <c r="H1947" t="str">
        <f t="shared" si="30"/>
        <v/>
      </c>
    </row>
    <row r="1948" spans="8:8" x14ac:dyDescent="0.25">
      <c r="H1948" t="str">
        <f t="shared" si="30"/>
        <v/>
      </c>
    </row>
    <row r="1949" spans="8:8" x14ac:dyDescent="0.25">
      <c r="H1949" t="str">
        <f t="shared" si="30"/>
        <v/>
      </c>
    </row>
    <row r="1950" spans="8:8" x14ac:dyDescent="0.25">
      <c r="H1950" t="str">
        <f t="shared" si="30"/>
        <v/>
      </c>
    </row>
    <row r="1951" spans="8:8" x14ac:dyDescent="0.25">
      <c r="H1951" t="str">
        <f t="shared" si="30"/>
        <v/>
      </c>
    </row>
    <row r="1952" spans="8:8" x14ac:dyDescent="0.25">
      <c r="H1952" t="str">
        <f t="shared" si="30"/>
        <v/>
      </c>
    </row>
    <row r="1953" spans="8:8" x14ac:dyDescent="0.25">
      <c r="H1953" t="str">
        <f t="shared" si="30"/>
        <v/>
      </c>
    </row>
    <row r="1954" spans="8:8" x14ac:dyDescent="0.25">
      <c r="H1954" t="str">
        <f t="shared" si="30"/>
        <v/>
      </c>
    </row>
    <row r="1955" spans="8:8" x14ac:dyDescent="0.25">
      <c r="H1955" t="str">
        <f t="shared" si="30"/>
        <v/>
      </c>
    </row>
    <row r="1956" spans="8:8" x14ac:dyDescent="0.25">
      <c r="H1956" t="str">
        <f t="shared" si="30"/>
        <v/>
      </c>
    </row>
    <row r="1957" spans="8:8" x14ac:dyDescent="0.25">
      <c r="H1957" t="str">
        <f t="shared" si="30"/>
        <v/>
      </c>
    </row>
    <row r="1958" spans="8:8" x14ac:dyDescent="0.25">
      <c r="H1958" t="str">
        <f t="shared" si="30"/>
        <v/>
      </c>
    </row>
    <row r="1959" spans="8:8" x14ac:dyDescent="0.25">
      <c r="H1959" t="str">
        <f t="shared" si="30"/>
        <v/>
      </c>
    </row>
    <row r="1960" spans="8:8" x14ac:dyDescent="0.25">
      <c r="H1960" t="str">
        <f t="shared" si="30"/>
        <v/>
      </c>
    </row>
    <row r="1961" spans="8:8" x14ac:dyDescent="0.25">
      <c r="H1961" t="str">
        <f t="shared" si="30"/>
        <v/>
      </c>
    </row>
    <row r="1962" spans="8:8" x14ac:dyDescent="0.25">
      <c r="H1962" t="str">
        <f t="shared" si="30"/>
        <v/>
      </c>
    </row>
    <row r="1963" spans="8:8" x14ac:dyDescent="0.25">
      <c r="H1963" t="str">
        <f t="shared" si="30"/>
        <v/>
      </c>
    </row>
    <row r="1964" spans="8:8" x14ac:dyDescent="0.25">
      <c r="H1964" t="str">
        <f t="shared" si="30"/>
        <v/>
      </c>
    </row>
    <row r="1965" spans="8:8" x14ac:dyDescent="0.25">
      <c r="H1965" t="str">
        <f t="shared" si="30"/>
        <v/>
      </c>
    </row>
    <row r="1966" spans="8:8" x14ac:dyDescent="0.25">
      <c r="H1966" t="str">
        <f t="shared" si="30"/>
        <v/>
      </c>
    </row>
    <row r="1967" spans="8:8" x14ac:dyDescent="0.25">
      <c r="H1967" t="str">
        <f t="shared" si="30"/>
        <v/>
      </c>
    </row>
    <row r="1968" spans="8:8" x14ac:dyDescent="0.25">
      <c r="H1968" t="str">
        <f t="shared" si="30"/>
        <v/>
      </c>
    </row>
    <row r="1969" spans="8:8" x14ac:dyDescent="0.25">
      <c r="H1969" t="str">
        <f t="shared" si="30"/>
        <v/>
      </c>
    </row>
    <row r="1970" spans="8:8" x14ac:dyDescent="0.25">
      <c r="H1970" t="str">
        <f t="shared" si="30"/>
        <v/>
      </c>
    </row>
    <row r="1971" spans="8:8" x14ac:dyDescent="0.25">
      <c r="H1971" t="str">
        <f t="shared" si="30"/>
        <v/>
      </c>
    </row>
    <row r="1972" spans="8:8" x14ac:dyDescent="0.25">
      <c r="H1972" t="str">
        <f t="shared" si="30"/>
        <v/>
      </c>
    </row>
    <row r="1973" spans="8:8" x14ac:dyDescent="0.25">
      <c r="H1973" t="str">
        <f t="shared" si="30"/>
        <v/>
      </c>
    </row>
    <row r="1974" spans="8:8" x14ac:dyDescent="0.25">
      <c r="H1974" t="str">
        <f t="shared" si="30"/>
        <v/>
      </c>
    </row>
    <row r="1975" spans="8:8" x14ac:dyDescent="0.25">
      <c r="H1975" t="str">
        <f t="shared" si="30"/>
        <v/>
      </c>
    </row>
    <row r="1976" spans="8:8" x14ac:dyDescent="0.25">
      <c r="H1976" t="str">
        <f t="shared" si="30"/>
        <v/>
      </c>
    </row>
    <row r="1977" spans="8:8" x14ac:dyDescent="0.25">
      <c r="H1977" t="str">
        <f t="shared" si="30"/>
        <v/>
      </c>
    </row>
    <row r="1978" spans="8:8" x14ac:dyDescent="0.25">
      <c r="H1978" t="str">
        <f t="shared" si="30"/>
        <v/>
      </c>
    </row>
    <row r="1979" spans="8:8" x14ac:dyDescent="0.25">
      <c r="H1979" t="str">
        <f t="shared" si="30"/>
        <v/>
      </c>
    </row>
    <row r="1980" spans="8:8" x14ac:dyDescent="0.25">
      <c r="H1980" t="str">
        <f t="shared" si="30"/>
        <v/>
      </c>
    </row>
    <row r="1981" spans="8:8" x14ac:dyDescent="0.25">
      <c r="H1981" t="str">
        <f t="shared" si="30"/>
        <v/>
      </c>
    </row>
    <row r="1982" spans="8:8" x14ac:dyDescent="0.25">
      <c r="H1982" t="str">
        <f t="shared" si="30"/>
        <v/>
      </c>
    </row>
    <row r="1983" spans="8:8" x14ac:dyDescent="0.25">
      <c r="H1983" t="str">
        <f t="shared" si="30"/>
        <v/>
      </c>
    </row>
    <row r="1984" spans="8:8" x14ac:dyDescent="0.25">
      <c r="H1984" t="str">
        <f t="shared" si="30"/>
        <v/>
      </c>
    </row>
    <row r="1985" spans="8:8" x14ac:dyDescent="0.25">
      <c r="H1985" t="str">
        <f t="shared" si="30"/>
        <v/>
      </c>
    </row>
    <row r="1986" spans="8:8" x14ac:dyDescent="0.25">
      <c r="H1986" t="str">
        <f t="shared" si="30"/>
        <v/>
      </c>
    </row>
    <row r="1987" spans="8:8" x14ac:dyDescent="0.25">
      <c r="H1987" t="str">
        <f t="shared" ref="H1987:H2000" si="31">IFERROR(LN(E1987/E1988),"")</f>
        <v/>
      </c>
    </row>
    <row r="1988" spans="8:8" x14ac:dyDescent="0.25">
      <c r="H1988" t="str">
        <f t="shared" si="31"/>
        <v/>
      </c>
    </row>
    <row r="1989" spans="8:8" x14ac:dyDescent="0.25">
      <c r="H1989" t="str">
        <f t="shared" si="31"/>
        <v/>
      </c>
    </row>
    <row r="1990" spans="8:8" x14ac:dyDescent="0.25">
      <c r="H1990" t="str">
        <f t="shared" si="31"/>
        <v/>
      </c>
    </row>
    <row r="1991" spans="8:8" x14ac:dyDescent="0.25">
      <c r="H1991" t="str">
        <f t="shared" si="31"/>
        <v/>
      </c>
    </row>
    <row r="1992" spans="8:8" x14ac:dyDescent="0.25">
      <c r="H1992" t="str">
        <f t="shared" si="31"/>
        <v/>
      </c>
    </row>
    <row r="1993" spans="8:8" x14ac:dyDescent="0.25">
      <c r="H1993" t="str">
        <f t="shared" si="31"/>
        <v/>
      </c>
    </row>
    <row r="1994" spans="8:8" x14ac:dyDescent="0.25">
      <c r="H1994" t="str">
        <f t="shared" si="31"/>
        <v/>
      </c>
    </row>
    <row r="1995" spans="8:8" x14ac:dyDescent="0.25">
      <c r="H1995" t="str">
        <f t="shared" si="31"/>
        <v/>
      </c>
    </row>
    <row r="1996" spans="8:8" x14ac:dyDescent="0.25">
      <c r="H1996" t="str">
        <f t="shared" si="31"/>
        <v/>
      </c>
    </row>
    <row r="1997" spans="8:8" x14ac:dyDescent="0.25">
      <c r="H1997" t="str">
        <f t="shared" si="31"/>
        <v/>
      </c>
    </row>
    <row r="1998" spans="8:8" x14ac:dyDescent="0.25">
      <c r="H1998" t="str">
        <f t="shared" si="31"/>
        <v/>
      </c>
    </row>
    <row r="1999" spans="8:8" x14ac:dyDescent="0.25">
      <c r="H1999" t="str">
        <f t="shared" si="31"/>
        <v/>
      </c>
    </row>
    <row r="2000" spans="8:8" x14ac:dyDescent="0.25">
      <c r="H2000" t="str">
        <f t="shared" si="31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oogle_historic">
                <anchor moveWithCells="1" sizeWithCells="1">
                  <from>
                    <xdr:col>10</xdr:col>
                    <xdr:colOff>704850</xdr:colOff>
                    <xdr:row>5</xdr:row>
                    <xdr:rowOff>9525</xdr:rowOff>
                  </from>
                  <to>
                    <xdr:col>13</xdr:col>
                    <xdr:colOff>266700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1"/>
  <sheetViews>
    <sheetView workbookViewId="0">
      <selection activeCell="A3" sqref="A3:B3"/>
    </sheetView>
  </sheetViews>
  <sheetFormatPr defaultRowHeight="15" x14ac:dyDescent="0.25"/>
  <cols>
    <col min="1" max="1" width="57.7109375" customWidth="1"/>
    <col min="2" max="2" width="19.140625" customWidth="1"/>
    <col min="4" max="4" width="9.5703125" customWidth="1"/>
    <col min="5" max="5" width="69.7109375" bestFit="1" customWidth="1"/>
    <col min="6" max="6" width="45.140625" bestFit="1" customWidth="1"/>
    <col min="8" max="8" width="45.140625" bestFit="1" customWidth="1"/>
    <col min="9" max="9" width="14.42578125" customWidth="1"/>
    <col min="10" max="10" width="40.42578125" bestFit="1" customWidth="1"/>
    <col min="13" max="13" width="12" bestFit="1" customWidth="1"/>
    <col min="14" max="14" width="30" customWidth="1"/>
    <col min="18" max="18" width="23.7109375" customWidth="1"/>
    <col min="21" max="21" width="4.140625" customWidth="1"/>
    <col min="22" max="22" width="5" customWidth="1"/>
    <col min="23" max="23" width="4.85546875" customWidth="1"/>
    <col min="24" max="24" width="45.28515625" customWidth="1"/>
  </cols>
  <sheetData>
    <row r="1" spans="1:24" ht="39" x14ac:dyDescent="0.6">
      <c r="A1" s="78" t="s">
        <v>1023</v>
      </c>
    </row>
    <row r="2" spans="1:24" ht="15.75" thickBot="1" x14ac:dyDescent="0.3"/>
    <row r="3" spans="1:24" ht="27" thickBot="1" x14ac:dyDescent="0.45">
      <c r="A3" s="81" t="s">
        <v>8</v>
      </c>
      <c r="B3" s="82"/>
      <c r="C3" s="27"/>
    </row>
    <row r="4" spans="1:24" ht="26.25" x14ac:dyDescent="0.4">
      <c r="A4" s="28" t="s">
        <v>13</v>
      </c>
      <c r="B4" s="29" t="s">
        <v>23</v>
      </c>
      <c r="C4" s="30"/>
      <c r="E4" s="70"/>
      <c r="F4" s="52"/>
      <c r="G4" s="63"/>
      <c r="H4" s="27"/>
      <c r="I4" s="63"/>
      <c r="J4" s="41"/>
      <c r="K4" s="41"/>
      <c r="L4" s="27"/>
      <c r="M4" s="63"/>
      <c r="N4" s="41"/>
      <c r="O4" s="27"/>
      <c r="P4" s="63"/>
      <c r="Q4" s="41"/>
      <c r="R4" s="41"/>
      <c r="S4" s="41"/>
      <c r="T4" s="41"/>
      <c r="U4" s="27"/>
      <c r="V4" s="63"/>
      <c r="W4" s="41"/>
      <c r="X4" s="27"/>
    </row>
    <row r="5" spans="1:24" ht="26.25" x14ac:dyDescent="0.4">
      <c r="A5" s="28" t="s">
        <v>9</v>
      </c>
      <c r="B5" s="31">
        <v>70</v>
      </c>
      <c r="C5" s="30"/>
      <c r="F5" s="65" t="s">
        <v>15</v>
      </c>
      <c r="G5" s="34"/>
      <c r="H5" s="66" t="s">
        <v>14</v>
      </c>
      <c r="I5" s="34"/>
      <c r="J5" s="67" t="s">
        <v>16</v>
      </c>
      <c r="K5" s="35"/>
      <c r="L5" s="30"/>
      <c r="M5" s="34"/>
      <c r="N5" s="67" t="s">
        <v>20</v>
      </c>
      <c r="O5" s="30"/>
      <c r="P5" s="34"/>
      <c r="Q5" s="35"/>
      <c r="R5" s="67" t="s">
        <v>21</v>
      </c>
      <c r="S5" s="35"/>
      <c r="T5" s="35"/>
      <c r="U5" s="30"/>
      <c r="V5" s="34"/>
      <c r="W5" s="68" t="s">
        <v>22</v>
      </c>
      <c r="X5" s="69"/>
    </row>
    <row r="6" spans="1:24" ht="26.25" x14ac:dyDescent="0.4">
      <c r="A6" s="28" t="s">
        <v>1011</v>
      </c>
      <c r="B6" s="31">
        <f>StockPrices!E2</f>
        <v>85.51</v>
      </c>
      <c r="C6" s="30"/>
      <c r="F6" s="53"/>
      <c r="G6" s="34"/>
      <c r="H6" s="30"/>
      <c r="I6" s="34"/>
      <c r="J6" s="35"/>
      <c r="K6" s="35"/>
      <c r="L6" s="30"/>
      <c r="M6" s="34"/>
      <c r="N6" s="35"/>
      <c r="O6" s="30"/>
      <c r="P6" s="34"/>
      <c r="Q6" s="35"/>
      <c r="R6" s="35"/>
      <c r="S6" s="35"/>
      <c r="T6" s="35"/>
      <c r="U6" s="30"/>
      <c r="V6" s="34"/>
      <c r="W6" s="35"/>
      <c r="X6" s="30"/>
    </row>
    <row r="7" spans="1:24" ht="26.25" x14ac:dyDescent="0.4">
      <c r="A7" s="28" t="s">
        <v>10</v>
      </c>
      <c r="B7" s="32">
        <f>StockPrices!S9</f>
        <v>0.22354045477943013</v>
      </c>
      <c r="C7" s="30"/>
      <c r="F7" s="53"/>
      <c r="G7" s="34"/>
      <c r="H7" s="30"/>
      <c r="I7" s="34"/>
      <c r="J7" s="35"/>
      <c r="K7" s="35"/>
      <c r="L7" s="30"/>
      <c r="M7" s="34"/>
      <c r="N7" s="35"/>
      <c r="O7" s="30"/>
      <c r="P7" s="34"/>
      <c r="Q7" s="35"/>
      <c r="R7" s="35"/>
      <c r="S7" s="35"/>
      <c r="T7" s="35"/>
      <c r="U7" s="30"/>
      <c r="V7" s="34"/>
      <c r="W7" s="35"/>
      <c r="X7" s="30"/>
    </row>
    <row r="8" spans="1:24" ht="26.25" x14ac:dyDescent="0.4">
      <c r="A8" s="28" t="s">
        <v>11</v>
      </c>
      <c r="B8" s="32">
        <f ca="1">IF(Options!T6=1,(Options!T4-TODAY())/365,(Options!T5-TODAY())/365)</f>
        <v>0.71232876712328763</v>
      </c>
      <c r="C8" s="30"/>
      <c r="F8" s="53"/>
      <c r="G8" s="34"/>
      <c r="H8" s="30"/>
      <c r="I8" s="34"/>
      <c r="J8" s="35"/>
      <c r="K8" s="35"/>
      <c r="L8" s="30"/>
      <c r="M8" s="34"/>
      <c r="N8" s="35"/>
      <c r="O8" s="30"/>
      <c r="P8" s="34"/>
      <c r="Q8" s="35"/>
      <c r="R8" s="35"/>
      <c r="S8" s="35"/>
      <c r="T8" s="35"/>
      <c r="U8" s="30"/>
      <c r="V8" s="34"/>
      <c r="W8" s="35"/>
      <c r="X8" s="30"/>
    </row>
    <row r="9" spans="1:24" ht="27" thickBot="1" x14ac:dyDescent="0.45">
      <c r="A9" s="28" t="s">
        <v>12</v>
      </c>
      <c r="B9" s="33">
        <f>Options!P6</f>
        <v>2.4680000000000001E-2</v>
      </c>
      <c r="C9" s="30"/>
      <c r="F9" s="54"/>
      <c r="G9" s="37"/>
      <c r="H9" s="39"/>
      <c r="I9" s="37"/>
      <c r="J9" s="38"/>
      <c r="K9" s="38"/>
      <c r="L9" s="39"/>
      <c r="M9" s="37"/>
      <c r="N9" s="38"/>
      <c r="O9" s="39"/>
      <c r="P9" s="37"/>
      <c r="Q9" s="38"/>
      <c r="R9" s="35"/>
      <c r="S9" s="38"/>
      <c r="T9" s="38"/>
      <c r="U9" s="39"/>
      <c r="V9" s="37"/>
      <c r="W9" s="38"/>
      <c r="X9" s="39"/>
    </row>
    <row r="10" spans="1:24" ht="28.5" x14ac:dyDescent="0.45">
      <c r="A10" s="34"/>
      <c r="B10" s="35"/>
      <c r="C10" s="30"/>
      <c r="E10" s="59" t="s">
        <v>994</v>
      </c>
      <c r="F10" s="42">
        <v>20.815300084150955</v>
      </c>
      <c r="G10" s="40"/>
      <c r="H10" s="42">
        <v>18.042456679663324</v>
      </c>
      <c r="I10" s="40"/>
      <c r="J10" s="40">
        <v>22.022237710456995</v>
      </c>
      <c r="K10" s="41"/>
      <c r="L10" s="27"/>
      <c r="M10" s="41"/>
      <c r="N10" s="40">
        <v>18.048394597082769</v>
      </c>
      <c r="O10" s="27"/>
      <c r="P10" s="41"/>
      <c r="Q10" s="41"/>
      <c r="R10" s="40">
        <v>15.08554075802299</v>
      </c>
      <c r="S10" s="41"/>
      <c r="T10" s="41"/>
      <c r="U10" s="41"/>
      <c r="V10" s="63"/>
      <c r="W10" s="41"/>
      <c r="X10" s="42">
        <v>13.185637040420414</v>
      </c>
    </row>
    <row r="11" spans="1:24" ht="15.75" thickBot="1" x14ac:dyDescent="0.3">
      <c r="A11" s="34"/>
      <c r="B11" s="35"/>
      <c r="C11" s="30"/>
      <c r="E11" s="50"/>
      <c r="F11" s="50"/>
      <c r="G11" s="38"/>
      <c r="H11" s="55"/>
      <c r="I11" s="38"/>
      <c r="J11" s="43"/>
      <c r="K11" s="38"/>
      <c r="L11" s="39"/>
      <c r="M11" s="38"/>
      <c r="N11" s="38"/>
      <c r="O11" s="39"/>
      <c r="P11" s="38"/>
      <c r="Q11" s="38"/>
      <c r="R11" s="44"/>
      <c r="S11" s="38"/>
      <c r="T11" s="38"/>
      <c r="U11" s="38"/>
      <c r="V11" s="37"/>
      <c r="W11" s="38"/>
      <c r="X11" s="39"/>
    </row>
    <row r="12" spans="1:24" ht="15.75" thickBot="1" x14ac:dyDescent="0.3">
      <c r="A12" s="34"/>
      <c r="B12" s="35"/>
      <c r="C12" s="30"/>
      <c r="E12" s="58"/>
      <c r="F12" s="58"/>
      <c r="H12" s="57"/>
      <c r="J12" s="16"/>
      <c r="L12" s="30"/>
      <c r="O12" s="30"/>
      <c r="R12" s="15"/>
      <c r="V12" s="34"/>
      <c r="W12" s="35"/>
      <c r="X12" s="30"/>
    </row>
    <row r="13" spans="1:24" ht="27" thickBot="1" x14ac:dyDescent="0.45">
      <c r="A13" s="28" t="s">
        <v>17</v>
      </c>
      <c r="B13" s="32">
        <v>300</v>
      </c>
      <c r="C13" s="30"/>
      <c r="E13" s="60" t="s">
        <v>995</v>
      </c>
      <c r="F13" s="51" t="s">
        <v>1013</v>
      </c>
      <c r="G13" s="46"/>
      <c r="H13" s="56"/>
      <c r="I13" s="47"/>
      <c r="J13" s="45" t="s">
        <v>1012</v>
      </c>
      <c r="K13" s="46"/>
      <c r="L13" s="48"/>
      <c r="M13" s="46"/>
      <c r="N13" s="46"/>
      <c r="O13" s="48"/>
      <c r="P13" s="46"/>
      <c r="Q13" s="46"/>
      <c r="R13" s="45" t="s">
        <v>1014</v>
      </c>
      <c r="S13" s="46"/>
      <c r="T13" s="46"/>
      <c r="U13" s="46"/>
      <c r="V13" s="64"/>
      <c r="W13" s="46"/>
      <c r="X13" s="48"/>
    </row>
    <row r="14" spans="1:24" ht="27" thickBot="1" x14ac:dyDescent="0.45">
      <c r="A14" s="28" t="s">
        <v>18</v>
      </c>
      <c r="B14" s="32">
        <v>10</v>
      </c>
      <c r="C14" s="30"/>
      <c r="E14" s="61"/>
      <c r="F14" s="58"/>
      <c r="H14" s="62"/>
      <c r="I14" s="14"/>
      <c r="J14" s="13"/>
      <c r="L14" s="30"/>
      <c r="O14" s="48"/>
      <c r="R14" s="13"/>
      <c r="V14" s="34"/>
      <c r="W14" s="35"/>
      <c r="X14" s="30"/>
    </row>
    <row r="15" spans="1:24" ht="21.75" thickBot="1" x14ac:dyDescent="0.4">
      <c r="A15" s="34"/>
      <c r="B15" s="35"/>
      <c r="C15" s="30"/>
      <c r="E15" s="60" t="s">
        <v>996</v>
      </c>
      <c r="F15" s="51">
        <v>11.067311320656712</v>
      </c>
      <c r="G15" s="46"/>
      <c r="H15" s="56"/>
      <c r="I15" s="49"/>
      <c r="J15" s="45">
        <v>12.483348270406022</v>
      </c>
      <c r="K15" s="46"/>
      <c r="L15" s="48"/>
      <c r="M15" s="46"/>
      <c r="N15" s="46"/>
      <c r="O15" s="48"/>
      <c r="P15" s="46"/>
      <c r="Q15" s="46"/>
      <c r="R15" s="45">
        <v>5.40402208332842</v>
      </c>
      <c r="S15" s="46"/>
      <c r="T15" s="46"/>
      <c r="U15" s="46"/>
      <c r="V15" s="64"/>
      <c r="W15" s="46"/>
      <c r="X15" s="48"/>
    </row>
    <row r="16" spans="1:24" ht="21.75" thickBot="1" x14ac:dyDescent="0.4">
      <c r="A16" s="34"/>
      <c r="B16" s="35"/>
      <c r="C16" s="30"/>
      <c r="E16" s="61"/>
      <c r="F16" s="58"/>
      <c r="H16" s="57"/>
      <c r="J16" s="16"/>
      <c r="L16" s="30"/>
      <c r="O16" s="48"/>
      <c r="R16" s="16"/>
      <c r="V16" s="34"/>
      <c r="W16" s="35"/>
      <c r="X16" s="30"/>
    </row>
    <row r="17" spans="1:24" ht="27" thickBot="1" x14ac:dyDescent="0.45">
      <c r="A17" s="28" t="s">
        <v>19</v>
      </c>
      <c r="B17" s="36">
        <v>1</v>
      </c>
      <c r="C17" s="30"/>
      <c r="E17" s="60" t="s">
        <v>997</v>
      </c>
      <c r="F17" s="51">
        <v>1.9529999999999999E-2</v>
      </c>
      <c r="G17" s="46"/>
      <c r="H17" s="56"/>
      <c r="I17" s="46"/>
      <c r="J17" s="45">
        <v>79.09375</v>
      </c>
      <c r="K17" s="46"/>
      <c r="L17" s="48"/>
      <c r="M17" s="46"/>
      <c r="N17" s="46"/>
      <c r="O17" s="48"/>
      <c r="P17" s="46"/>
      <c r="Q17" s="46"/>
      <c r="R17" s="45">
        <v>0.17188000000000001</v>
      </c>
      <c r="S17" s="46"/>
      <c r="T17" s="46"/>
      <c r="U17" s="46"/>
      <c r="V17" s="64"/>
      <c r="W17" s="46"/>
      <c r="X17" s="48"/>
    </row>
    <row r="18" spans="1:24" ht="26.25" x14ac:dyDescent="0.4">
      <c r="A18" s="28" t="s">
        <v>26</v>
      </c>
      <c r="B18" s="31">
        <v>0.01</v>
      </c>
      <c r="C18" s="30"/>
      <c r="E18" s="16"/>
    </row>
    <row r="19" spans="1:24" ht="26.25" x14ac:dyDescent="0.4">
      <c r="A19" s="28" t="s">
        <v>990</v>
      </c>
      <c r="B19" s="31">
        <v>0.01</v>
      </c>
      <c r="C19" s="30"/>
      <c r="E19" s="16"/>
    </row>
    <row r="20" spans="1:24" hidden="1" x14ac:dyDescent="0.25">
      <c r="A20" s="34"/>
      <c r="B20" s="35"/>
      <c r="C20" s="30"/>
      <c r="E20" s="16"/>
      <c r="J20">
        <v>0</v>
      </c>
    </row>
    <row r="21" spans="1:24" ht="15.75" thickBot="1" x14ac:dyDescent="0.3">
      <c r="A21" s="37"/>
      <c r="B21" s="38"/>
      <c r="C21" s="39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SResult">
                <anchor moveWithCells="1" sizeWithCells="1">
                  <from>
                    <xdr:col>7</xdr:col>
                    <xdr:colOff>523875</xdr:colOff>
                    <xdr:row>6</xdr:row>
                    <xdr:rowOff>38100</xdr:rowOff>
                  </from>
                  <to>
                    <xdr:col>7</xdr:col>
                    <xdr:colOff>2333625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tdMonteCarlo">
                <anchor moveWithCells="1" sizeWithCells="1">
                  <from>
                    <xdr:col>5</xdr:col>
                    <xdr:colOff>390525</xdr:colOff>
                    <xdr:row>6</xdr:row>
                    <xdr:rowOff>38100</xdr:rowOff>
                  </from>
                  <to>
                    <xdr:col>5</xdr:col>
                    <xdr:colOff>2200275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JDMonteCarlo">
                <anchor moveWithCells="1" sizeWithCells="1">
                  <from>
                    <xdr:col>9</xdr:col>
                    <xdr:colOff>485775</xdr:colOff>
                    <xdr:row>6</xdr:row>
                    <xdr:rowOff>28575</xdr:rowOff>
                  </from>
                  <to>
                    <xdr:col>9</xdr:col>
                    <xdr:colOff>2295525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Pict="0" macro="[0]!JumpDiffusionMerton">
                <anchor moveWithCells="1" sizeWithCells="1">
                  <from>
                    <xdr:col>13</xdr:col>
                    <xdr:colOff>57150</xdr:colOff>
                    <xdr:row>6</xdr:row>
                    <xdr:rowOff>47625</xdr:rowOff>
                  </from>
                  <to>
                    <xdr:col>13</xdr:col>
                    <xdr:colOff>1914525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Button 7">
              <controlPr defaultSize="0" print="0" autoFill="0" autoPict="0" macro="[0]!LookBackMonteCarlo">
                <anchor moveWithCells="1" sizeWithCells="1">
                  <from>
                    <xdr:col>16</xdr:col>
                    <xdr:colOff>361950</xdr:colOff>
                    <xdr:row>6</xdr:row>
                    <xdr:rowOff>47625</xdr:rowOff>
                  </from>
                  <to>
                    <xdr:col>18</xdr:col>
                    <xdr:colOff>285750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8" name="Button 8">
              <controlPr defaultSize="0" print="0" autoFill="0" autoPict="0" macro="[0]!LookBackClosed">
                <anchor moveWithCells="1" sizeWithCells="1">
                  <from>
                    <xdr:col>23</xdr:col>
                    <xdr:colOff>114300</xdr:colOff>
                    <xdr:row>6</xdr:row>
                    <xdr:rowOff>38100</xdr:rowOff>
                  </from>
                  <to>
                    <xdr:col>23</xdr:col>
                    <xdr:colOff>2143125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0"/>
  <sheetViews>
    <sheetView workbookViewId="0"/>
  </sheetViews>
  <sheetFormatPr defaultRowHeight="15" x14ac:dyDescent="0.25"/>
  <cols>
    <col min="1" max="1" width="14.85546875" bestFit="1" customWidth="1"/>
    <col min="3" max="3" width="12" bestFit="1" customWidth="1"/>
    <col min="4" max="4" width="41.28515625" bestFit="1" customWidth="1"/>
    <col min="5" max="5" width="13.28515625" customWidth="1"/>
    <col min="6" max="6" width="20" customWidth="1"/>
    <col min="7" max="7" width="22" bestFit="1" customWidth="1"/>
    <col min="8" max="8" width="10.140625" bestFit="1" customWidth="1"/>
    <col min="10" max="10" width="14.85546875" bestFit="1" customWidth="1"/>
    <col min="12" max="12" width="12" bestFit="1" customWidth="1"/>
    <col min="13" max="13" width="41.28515625" bestFit="1" customWidth="1"/>
    <col min="14" max="14" width="13.28515625" customWidth="1"/>
    <col min="15" max="15" width="16.85546875" customWidth="1"/>
    <col min="16" max="16" width="22" bestFit="1" customWidth="1"/>
  </cols>
  <sheetData>
    <row r="1" spans="1:16" x14ac:dyDescent="0.25">
      <c r="A1" s="16" t="s">
        <v>903</v>
      </c>
      <c r="B1" s="16" t="s">
        <v>1004</v>
      </c>
      <c r="C1" s="16" t="s">
        <v>1003</v>
      </c>
      <c r="D1" s="16" t="s">
        <v>991</v>
      </c>
      <c r="E1" s="16" t="s">
        <v>992</v>
      </c>
      <c r="F1" s="16" t="s">
        <v>905</v>
      </c>
      <c r="G1" s="16" t="s">
        <v>993</v>
      </c>
      <c r="H1" s="16"/>
      <c r="I1" s="16"/>
      <c r="J1" s="16" t="s">
        <v>903</v>
      </c>
      <c r="K1" s="16" t="s">
        <v>1004</v>
      </c>
      <c r="L1" s="16" t="s">
        <v>1003</v>
      </c>
      <c r="M1" s="16" t="s">
        <v>991</v>
      </c>
      <c r="N1" s="16" t="s">
        <v>992</v>
      </c>
      <c r="O1" s="16" t="s">
        <v>905</v>
      </c>
      <c r="P1" s="16" t="s">
        <v>993</v>
      </c>
    </row>
    <row r="2" spans="1:16" x14ac:dyDescent="0.25">
      <c r="A2" s="26">
        <v>10</v>
      </c>
      <c r="B2" s="16" t="s">
        <v>907</v>
      </c>
      <c r="C2" s="16">
        <v>16.398326911974973</v>
      </c>
      <c r="D2" s="16" t="s">
        <v>920</v>
      </c>
      <c r="E2" s="16">
        <v>10.432163539077907</v>
      </c>
      <c r="F2" s="16">
        <f>C2-MonteCarlo!$H$10</f>
        <v>-1.6441297676883515</v>
      </c>
      <c r="G2" s="16">
        <v>2.93E-2</v>
      </c>
      <c r="H2" s="16"/>
      <c r="I2" s="16"/>
      <c r="J2" s="26">
        <v>10</v>
      </c>
      <c r="K2" s="16" t="s">
        <v>906</v>
      </c>
      <c r="L2" s="16">
        <v>18.6751</v>
      </c>
      <c r="M2" s="16" t="s">
        <v>938</v>
      </c>
      <c r="N2" s="16">
        <v>16.160499999999999</v>
      </c>
      <c r="O2" s="16">
        <f>L2-MonteCarlo!$H$10</f>
        <v>0.63264332033667614</v>
      </c>
      <c r="P2" s="16">
        <v>8.6999999999999994E-2</v>
      </c>
    </row>
    <row r="3" spans="1:16" x14ac:dyDescent="0.25">
      <c r="A3" s="26">
        <v>25</v>
      </c>
      <c r="B3" s="16" t="s">
        <v>907</v>
      </c>
      <c r="C3" s="16">
        <v>19.255805158003003</v>
      </c>
      <c r="D3" s="16" t="s">
        <v>921</v>
      </c>
      <c r="E3" s="16">
        <v>5.7117417273110007</v>
      </c>
      <c r="F3" s="16">
        <f>C3-MonteCarlo!$H$10</f>
        <v>1.2133484783396788</v>
      </c>
      <c r="G3" s="16">
        <v>5.7619999999999998E-2</v>
      </c>
      <c r="H3" s="16"/>
      <c r="I3" s="16"/>
      <c r="J3" s="26">
        <v>25</v>
      </c>
      <c r="K3" s="16" t="s">
        <v>906</v>
      </c>
      <c r="L3" s="16">
        <v>22.2849</v>
      </c>
      <c r="M3" s="16" t="s">
        <v>939</v>
      </c>
      <c r="N3" s="16">
        <v>5.3644499999999997</v>
      </c>
      <c r="O3" s="16">
        <f>L3-MonteCarlo!$H$10</f>
        <v>4.242443320336676</v>
      </c>
      <c r="P3" s="16">
        <v>0.121</v>
      </c>
    </row>
    <row r="4" spans="1:16" x14ac:dyDescent="0.25">
      <c r="A4" s="26">
        <v>50</v>
      </c>
      <c r="B4" s="16" t="s">
        <v>907</v>
      </c>
      <c r="C4" s="16">
        <v>18.330582614345076</v>
      </c>
      <c r="D4" s="16" t="s">
        <v>922</v>
      </c>
      <c r="E4" s="16">
        <v>3.81719045914098</v>
      </c>
      <c r="F4" s="16">
        <f>C4-MonteCarlo!$H$10</f>
        <v>0.28812593468175152</v>
      </c>
      <c r="G4" s="16">
        <v>9.0329999999999994E-2</v>
      </c>
      <c r="H4" s="16"/>
      <c r="I4" s="16"/>
      <c r="J4" s="26">
        <v>50</v>
      </c>
      <c r="K4" s="16" t="s">
        <v>906</v>
      </c>
      <c r="L4" s="16">
        <v>18.883700000000001</v>
      </c>
      <c r="M4" s="16" t="s">
        <v>940</v>
      </c>
      <c r="N4" s="16">
        <v>3.68608</v>
      </c>
      <c r="O4" s="16">
        <f>L4-MonteCarlo!$H$10</f>
        <v>0.8412433203366767</v>
      </c>
      <c r="P4" s="16">
        <v>0.23599999999999999</v>
      </c>
    </row>
    <row r="5" spans="1:16" x14ac:dyDescent="0.25">
      <c r="A5" s="26">
        <v>75</v>
      </c>
      <c r="B5" s="16" t="s">
        <v>907</v>
      </c>
      <c r="C5" s="16">
        <v>18.703492317557153</v>
      </c>
      <c r="D5" s="16" t="s">
        <v>923</v>
      </c>
      <c r="E5" s="16">
        <v>3.291980730788775</v>
      </c>
      <c r="F5" s="16">
        <f>C5-MonteCarlo!$H$10</f>
        <v>0.66103563789382846</v>
      </c>
      <c r="G5" s="16">
        <v>0.13378999999999999</v>
      </c>
      <c r="H5" s="16"/>
      <c r="I5" s="16"/>
      <c r="J5" s="26">
        <v>75</v>
      </c>
      <c r="K5" s="16" t="s">
        <v>906</v>
      </c>
      <c r="L5" s="16">
        <v>14.731299999999999</v>
      </c>
      <c r="M5" s="16" t="s">
        <v>941</v>
      </c>
      <c r="N5" s="16">
        <v>2.9990299999999999</v>
      </c>
      <c r="O5" s="16">
        <f>L5-MonteCarlo!$H$10</f>
        <v>-3.3111566796633252</v>
      </c>
      <c r="P5" s="16">
        <v>0.33900000000000002</v>
      </c>
    </row>
    <row r="6" spans="1:16" x14ac:dyDescent="0.25">
      <c r="A6" s="26">
        <v>100</v>
      </c>
      <c r="B6" s="16" t="s">
        <v>907</v>
      </c>
      <c r="C6" s="16">
        <v>19.596291569500121</v>
      </c>
      <c r="D6" s="16" t="s">
        <v>924</v>
      </c>
      <c r="E6" s="16">
        <v>3.0367167125460903</v>
      </c>
      <c r="F6" s="16">
        <f>C6-MonteCarlo!$H$10</f>
        <v>1.5538348898367964</v>
      </c>
      <c r="G6" s="16">
        <v>0.16406000000000001</v>
      </c>
      <c r="H6" s="16"/>
      <c r="I6" s="16"/>
      <c r="J6" s="26">
        <v>100</v>
      </c>
      <c r="K6" s="16" t="s">
        <v>906</v>
      </c>
      <c r="L6" s="16">
        <v>19.819700000000001</v>
      </c>
      <c r="M6" s="16" t="s">
        <v>942</v>
      </c>
      <c r="N6" s="16">
        <v>3.3689300000000002</v>
      </c>
      <c r="O6" s="16">
        <f>L6-MonteCarlo!$H$10</f>
        <v>1.7772433203366766</v>
      </c>
      <c r="P6" s="16">
        <v>0.44600000000000001</v>
      </c>
    </row>
    <row r="7" spans="1:16" x14ac:dyDescent="0.25">
      <c r="A7" s="26">
        <v>250</v>
      </c>
      <c r="B7" s="16" t="s">
        <v>907</v>
      </c>
      <c r="C7" s="16">
        <v>17.852151150991034</v>
      </c>
      <c r="D7" s="16" t="s">
        <v>925</v>
      </c>
      <c r="E7" s="16">
        <v>1.9740656844792299</v>
      </c>
      <c r="F7" s="16">
        <f>C7-MonteCarlo!$H$10</f>
        <v>-0.19030552867229034</v>
      </c>
      <c r="G7" s="16">
        <v>0.39893000000000001</v>
      </c>
      <c r="H7" s="16"/>
      <c r="I7" s="16"/>
      <c r="J7" s="26">
        <v>250</v>
      </c>
      <c r="K7" s="16" t="s">
        <v>906</v>
      </c>
      <c r="L7" s="16">
        <v>18.752300000000002</v>
      </c>
      <c r="M7" s="16" t="s">
        <v>943</v>
      </c>
      <c r="N7" s="16">
        <v>2.1376599999999999</v>
      </c>
      <c r="O7" s="16">
        <f>L7-MonteCarlo!$H$10</f>
        <v>0.70984332033667741</v>
      </c>
      <c r="P7" s="16">
        <v>1.1359999999999999</v>
      </c>
    </row>
    <row r="8" spans="1:16" x14ac:dyDescent="0.25">
      <c r="A8" s="26">
        <v>500</v>
      </c>
      <c r="B8" s="16" t="s">
        <v>907</v>
      </c>
      <c r="C8" s="16">
        <v>18.499157877511863</v>
      </c>
      <c r="D8" s="16" t="s">
        <v>926</v>
      </c>
      <c r="E8" s="16">
        <v>1.3847545613555095</v>
      </c>
      <c r="F8" s="16">
        <f>C8-MonteCarlo!$H$10</f>
        <v>0.45670119784853824</v>
      </c>
      <c r="G8" s="16">
        <v>0.75780999999999998</v>
      </c>
      <c r="H8" s="16"/>
      <c r="I8" s="16"/>
      <c r="J8" s="26">
        <v>500</v>
      </c>
      <c r="K8" s="16" t="s">
        <v>906</v>
      </c>
      <c r="L8" s="16">
        <v>18.589200000000002</v>
      </c>
      <c r="M8" s="16" t="s">
        <v>944</v>
      </c>
      <c r="N8" s="16">
        <v>1.41408</v>
      </c>
      <c r="O8" s="16">
        <f>L8-MonteCarlo!$H$10</f>
        <v>0.54674332033667739</v>
      </c>
      <c r="P8" s="16">
        <v>2.3149999999999999</v>
      </c>
    </row>
    <row r="9" spans="1:16" x14ac:dyDescent="0.25">
      <c r="A9" s="26">
        <v>750</v>
      </c>
      <c r="B9" s="16" t="s">
        <v>907</v>
      </c>
      <c r="C9" s="16">
        <v>17.824416616927333</v>
      </c>
      <c r="D9" s="16" t="s">
        <v>927</v>
      </c>
      <c r="E9" s="16">
        <v>1.0468503911647102</v>
      </c>
      <c r="F9" s="16">
        <f>C9-MonteCarlo!$H$10</f>
        <v>-0.21804006273599086</v>
      </c>
      <c r="G9" s="16">
        <v>1.12012</v>
      </c>
      <c r="H9" s="16"/>
      <c r="I9" s="16"/>
      <c r="J9" s="26">
        <v>750</v>
      </c>
      <c r="K9" s="16" t="s">
        <v>906</v>
      </c>
      <c r="L9" s="16">
        <v>17.715</v>
      </c>
      <c r="M9" s="16" t="s">
        <v>945</v>
      </c>
      <c r="N9" s="16">
        <v>1.1432199999999999</v>
      </c>
      <c r="O9" s="16">
        <f>L9-MonteCarlo!$H$10</f>
        <v>-0.32745667966332448</v>
      </c>
      <c r="P9" s="16">
        <v>3.4169999999999998</v>
      </c>
    </row>
    <row r="10" spans="1:16" x14ac:dyDescent="0.25">
      <c r="A10" s="26">
        <v>1000</v>
      </c>
      <c r="B10" s="16" t="s">
        <v>907</v>
      </c>
      <c r="C10" s="16">
        <v>17.953437875960731</v>
      </c>
      <c r="D10" s="16" t="s">
        <v>928</v>
      </c>
      <c r="E10" s="16">
        <v>0.92472339386561853</v>
      </c>
      <c r="F10" s="16">
        <f>C10-MonteCarlo!$H$10</f>
        <v>-8.901880370259363E-2</v>
      </c>
      <c r="G10" s="16">
        <v>1.5122100000000001</v>
      </c>
      <c r="H10" s="16"/>
      <c r="I10" s="16"/>
      <c r="J10" s="26">
        <v>1000</v>
      </c>
      <c r="K10" s="16" t="s">
        <v>906</v>
      </c>
      <c r="L10" s="16">
        <v>17.911300000000001</v>
      </c>
      <c r="M10" s="16" t="s">
        <v>947</v>
      </c>
      <c r="N10" s="16">
        <v>0.95558399999999999</v>
      </c>
      <c r="O10" s="16">
        <f>L10-MonteCarlo!$H$10</f>
        <v>-0.13115667966332367</v>
      </c>
      <c r="P10" s="16">
        <v>4.4870000000000001</v>
      </c>
    </row>
    <row r="11" spans="1:16" x14ac:dyDescent="0.25">
      <c r="A11" s="26">
        <v>2500</v>
      </c>
      <c r="B11" s="16" t="s">
        <v>907</v>
      </c>
      <c r="C11" s="16">
        <v>18.252507504936965</v>
      </c>
      <c r="D11" s="16" t="s">
        <v>929</v>
      </c>
      <c r="E11" s="16">
        <v>0.60388018390102804</v>
      </c>
      <c r="F11" s="16">
        <f>C11-MonteCarlo!$H$10</f>
        <v>0.21005082527364038</v>
      </c>
      <c r="G11" s="16">
        <v>3.93506</v>
      </c>
      <c r="H11" s="16"/>
      <c r="I11" s="16"/>
      <c r="J11" s="26">
        <v>2500</v>
      </c>
      <c r="K11" s="16" t="s">
        <v>906</v>
      </c>
      <c r="L11" s="16">
        <v>18.1922</v>
      </c>
      <c r="M11" s="16" t="s">
        <v>946</v>
      </c>
      <c r="N11" s="16">
        <v>0.610626</v>
      </c>
      <c r="O11" s="16">
        <f>L11-MonteCarlo!$H$10</f>
        <v>0.14974332033667537</v>
      </c>
      <c r="P11" s="16">
        <v>11.366</v>
      </c>
    </row>
    <row r="12" spans="1:16" x14ac:dyDescent="0.25">
      <c r="A12" s="26">
        <v>5000</v>
      </c>
      <c r="B12" s="16" t="s">
        <v>907</v>
      </c>
      <c r="C12" s="16">
        <v>18.302793306868985</v>
      </c>
      <c r="D12" s="16" t="s">
        <v>930</v>
      </c>
      <c r="E12" s="16">
        <v>0.41081631307203625</v>
      </c>
      <c r="F12" s="16">
        <f>C12-MonteCarlo!$H$10</f>
        <v>0.26033662720566042</v>
      </c>
      <c r="G12" s="16">
        <v>8.0493199999999998</v>
      </c>
      <c r="H12" s="16"/>
      <c r="I12" s="16"/>
      <c r="J12" s="26">
        <v>5000</v>
      </c>
      <c r="K12" s="16" t="s">
        <v>906</v>
      </c>
      <c r="L12" s="16">
        <v>17.9892</v>
      </c>
      <c r="M12" s="16" t="s">
        <v>948</v>
      </c>
      <c r="N12" s="16">
        <v>0.43042999999999998</v>
      </c>
      <c r="O12" s="16">
        <f>L12-MonteCarlo!$H$10</f>
        <v>-5.3256679663324036E-2</v>
      </c>
      <c r="P12" s="16">
        <v>22.651</v>
      </c>
    </row>
    <row r="13" spans="1:16" x14ac:dyDescent="0.25">
      <c r="A13" s="26">
        <v>7500</v>
      </c>
      <c r="B13" s="16" t="s">
        <v>907</v>
      </c>
      <c r="C13" s="16">
        <v>17.897333378053098</v>
      </c>
      <c r="D13" s="16" t="s">
        <v>931</v>
      </c>
      <c r="E13" s="16">
        <v>0.32622994717031223</v>
      </c>
      <c r="F13" s="16">
        <f>C13-MonteCarlo!$H$10</f>
        <v>-0.14512330161022646</v>
      </c>
      <c r="G13" s="16">
        <v>11.31006</v>
      </c>
      <c r="H13" s="16"/>
      <c r="I13" s="16"/>
      <c r="J13" s="26">
        <v>7500</v>
      </c>
      <c r="K13" s="16" t="s">
        <v>906</v>
      </c>
      <c r="L13" s="16">
        <v>17.977499999999999</v>
      </c>
      <c r="M13" s="16" t="s">
        <v>949</v>
      </c>
      <c r="N13" s="16">
        <v>0.35090300000000002</v>
      </c>
      <c r="O13" s="16">
        <f>L13-MonteCarlo!$H$10</f>
        <v>-6.495667966332519E-2</v>
      </c>
      <c r="P13" s="16">
        <v>34.506999999999998</v>
      </c>
    </row>
    <row r="14" spans="1:16" x14ac:dyDescent="0.25">
      <c r="A14" s="26">
        <v>10000</v>
      </c>
      <c r="B14" s="16" t="s">
        <v>907</v>
      </c>
      <c r="C14" s="16">
        <v>17.951508064763352</v>
      </c>
      <c r="D14" s="16" t="s">
        <v>932</v>
      </c>
      <c r="E14" s="16">
        <v>0.29158728618158086</v>
      </c>
      <c r="F14" s="16">
        <f>C14-MonteCarlo!$H$10</f>
        <v>-9.0948614899971858E-2</v>
      </c>
      <c r="G14" s="16">
        <v>15.101559999999999</v>
      </c>
      <c r="H14" s="16"/>
      <c r="I14" s="16"/>
      <c r="J14" s="26">
        <v>10000</v>
      </c>
      <c r="K14" s="16" t="s">
        <v>906</v>
      </c>
      <c r="L14" s="16">
        <v>18.221</v>
      </c>
      <c r="M14" s="16" t="s">
        <v>950</v>
      </c>
      <c r="N14" s="16">
        <v>0.305836</v>
      </c>
      <c r="O14" s="16">
        <f>L14-MonteCarlo!$H$10</f>
        <v>0.17854332033667575</v>
      </c>
      <c r="P14" s="16">
        <v>48.686</v>
      </c>
    </row>
    <row r="15" spans="1:16" x14ac:dyDescent="0.25">
      <c r="A15" s="26">
        <v>25000</v>
      </c>
      <c r="B15" s="16" t="s">
        <v>907</v>
      </c>
      <c r="C15" s="16">
        <v>17.976064115554426</v>
      </c>
      <c r="D15" s="16" t="s">
        <v>933</v>
      </c>
      <c r="E15" s="16">
        <v>0.19154255368335621</v>
      </c>
      <c r="F15" s="16">
        <f>C15-MonteCarlo!$H$10</f>
        <v>-6.6392564108898711E-2</v>
      </c>
      <c r="G15" s="16">
        <v>39.248049999999999</v>
      </c>
      <c r="H15" s="16"/>
      <c r="I15" s="16"/>
      <c r="J15" s="26">
        <v>25000</v>
      </c>
      <c r="K15" s="16" t="s">
        <v>906</v>
      </c>
      <c r="L15" s="16">
        <v>17.918600000000001</v>
      </c>
      <c r="M15" s="16" t="s">
        <v>951</v>
      </c>
      <c r="N15" s="16">
        <v>0.19298899999999999</v>
      </c>
      <c r="O15" s="16">
        <f>L15-MonteCarlo!$H$10</f>
        <v>-0.12385667966332292</v>
      </c>
      <c r="P15" s="16">
        <v>117.64700000000001</v>
      </c>
    </row>
    <row r="16" spans="1:16" x14ac:dyDescent="0.25">
      <c r="A16" s="26">
        <v>50000</v>
      </c>
      <c r="B16" s="16" t="s">
        <v>907</v>
      </c>
      <c r="C16" s="16">
        <v>18.173374181295753</v>
      </c>
      <c r="D16" s="16" t="s">
        <v>934</v>
      </c>
      <c r="E16" s="16">
        <v>0.13596271495882953</v>
      </c>
      <c r="F16" s="16">
        <f>C16-MonteCarlo!$H$10</f>
        <v>0.13091750163242821</v>
      </c>
      <c r="G16" s="16">
        <v>90.875979999999998</v>
      </c>
      <c r="H16" s="16"/>
      <c r="I16" s="16"/>
      <c r="J16" s="26">
        <v>50000</v>
      </c>
      <c r="K16" s="16" t="s">
        <v>906</v>
      </c>
      <c r="L16" s="16">
        <v>17.973600000000001</v>
      </c>
      <c r="M16" s="16" t="s">
        <v>952</v>
      </c>
      <c r="N16" s="16">
        <v>0.13611200000000001</v>
      </c>
      <c r="O16" s="16">
        <f>L16-MonteCarlo!$H$10</f>
        <v>-6.8856679663323206E-2</v>
      </c>
      <c r="P16" s="16">
        <v>226.38499999999999</v>
      </c>
    </row>
    <row r="17" spans="1:16" x14ac:dyDescent="0.25">
      <c r="A17" s="26">
        <v>75000</v>
      </c>
      <c r="B17" s="16" t="s">
        <v>907</v>
      </c>
      <c r="C17" s="16" t="s">
        <v>989</v>
      </c>
      <c r="D17" s="16" t="s">
        <v>989</v>
      </c>
      <c r="E17" s="16" t="s">
        <v>989</v>
      </c>
      <c r="F17" s="16" t="s">
        <v>989</v>
      </c>
      <c r="G17" s="16" t="s">
        <v>989</v>
      </c>
      <c r="H17" s="16"/>
      <c r="I17" s="16"/>
      <c r="J17" s="26">
        <v>75000</v>
      </c>
      <c r="K17" s="16" t="s">
        <v>906</v>
      </c>
      <c r="L17" s="16">
        <v>18.1111</v>
      </c>
      <c r="M17" s="16" t="s">
        <v>953</v>
      </c>
      <c r="N17" s="16">
        <v>0.11140799999999999</v>
      </c>
      <c r="O17" s="16">
        <f>L17-MonteCarlo!$H$10</f>
        <v>6.8643320336676084E-2</v>
      </c>
      <c r="P17" s="16">
        <v>376.26299999999998</v>
      </c>
    </row>
    <row r="18" spans="1:16" x14ac:dyDescent="0.25">
      <c r="A18" s="26">
        <v>100000</v>
      </c>
      <c r="B18" s="16" t="s">
        <v>907</v>
      </c>
      <c r="C18" s="16" t="s">
        <v>989</v>
      </c>
      <c r="D18" s="16" t="s">
        <v>989</v>
      </c>
      <c r="E18" s="16" t="s">
        <v>989</v>
      </c>
      <c r="F18" s="16" t="s">
        <v>989</v>
      </c>
      <c r="G18" s="16" t="s">
        <v>989</v>
      </c>
      <c r="H18" s="16"/>
      <c r="I18" s="16"/>
      <c r="J18" s="26">
        <v>100000</v>
      </c>
      <c r="K18" s="16" t="s">
        <v>906</v>
      </c>
      <c r="L18" s="16">
        <v>18.098199999999999</v>
      </c>
      <c r="M18" s="16" t="s">
        <v>954</v>
      </c>
      <c r="N18" s="16">
        <v>9.6190399999999995E-2</v>
      </c>
      <c r="O18" s="16">
        <f>L18-MonteCarlo!$H$10</f>
        <v>5.5743320336674174E-2</v>
      </c>
      <c r="P18" s="16">
        <v>456.38</v>
      </c>
    </row>
    <row r="23" spans="1:16" x14ac:dyDescent="0.25">
      <c r="A23" s="16" t="s">
        <v>903</v>
      </c>
      <c r="B23" s="16" t="s">
        <v>998</v>
      </c>
      <c r="C23" s="16" t="s">
        <v>999</v>
      </c>
      <c r="D23" s="16" t="s">
        <v>1000</v>
      </c>
      <c r="E23" s="16" t="s">
        <v>905</v>
      </c>
      <c r="F23" s="16" t="s">
        <v>1001</v>
      </c>
      <c r="G23" s="16" t="s">
        <v>904</v>
      </c>
      <c r="H23" s="16" t="s">
        <v>1002</v>
      </c>
      <c r="I23" s="16"/>
    </row>
    <row r="24" spans="1:16" x14ac:dyDescent="0.25">
      <c r="A24" s="26">
        <v>10</v>
      </c>
      <c r="B24" s="72">
        <f>LN(A24)</f>
        <v>2.3025850929940459</v>
      </c>
      <c r="C24" s="16">
        <v>18.042456679663324</v>
      </c>
      <c r="D24" s="16">
        <v>18.6751</v>
      </c>
      <c r="E24" s="16">
        <v>0.63264332033667614</v>
      </c>
      <c r="F24" s="16">
        <f>LN(ABS(E24))</f>
        <v>-0.45784849063120298</v>
      </c>
      <c r="G24" s="16">
        <v>16.160499999999999</v>
      </c>
      <c r="H24" s="16">
        <f>LN(G24)</f>
        <v>2.7825699932083583</v>
      </c>
      <c r="I24" s="16"/>
    </row>
    <row r="25" spans="1:16" x14ac:dyDescent="0.25">
      <c r="A25" s="26">
        <v>25</v>
      </c>
      <c r="B25" s="72">
        <f t="shared" ref="B25:B40" si="0">LN(A25)</f>
        <v>3.2188758248682006</v>
      </c>
      <c r="C25" s="16">
        <v>18.042456679663324</v>
      </c>
      <c r="D25" s="16">
        <v>22.2849</v>
      </c>
      <c r="E25" s="16">
        <v>4.242443320336676</v>
      </c>
      <c r="F25" s="16">
        <f t="shared" ref="F25:F40" si="1">LN(ABS(E25))</f>
        <v>1.4451393580692151</v>
      </c>
      <c r="G25" s="16">
        <v>5.3644499999999997</v>
      </c>
      <c r="H25" s="16">
        <f t="shared" ref="H25:H40" si="2">LN(G25)</f>
        <v>1.6797938545180928</v>
      </c>
      <c r="I25" s="16"/>
    </row>
    <row r="26" spans="1:16" x14ac:dyDescent="0.25">
      <c r="A26" s="26">
        <v>50</v>
      </c>
      <c r="B26" s="72">
        <f t="shared" si="0"/>
        <v>3.912023005428146</v>
      </c>
      <c r="C26" s="16">
        <v>18.042456679663324</v>
      </c>
      <c r="D26" s="16">
        <v>18.883700000000001</v>
      </c>
      <c r="E26" s="16">
        <v>0.8412433203366767</v>
      </c>
      <c r="F26" s="16">
        <f t="shared" si="1"/>
        <v>-0.17287433821914869</v>
      </c>
      <c r="G26" s="16">
        <v>3.68608</v>
      </c>
      <c r="H26" s="16">
        <f t="shared" si="2"/>
        <v>1.3045635627560046</v>
      </c>
      <c r="I26" s="16"/>
    </row>
    <row r="27" spans="1:16" x14ac:dyDescent="0.25">
      <c r="A27" s="26">
        <v>75</v>
      </c>
      <c r="B27" s="72">
        <f t="shared" si="0"/>
        <v>4.3174881135363101</v>
      </c>
      <c r="C27" s="16">
        <v>18.042456679663324</v>
      </c>
      <c r="D27" s="16">
        <v>14.731299999999999</v>
      </c>
      <c r="E27" s="16">
        <v>-3.3111566796633252</v>
      </c>
      <c r="F27" s="16">
        <f t="shared" si="1"/>
        <v>1.1972975783948667</v>
      </c>
      <c r="G27" s="16">
        <v>2.9990299999999999</v>
      </c>
      <c r="H27" s="16">
        <f t="shared" si="2"/>
        <v>1.0982889030512837</v>
      </c>
      <c r="I27" s="16"/>
    </row>
    <row r="28" spans="1:16" x14ac:dyDescent="0.25">
      <c r="A28" s="26">
        <v>100</v>
      </c>
      <c r="B28" s="72">
        <f t="shared" si="0"/>
        <v>4.6051701859880918</v>
      </c>
      <c r="C28" s="16">
        <v>18.042456679663324</v>
      </c>
      <c r="D28" s="16">
        <v>19.819700000000001</v>
      </c>
      <c r="E28" s="16">
        <v>1.7772433203366766</v>
      </c>
      <c r="F28" s="16">
        <f t="shared" si="1"/>
        <v>0.57506346739399028</v>
      </c>
      <c r="G28" s="16">
        <v>3.3689300000000002</v>
      </c>
      <c r="H28" s="16">
        <f t="shared" si="2"/>
        <v>1.2145951865297204</v>
      </c>
      <c r="I28" s="16"/>
    </row>
    <row r="29" spans="1:16" x14ac:dyDescent="0.25">
      <c r="A29" s="26">
        <v>250</v>
      </c>
      <c r="B29" s="72">
        <f t="shared" si="0"/>
        <v>5.521460917862246</v>
      </c>
      <c r="C29" s="16">
        <v>18.042456679663324</v>
      </c>
      <c r="D29" s="16">
        <v>18.752300000000002</v>
      </c>
      <c r="E29" s="16">
        <v>0.70984332033667741</v>
      </c>
      <c r="F29" s="16">
        <f t="shared" si="1"/>
        <v>-0.34271100888135947</v>
      </c>
      <c r="G29" s="16">
        <v>2.1376599999999999</v>
      </c>
      <c r="H29" s="16">
        <f t="shared" si="2"/>
        <v>0.75971177282854174</v>
      </c>
      <c r="I29" s="16"/>
    </row>
    <row r="30" spans="1:16" x14ac:dyDescent="0.25">
      <c r="A30" s="26">
        <v>500</v>
      </c>
      <c r="B30" s="72">
        <f t="shared" si="0"/>
        <v>6.2146080984221914</v>
      </c>
      <c r="C30" s="16">
        <v>18.042456679663324</v>
      </c>
      <c r="D30" s="16">
        <v>18.589200000000002</v>
      </c>
      <c r="E30" s="16">
        <v>0.54674332033667739</v>
      </c>
      <c r="F30" s="16">
        <f t="shared" si="1"/>
        <v>-0.60377583653385747</v>
      </c>
      <c r="G30" s="16">
        <v>1.41408</v>
      </c>
      <c r="H30" s="16">
        <f t="shared" si="2"/>
        <v>0.34647914296023807</v>
      </c>
      <c r="I30" s="16"/>
    </row>
    <row r="31" spans="1:16" x14ac:dyDescent="0.25">
      <c r="A31" s="26">
        <v>750</v>
      </c>
      <c r="B31" s="72">
        <f t="shared" si="0"/>
        <v>6.620073206530356</v>
      </c>
      <c r="C31" s="16">
        <v>18.042456679663324</v>
      </c>
      <c r="D31" s="16">
        <v>17.715</v>
      </c>
      <c r="E31" s="16">
        <v>-0.32745667966332448</v>
      </c>
      <c r="F31" s="16">
        <f t="shared" si="1"/>
        <v>-1.1163995084932277</v>
      </c>
      <c r="G31" s="16">
        <v>1.1432199999999999</v>
      </c>
      <c r="H31" s="16">
        <f t="shared" si="2"/>
        <v>0.13384884223206367</v>
      </c>
      <c r="I31" s="16"/>
    </row>
    <row r="32" spans="1:16" x14ac:dyDescent="0.25">
      <c r="A32" s="26">
        <v>1000</v>
      </c>
      <c r="B32" s="72">
        <f t="shared" si="0"/>
        <v>6.9077552789821368</v>
      </c>
      <c r="C32" s="16">
        <v>18.042456679663324</v>
      </c>
      <c r="D32" s="16">
        <v>17.911300000000001</v>
      </c>
      <c r="E32" s="16">
        <v>-0.13115667966332367</v>
      </c>
      <c r="F32" s="16">
        <f t="shared" si="1"/>
        <v>-2.0313626424883404</v>
      </c>
      <c r="G32" s="16">
        <v>0.95558399999999999</v>
      </c>
      <c r="H32" s="16">
        <f t="shared" si="2"/>
        <v>-4.5432607077938385E-2</v>
      </c>
      <c r="I32" s="16"/>
    </row>
    <row r="33" spans="1:9" x14ac:dyDescent="0.25">
      <c r="A33" s="26">
        <v>2500</v>
      </c>
      <c r="B33" s="72">
        <f t="shared" si="0"/>
        <v>7.8240460108562919</v>
      </c>
      <c r="C33" s="16">
        <v>18.042456679663324</v>
      </c>
      <c r="D33" s="16">
        <v>18.1922</v>
      </c>
      <c r="E33" s="16">
        <v>0.14974332033667537</v>
      </c>
      <c r="F33" s="16">
        <f t="shared" si="1"/>
        <v>-1.8988326484126463</v>
      </c>
      <c r="G33" s="16">
        <v>0.610626</v>
      </c>
      <c r="H33" s="16">
        <f t="shared" si="2"/>
        <v>-0.49327061852010534</v>
      </c>
      <c r="I33" s="16"/>
    </row>
    <row r="34" spans="1:9" x14ac:dyDescent="0.25">
      <c r="A34" s="26">
        <v>5000</v>
      </c>
      <c r="B34" s="72">
        <f t="shared" si="0"/>
        <v>8.5171931914162382</v>
      </c>
      <c r="C34" s="16">
        <v>18.042456679663324</v>
      </c>
      <c r="D34" s="16">
        <v>17.9892</v>
      </c>
      <c r="E34" s="16">
        <v>-5.3256679663324036E-2</v>
      </c>
      <c r="F34" s="16">
        <f t="shared" si="1"/>
        <v>-2.9326320425726657</v>
      </c>
      <c r="G34" s="16">
        <v>0.43042999999999998</v>
      </c>
      <c r="H34" s="16">
        <f t="shared" si="2"/>
        <v>-0.84297056996144548</v>
      </c>
      <c r="I34" s="16"/>
    </row>
    <row r="35" spans="1:9" x14ac:dyDescent="0.25">
      <c r="A35" s="26">
        <v>7500</v>
      </c>
      <c r="B35" s="72">
        <f t="shared" si="0"/>
        <v>8.9226582995244019</v>
      </c>
      <c r="C35" s="16">
        <v>18.042456679663324</v>
      </c>
      <c r="D35" s="16">
        <v>17.977499999999999</v>
      </c>
      <c r="E35" s="16">
        <v>-6.495667966332519E-2</v>
      </c>
      <c r="F35" s="16">
        <f t="shared" si="1"/>
        <v>-2.734034697992243</v>
      </c>
      <c r="G35" s="16">
        <v>0.35090300000000002</v>
      </c>
      <c r="H35" s="16">
        <f t="shared" si="2"/>
        <v>-1.0472454469852277</v>
      </c>
      <c r="I35" s="16"/>
    </row>
    <row r="36" spans="1:9" x14ac:dyDescent="0.25">
      <c r="A36" s="26">
        <v>10000</v>
      </c>
      <c r="B36" s="72">
        <f t="shared" si="0"/>
        <v>9.2103403719761836</v>
      </c>
      <c r="C36" s="16">
        <v>18.042456679663324</v>
      </c>
      <c r="D36" s="16">
        <v>18.221</v>
      </c>
      <c r="E36" s="16">
        <v>0.17854332033667575</v>
      </c>
      <c r="F36" s="16">
        <f t="shared" si="1"/>
        <v>-1.7229240162453621</v>
      </c>
      <c r="G36" s="16">
        <v>0.305836</v>
      </c>
      <c r="H36" s="16">
        <f t="shared" si="2"/>
        <v>-1.1847062684134857</v>
      </c>
      <c r="I36" s="16"/>
    </row>
    <row r="37" spans="1:9" x14ac:dyDescent="0.25">
      <c r="A37" s="26">
        <v>25000</v>
      </c>
      <c r="B37" s="72">
        <f t="shared" si="0"/>
        <v>10.126631103850338</v>
      </c>
      <c r="C37" s="16">
        <v>18.042456679663324</v>
      </c>
      <c r="D37" s="16">
        <v>17.918600000000001</v>
      </c>
      <c r="E37" s="16">
        <v>-0.12385667966332292</v>
      </c>
      <c r="F37" s="16">
        <f t="shared" si="1"/>
        <v>-2.0886301910063922</v>
      </c>
      <c r="G37" s="16">
        <v>0.19298899999999999</v>
      </c>
      <c r="H37" s="16">
        <f t="shared" si="2"/>
        <v>-1.6451220865201708</v>
      </c>
      <c r="I37" s="16"/>
    </row>
    <row r="38" spans="1:9" x14ac:dyDescent="0.25">
      <c r="A38" s="26">
        <v>50000</v>
      </c>
      <c r="B38" s="72">
        <f t="shared" si="0"/>
        <v>10.819778284410283</v>
      </c>
      <c r="C38" s="16">
        <v>18.042456679663324</v>
      </c>
      <c r="D38" s="16">
        <v>17.973600000000001</v>
      </c>
      <c r="E38" s="16">
        <v>-6.8856679663323206E-2</v>
      </c>
      <c r="F38" s="16">
        <f t="shared" si="1"/>
        <v>-2.6757280408906738</v>
      </c>
      <c r="G38" s="16">
        <v>0.13611200000000001</v>
      </c>
      <c r="H38" s="16">
        <f t="shared" si="2"/>
        <v>-1.9942772027486084</v>
      </c>
      <c r="I38" s="16"/>
    </row>
    <row r="39" spans="1:9" x14ac:dyDescent="0.25">
      <c r="A39" s="26">
        <v>75000</v>
      </c>
      <c r="B39" s="72">
        <f t="shared" si="0"/>
        <v>11.225243392518447</v>
      </c>
      <c r="C39" s="16">
        <v>18.042456679663324</v>
      </c>
      <c r="D39" s="16">
        <v>18.1111</v>
      </c>
      <c r="E39" s="16">
        <v>6.8643320336676084E-2</v>
      </c>
      <c r="F39" s="16">
        <f t="shared" si="1"/>
        <v>-2.678831451769053</v>
      </c>
      <c r="G39" s="16">
        <v>0.11140799999999999</v>
      </c>
      <c r="H39" s="16">
        <f t="shared" si="2"/>
        <v>-2.1945561407819461</v>
      </c>
      <c r="I39" s="16"/>
    </row>
    <row r="40" spans="1:9" x14ac:dyDescent="0.25">
      <c r="A40" s="26">
        <v>100000</v>
      </c>
      <c r="B40" s="72">
        <f t="shared" si="0"/>
        <v>11.512925464970229</v>
      </c>
      <c r="C40" s="16">
        <v>18.042456679663324</v>
      </c>
      <c r="D40" s="16">
        <v>18.098199999999999</v>
      </c>
      <c r="E40" s="16">
        <v>5.5743320336674174E-2</v>
      </c>
      <c r="F40" s="16">
        <f t="shared" si="1"/>
        <v>-2.8869976904090544</v>
      </c>
      <c r="G40" s="16">
        <v>9.6190399999999995E-2</v>
      </c>
      <c r="H40" s="16">
        <f t="shared" si="2"/>
        <v>-2.3414257183898313</v>
      </c>
      <c r="I40" s="1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0"/>
  <sheetViews>
    <sheetView workbookViewId="0"/>
  </sheetViews>
  <sheetFormatPr defaultRowHeight="15" x14ac:dyDescent="0.25"/>
  <cols>
    <col min="1" max="1" width="14.85546875" bestFit="1" customWidth="1"/>
    <col min="2" max="3" width="12" bestFit="1" customWidth="1"/>
    <col min="4" max="4" width="41.28515625" bestFit="1" customWidth="1"/>
    <col min="5" max="5" width="13.7109375" bestFit="1" customWidth="1"/>
    <col min="6" max="6" width="19.5703125" bestFit="1" customWidth="1"/>
    <col min="7" max="7" width="22" bestFit="1" customWidth="1"/>
    <col min="8" max="8" width="12.7109375" bestFit="1" customWidth="1"/>
    <col min="10" max="10" width="14.85546875" bestFit="1" customWidth="1"/>
    <col min="12" max="12" width="12" bestFit="1" customWidth="1"/>
    <col min="13" max="13" width="41.28515625" bestFit="1" customWidth="1"/>
    <col min="14" max="14" width="13.28515625" customWidth="1"/>
    <col min="15" max="15" width="16.85546875" customWidth="1"/>
    <col min="16" max="16" width="22" bestFit="1" customWidth="1"/>
  </cols>
  <sheetData>
    <row r="1" spans="1:16" x14ac:dyDescent="0.25">
      <c r="A1" s="16" t="s">
        <v>903</v>
      </c>
      <c r="B1" s="16" t="s">
        <v>1004</v>
      </c>
      <c r="C1" s="16" t="s">
        <v>1003</v>
      </c>
      <c r="D1" s="16" t="s">
        <v>991</v>
      </c>
      <c r="E1" s="16" t="s">
        <v>992</v>
      </c>
      <c r="F1" s="16" t="s">
        <v>905</v>
      </c>
      <c r="G1" s="16" t="s">
        <v>993</v>
      </c>
      <c r="H1" s="16"/>
      <c r="I1" s="16"/>
      <c r="J1" s="16" t="s">
        <v>903</v>
      </c>
      <c r="K1" s="16" t="s">
        <v>1004</v>
      </c>
      <c r="L1" s="16" t="s">
        <v>1003</v>
      </c>
      <c r="M1" s="16" t="s">
        <v>991</v>
      </c>
      <c r="N1" s="16" t="s">
        <v>992</v>
      </c>
      <c r="O1" s="16" t="s">
        <v>905</v>
      </c>
      <c r="P1" s="16" t="s">
        <v>993</v>
      </c>
    </row>
    <row r="2" spans="1:16" x14ac:dyDescent="0.25">
      <c r="A2" s="26">
        <v>10</v>
      </c>
      <c r="B2" s="16" t="s">
        <v>907</v>
      </c>
      <c r="C2" s="16">
        <v>15.561562868782559</v>
      </c>
      <c r="D2" s="71" t="s">
        <v>1005</v>
      </c>
      <c r="E2" s="71">
        <v>8.7613126355174984</v>
      </c>
      <c r="F2" s="71">
        <f>C2-MonteCarlo!$N$10</f>
        <v>-2.4868317283002099</v>
      </c>
      <c r="G2" s="71">
        <v>96.234380000000002</v>
      </c>
      <c r="H2" s="16"/>
      <c r="I2" s="16"/>
      <c r="J2" s="26">
        <v>10</v>
      </c>
      <c r="K2" s="16" t="s">
        <v>906</v>
      </c>
      <c r="L2" s="16">
        <v>14.1015</v>
      </c>
      <c r="M2" s="16" t="s">
        <v>955</v>
      </c>
      <c r="N2" s="16">
        <v>9.4817199999999993</v>
      </c>
      <c r="O2" s="16">
        <f>L2-MonteCarlo!$N$10</f>
        <v>-3.9468945970827694</v>
      </c>
      <c r="P2" s="16">
        <v>9.4E-2</v>
      </c>
    </row>
    <row r="3" spans="1:16" x14ac:dyDescent="0.25">
      <c r="A3" s="26">
        <v>25</v>
      </c>
      <c r="B3" s="16" t="s">
        <v>907</v>
      </c>
      <c r="C3" s="16">
        <v>18.864334814269508</v>
      </c>
      <c r="D3" s="16" t="s">
        <v>908</v>
      </c>
      <c r="E3" s="16">
        <v>5.9246202613236543</v>
      </c>
      <c r="F3" s="16">
        <f>C3-MonteCarlo!$N$10</f>
        <v>0.81594021718673915</v>
      </c>
      <c r="G3" s="16">
        <v>260.88281000000001</v>
      </c>
      <c r="H3" s="16"/>
      <c r="I3" s="16"/>
      <c r="J3" s="26">
        <v>25</v>
      </c>
      <c r="K3" s="16" t="s">
        <v>906</v>
      </c>
      <c r="L3" s="16">
        <v>16.866</v>
      </c>
      <c r="M3" s="16" t="s">
        <v>956</v>
      </c>
      <c r="N3" s="16">
        <v>5.27318</v>
      </c>
      <c r="O3" s="16">
        <f>L3-MonteCarlo!$N$10</f>
        <v>-1.1823945970827694</v>
      </c>
      <c r="P3" s="16">
        <v>0.219</v>
      </c>
    </row>
    <row r="4" spans="1:16" x14ac:dyDescent="0.25">
      <c r="A4" s="26">
        <v>50</v>
      </c>
      <c r="B4" s="16" t="s">
        <v>907</v>
      </c>
      <c r="C4" s="16">
        <v>22.910880677640563</v>
      </c>
      <c r="D4" s="16" t="s">
        <v>1006</v>
      </c>
      <c r="E4" s="16">
        <v>5.0131382988529225</v>
      </c>
      <c r="F4" s="16">
        <f>C4-MonteCarlo!$N$10</f>
        <v>4.8624860805577939</v>
      </c>
      <c r="G4" s="16">
        <v>340.77343999999999</v>
      </c>
      <c r="H4" s="16"/>
      <c r="I4" s="16"/>
      <c r="J4" s="26">
        <v>50</v>
      </c>
      <c r="K4" s="16" t="s">
        <v>906</v>
      </c>
      <c r="L4" s="16">
        <v>21.671700000000001</v>
      </c>
      <c r="M4" s="16" t="s">
        <v>957</v>
      </c>
      <c r="N4" s="16">
        <v>4.6310599999999997</v>
      </c>
      <c r="O4" s="16">
        <f>L4-MonteCarlo!$N$10</f>
        <v>3.6233054029172322</v>
      </c>
      <c r="P4" s="16">
        <v>0.42199999999999999</v>
      </c>
    </row>
    <row r="5" spans="1:16" x14ac:dyDescent="0.25">
      <c r="A5" s="26">
        <v>75</v>
      </c>
      <c r="B5" s="16" t="s">
        <v>907</v>
      </c>
      <c r="C5" s="16">
        <v>17.100194553730287</v>
      </c>
      <c r="D5" s="16" t="s">
        <v>1007</v>
      </c>
      <c r="E5" s="16">
        <v>4.014080410816498</v>
      </c>
      <c r="F5" s="16">
        <f>C5-MonteCarlo!$N$10</f>
        <v>-0.94820004335248242</v>
      </c>
      <c r="G5" s="16">
        <v>542.23828000000003</v>
      </c>
      <c r="H5" s="16"/>
      <c r="I5" s="16"/>
      <c r="J5" s="26">
        <v>75</v>
      </c>
      <c r="K5" s="16" t="s">
        <v>906</v>
      </c>
      <c r="L5" s="16">
        <v>18.671800000000001</v>
      </c>
      <c r="M5" s="16" t="s">
        <v>958</v>
      </c>
      <c r="N5" s="16">
        <v>3.3568899999999999</v>
      </c>
      <c r="O5" s="16">
        <f>L5-MonteCarlo!$N$10</f>
        <v>0.62340540291723201</v>
      </c>
      <c r="P5" s="16">
        <v>0.63500000000000001</v>
      </c>
    </row>
    <row r="6" spans="1:16" x14ac:dyDescent="0.25">
      <c r="A6" s="26">
        <v>100</v>
      </c>
      <c r="B6" s="16" t="s">
        <v>907</v>
      </c>
      <c r="C6" s="16">
        <v>20.60746128337594</v>
      </c>
      <c r="D6" s="16" t="s">
        <v>1008</v>
      </c>
      <c r="E6" s="16">
        <v>3.0396213062068029</v>
      </c>
      <c r="F6" s="16">
        <f>C6-MonteCarlo!$N$10</f>
        <v>2.5590666862931712</v>
      </c>
      <c r="G6" s="16">
        <v>665.56641000000002</v>
      </c>
      <c r="H6" s="16"/>
      <c r="I6" s="16"/>
      <c r="J6" s="26">
        <v>100</v>
      </c>
      <c r="K6" s="16" t="s">
        <v>906</v>
      </c>
      <c r="L6" s="16">
        <v>18.109200000000001</v>
      </c>
      <c r="M6" s="16" t="s">
        <v>959</v>
      </c>
      <c r="N6" s="16">
        <v>3.0021</v>
      </c>
      <c r="O6" s="16">
        <f>L6-MonteCarlo!$N$10</f>
        <v>6.0805402917232243E-2</v>
      </c>
      <c r="P6" s="16">
        <v>0.84399999999999997</v>
      </c>
    </row>
    <row r="7" spans="1:16" x14ac:dyDescent="0.25">
      <c r="A7" s="26">
        <v>250</v>
      </c>
      <c r="B7" s="16" t="s">
        <v>907</v>
      </c>
      <c r="C7" s="16">
        <v>18.222469108824548</v>
      </c>
      <c r="D7" s="16" t="s">
        <v>1009</v>
      </c>
      <c r="E7" s="16">
        <v>1.8847414558528601</v>
      </c>
      <c r="F7" s="16">
        <f>C7-MonteCarlo!$N$10</f>
        <v>0.17407451174177879</v>
      </c>
      <c r="G7" s="16">
        <v>1606.7773400000001</v>
      </c>
      <c r="H7" s="16"/>
      <c r="I7" s="16"/>
      <c r="J7" s="26">
        <v>250</v>
      </c>
      <c r="K7" s="16" t="s">
        <v>906</v>
      </c>
      <c r="L7" s="16">
        <v>18.152000000000001</v>
      </c>
      <c r="M7" s="16" t="s">
        <v>960</v>
      </c>
      <c r="N7" s="16">
        <v>1.8481000000000001</v>
      </c>
      <c r="O7" s="16">
        <f>L7-MonteCarlo!$N$10</f>
        <v>0.10360540291723197</v>
      </c>
      <c r="P7" s="16">
        <v>2.306</v>
      </c>
    </row>
    <row r="8" spans="1:16" x14ac:dyDescent="0.25">
      <c r="A8" s="26">
        <v>500</v>
      </c>
      <c r="B8" s="16" t="s">
        <v>907</v>
      </c>
      <c r="C8" s="16" t="s">
        <v>989</v>
      </c>
      <c r="D8" s="16" t="s">
        <v>989</v>
      </c>
      <c r="E8" s="16" t="s">
        <v>989</v>
      </c>
      <c r="F8" s="16" t="s">
        <v>989</v>
      </c>
      <c r="G8" s="16" t="s">
        <v>989</v>
      </c>
      <c r="H8" s="16"/>
      <c r="I8" s="16"/>
      <c r="J8" s="26">
        <v>500</v>
      </c>
      <c r="K8" s="16" t="s">
        <v>906</v>
      </c>
      <c r="L8" s="16">
        <v>20.094000000000001</v>
      </c>
      <c r="M8" s="16" t="s">
        <v>961</v>
      </c>
      <c r="N8" s="16">
        <v>1.3320799999999999</v>
      </c>
      <c r="O8" s="16">
        <f>L8-MonteCarlo!$N$10</f>
        <v>2.0456054029172321</v>
      </c>
      <c r="P8" s="16">
        <v>4.1619999999999999</v>
      </c>
    </row>
    <row r="9" spans="1:16" x14ac:dyDescent="0.25">
      <c r="A9" s="26">
        <v>750</v>
      </c>
      <c r="B9" s="16" t="s">
        <v>907</v>
      </c>
      <c r="C9" s="16" t="s">
        <v>989</v>
      </c>
      <c r="D9" s="16" t="s">
        <v>989</v>
      </c>
      <c r="E9" s="16" t="s">
        <v>989</v>
      </c>
      <c r="F9" s="16" t="s">
        <v>989</v>
      </c>
      <c r="G9" s="16" t="s">
        <v>989</v>
      </c>
      <c r="H9" s="16"/>
      <c r="I9" s="16"/>
      <c r="J9" s="26">
        <v>750</v>
      </c>
      <c r="K9" s="16" t="s">
        <v>906</v>
      </c>
      <c r="L9" s="16">
        <v>16.751899999999999</v>
      </c>
      <c r="M9" s="16" t="s">
        <v>962</v>
      </c>
      <c r="N9" s="16">
        <v>1.0032000000000001</v>
      </c>
      <c r="O9" s="16">
        <f>L9-MonteCarlo!$N$10</f>
        <v>-1.2964945970827699</v>
      </c>
      <c r="P9" s="16">
        <v>6.2480000000000002</v>
      </c>
    </row>
    <row r="10" spans="1:16" x14ac:dyDescent="0.25">
      <c r="A10" s="26">
        <v>1000</v>
      </c>
      <c r="B10" s="16" t="s">
        <v>907</v>
      </c>
      <c r="C10" s="16" t="s">
        <v>989</v>
      </c>
      <c r="D10" s="16" t="s">
        <v>989</v>
      </c>
      <c r="E10" s="16" t="s">
        <v>989</v>
      </c>
      <c r="F10" s="16" t="s">
        <v>989</v>
      </c>
      <c r="G10" s="16" t="s">
        <v>989</v>
      </c>
      <c r="H10" s="16"/>
      <c r="I10" s="16"/>
      <c r="J10" s="26">
        <v>1000</v>
      </c>
      <c r="K10" s="16" t="s">
        <v>906</v>
      </c>
      <c r="L10" s="16">
        <v>18.528600000000001</v>
      </c>
      <c r="M10" s="16" t="s">
        <v>963</v>
      </c>
      <c r="N10" s="16">
        <v>0.95574499999999996</v>
      </c>
      <c r="O10" s="16">
        <f>L10-MonteCarlo!$N$10</f>
        <v>0.48020540291723179</v>
      </c>
      <c r="P10" s="16">
        <v>8.3460000000000001</v>
      </c>
    </row>
    <row r="11" spans="1:16" x14ac:dyDescent="0.25">
      <c r="A11" s="26">
        <v>2500</v>
      </c>
      <c r="B11" s="16" t="s">
        <v>907</v>
      </c>
      <c r="C11" s="16" t="s">
        <v>989</v>
      </c>
      <c r="D11" s="16" t="s">
        <v>989</v>
      </c>
      <c r="E11" s="16" t="s">
        <v>989</v>
      </c>
      <c r="F11" s="16" t="s">
        <v>989</v>
      </c>
      <c r="G11" s="16" t="s">
        <v>989</v>
      </c>
      <c r="H11" s="16"/>
      <c r="I11" s="16"/>
      <c r="J11" s="26">
        <v>2500</v>
      </c>
      <c r="K11" s="16" t="s">
        <v>906</v>
      </c>
      <c r="L11" s="16">
        <v>18.127600000000001</v>
      </c>
      <c r="M11" s="16" t="s">
        <v>964</v>
      </c>
      <c r="N11" s="16">
        <v>0.59250400000000003</v>
      </c>
      <c r="O11" s="16">
        <f>L11-MonteCarlo!$N$10</f>
        <v>7.9205402917231993E-2</v>
      </c>
      <c r="P11" s="16">
        <v>22.492000000000001</v>
      </c>
    </row>
    <row r="12" spans="1:16" x14ac:dyDescent="0.25">
      <c r="A12" s="26">
        <v>5000</v>
      </c>
      <c r="B12" s="16" t="s">
        <v>907</v>
      </c>
      <c r="C12" s="16" t="s">
        <v>989</v>
      </c>
      <c r="D12" s="16" t="s">
        <v>989</v>
      </c>
      <c r="E12" s="16" t="s">
        <v>989</v>
      </c>
      <c r="F12" s="16" t="s">
        <v>989</v>
      </c>
      <c r="G12" s="16" t="s">
        <v>989</v>
      </c>
      <c r="H12" s="16"/>
      <c r="I12" s="16"/>
      <c r="J12" s="26">
        <v>5000</v>
      </c>
      <c r="K12" s="16" t="s">
        <v>906</v>
      </c>
      <c r="L12" s="16">
        <v>18.1173</v>
      </c>
      <c r="M12" s="16" t="s">
        <v>965</v>
      </c>
      <c r="N12" s="16">
        <v>0.42578100000000002</v>
      </c>
      <c r="O12" s="16">
        <f>L12-MonteCarlo!$N$10</f>
        <v>6.8905402917231129E-2</v>
      </c>
      <c r="P12" s="16">
        <v>41.764000000000003</v>
      </c>
    </row>
    <row r="13" spans="1:16" x14ac:dyDescent="0.25">
      <c r="A13" s="26">
        <v>7500</v>
      </c>
      <c r="B13" s="16" t="s">
        <v>907</v>
      </c>
      <c r="C13" s="16" t="s">
        <v>989</v>
      </c>
      <c r="D13" s="16" t="s">
        <v>989</v>
      </c>
      <c r="E13" s="16" t="s">
        <v>989</v>
      </c>
      <c r="F13" s="16" t="s">
        <v>989</v>
      </c>
      <c r="G13" s="16" t="s">
        <v>989</v>
      </c>
      <c r="H13" s="16"/>
      <c r="I13" s="16"/>
      <c r="J13" s="26">
        <v>7500</v>
      </c>
      <c r="K13" s="16" t="s">
        <v>906</v>
      </c>
      <c r="L13" s="16">
        <v>18.406700000000001</v>
      </c>
      <c r="M13" s="16" t="s">
        <v>966</v>
      </c>
      <c r="N13" s="16">
        <v>0.35391099999999998</v>
      </c>
      <c r="O13" s="16">
        <f>L13-MonteCarlo!$N$10</f>
        <v>0.35830540291723167</v>
      </c>
      <c r="P13" s="16">
        <v>62.566000000000003</v>
      </c>
    </row>
    <row r="14" spans="1:16" x14ac:dyDescent="0.25">
      <c r="A14" s="26">
        <v>10000</v>
      </c>
      <c r="B14" s="16" t="s">
        <v>907</v>
      </c>
      <c r="C14" s="16" t="s">
        <v>989</v>
      </c>
      <c r="D14" s="16" t="s">
        <v>989</v>
      </c>
      <c r="E14" s="16" t="s">
        <v>989</v>
      </c>
      <c r="F14" s="16" t="s">
        <v>989</v>
      </c>
      <c r="G14" s="16" t="s">
        <v>989</v>
      </c>
      <c r="H14" s="16"/>
      <c r="I14" s="16"/>
      <c r="J14" s="26">
        <v>10000</v>
      </c>
      <c r="K14" s="16" t="s">
        <v>906</v>
      </c>
      <c r="L14" s="16">
        <v>18.238700000000001</v>
      </c>
      <c r="M14" s="16" t="s">
        <v>967</v>
      </c>
      <c r="N14" s="16">
        <v>0.309888</v>
      </c>
      <c r="O14" s="16">
        <f>L14-MonteCarlo!$N$10</f>
        <v>0.19030540291723241</v>
      </c>
      <c r="P14" s="16">
        <v>93.503</v>
      </c>
    </row>
    <row r="15" spans="1:16" x14ac:dyDescent="0.25">
      <c r="A15" s="26">
        <v>25000</v>
      </c>
      <c r="B15" s="16" t="s">
        <v>907</v>
      </c>
      <c r="C15" s="16" t="s">
        <v>989</v>
      </c>
      <c r="D15" s="16" t="s">
        <v>989</v>
      </c>
      <c r="E15" s="16" t="s">
        <v>989</v>
      </c>
      <c r="F15" s="16" t="s">
        <v>989</v>
      </c>
      <c r="G15" s="16" t="s">
        <v>989</v>
      </c>
      <c r="H15" s="16"/>
      <c r="I15" s="16"/>
      <c r="J15" s="26">
        <v>25000</v>
      </c>
      <c r="K15" s="16" t="s">
        <v>906</v>
      </c>
      <c r="L15" s="16">
        <v>17.980699999999999</v>
      </c>
      <c r="M15" s="16" t="s">
        <v>968</v>
      </c>
      <c r="N15" s="16">
        <v>0.193801</v>
      </c>
      <c r="O15" s="16">
        <f>L15-MonteCarlo!$N$10</f>
        <v>-6.7694597082770258E-2</v>
      </c>
      <c r="P15" s="16">
        <v>219.078</v>
      </c>
    </row>
    <row r="16" spans="1:16" x14ac:dyDescent="0.25">
      <c r="A16" s="26">
        <v>50000</v>
      </c>
      <c r="B16" s="16" t="s">
        <v>907</v>
      </c>
      <c r="C16" s="16" t="s">
        <v>989</v>
      </c>
      <c r="D16" s="16" t="s">
        <v>989</v>
      </c>
      <c r="E16" s="16" t="s">
        <v>989</v>
      </c>
      <c r="F16" s="16" t="s">
        <v>989</v>
      </c>
      <c r="G16" s="16" t="s">
        <v>989</v>
      </c>
      <c r="H16" s="16"/>
      <c r="I16" s="16"/>
      <c r="J16" s="26">
        <v>50000</v>
      </c>
      <c r="K16" s="16" t="s">
        <v>906</v>
      </c>
      <c r="L16" s="16">
        <v>18.0366</v>
      </c>
      <c r="M16" s="16" t="s">
        <v>969</v>
      </c>
      <c r="N16" s="16">
        <v>0.13655</v>
      </c>
      <c r="O16" s="16">
        <f>L16-MonteCarlo!$N$10</f>
        <v>-1.1794597082769087E-2</v>
      </c>
      <c r="P16" s="16">
        <v>425.43700000000001</v>
      </c>
    </row>
    <row r="17" spans="1:16" x14ac:dyDescent="0.25">
      <c r="A17" s="26">
        <v>75000</v>
      </c>
      <c r="B17" s="16" t="s">
        <v>907</v>
      </c>
      <c r="C17" s="16" t="s">
        <v>989</v>
      </c>
      <c r="D17" s="16" t="s">
        <v>989</v>
      </c>
      <c r="E17" s="16" t="s">
        <v>989</v>
      </c>
      <c r="F17" s="16" t="s">
        <v>989</v>
      </c>
      <c r="G17" s="16" t="s">
        <v>989</v>
      </c>
      <c r="H17" s="16"/>
      <c r="I17" s="16"/>
      <c r="J17" s="26">
        <v>75000</v>
      </c>
      <c r="K17" s="16" t="s">
        <v>906</v>
      </c>
      <c r="L17" s="16">
        <v>18.0625</v>
      </c>
      <c r="M17" s="16" t="s">
        <v>970</v>
      </c>
      <c r="N17" s="16">
        <v>0.11128</v>
      </c>
      <c r="O17" s="16">
        <f>L17-MonteCarlo!$N$10</f>
        <v>1.4105402917230947E-2</v>
      </c>
      <c r="P17" s="16">
        <v>643.01199999999994</v>
      </c>
    </row>
    <row r="18" spans="1:16" x14ac:dyDescent="0.25">
      <c r="A18" s="26">
        <v>100000</v>
      </c>
      <c r="B18" s="16" t="s">
        <v>907</v>
      </c>
      <c r="C18" s="16" t="s">
        <v>989</v>
      </c>
      <c r="D18" s="16" t="s">
        <v>989</v>
      </c>
      <c r="E18" s="16" t="s">
        <v>989</v>
      </c>
      <c r="F18" s="16" t="s">
        <v>989</v>
      </c>
      <c r="G18" s="16" t="s">
        <v>989</v>
      </c>
      <c r="H18" s="16"/>
      <c r="I18" s="16"/>
      <c r="J18" s="26">
        <v>100000</v>
      </c>
      <c r="K18" s="16" t="s">
        <v>906</v>
      </c>
      <c r="L18" s="16">
        <v>18.074000000000002</v>
      </c>
      <c r="M18" s="16" t="s">
        <v>971</v>
      </c>
      <c r="N18" s="16">
        <v>9.6335000000000004E-2</v>
      </c>
      <c r="O18" s="16">
        <f>L18-MonteCarlo!$N$10</f>
        <v>2.5605402917232567E-2</v>
      </c>
      <c r="P18" s="16">
        <v>837.33799999999997</v>
      </c>
    </row>
    <row r="23" spans="1:16" x14ac:dyDescent="0.25">
      <c r="A23" s="16" t="s">
        <v>903</v>
      </c>
      <c r="B23" s="16" t="s">
        <v>998</v>
      </c>
      <c r="C23" s="16" t="s">
        <v>999</v>
      </c>
      <c r="D23" s="16" t="s">
        <v>1000</v>
      </c>
      <c r="E23" s="16" t="s">
        <v>905</v>
      </c>
      <c r="F23" s="16" t="s">
        <v>1001</v>
      </c>
      <c r="G23" s="16" t="s">
        <v>904</v>
      </c>
      <c r="H23" s="16" t="s">
        <v>1002</v>
      </c>
    </row>
    <row r="24" spans="1:16" x14ac:dyDescent="0.25">
      <c r="A24" s="26">
        <v>10</v>
      </c>
      <c r="B24" s="72">
        <f>LN(A24)</f>
        <v>2.3025850929940459</v>
      </c>
      <c r="C24" s="16">
        <v>18.048394597082769</v>
      </c>
      <c r="D24" s="16">
        <v>14.1015</v>
      </c>
      <c r="E24" s="16">
        <v>-3.9468945970827694</v>
      </c>
      <c r="F24" s="16">
        <f>LN(ABS(E24))</f>
        <v>1.3729290917593457</v>
      </c>
      <c r="G24" s="16">
        <v>9.4817199999999993</v>
      </c>
      <c r="H24" s="16">
        <f>LN(G24)</f>
        <v>2.24936573440882</v>
      </c>
    </row>
    <row r="25" spans="1:16" x14ac:dyDescent="0.25">
      <c r="A25" s="26">
        <v>25</v>
      </c>
      <c r="B25" s="72">
        <f t="shared" ref="B25:B40" si="0">LN(A25)</f>
        <v>3.2188758248682006</v>
      </c>
      <c r="C25" s="16">
        <v>18.048394597082769</v>
      </c>
      <c r="D25" s="16">
        <v>16.866</v>
      </c>
      <c r="E25" s="16">
        <v>-1.1823945970827694</v>
      </c>
      <c r="F25" s="16">
        <f t="shared" ref="F25:F40" si="1">LN(ABS(E25))</f>
        <v>0.16754170175174038</v>
      </c>
      <c r="G25" s="16">
        <v>5.27318</v>
      </c>
      <c r="H25" s="16">
        <f t="shared" ref="H25:H40" si="2">LN(G25)</f>
        <v>1.6626335961310779</v>
      </c>
    </row>
    <row r="26" spans="1:16" x14ac:dyDescent="0.25">
      <c r="A26" s="26">
        <v>50</v>
      </c>
      <c r="B26" s="72">
        <f t="shared" si="0"/>
        <v>3.912023005428146</v>
      </c>
      <c r="C26" s="16">
        <v>18.048394597082769</v>
      </c>
      <c r="D26" s="16">
        <v>21.671700000000001</v>
      </c>
      <c r="E26" s="16">
        <v>3.6233054029172322</v>
      </c>
      <c r="F26" s="16">
        <f t="shared" si="1"/>
        <v>1.2873867039487934</v>
      </c>
      <c r="G26" s="16">
        <v>4.6310599999999997</v>
      </c>
      <c r="H26" s="16">
        <f t="shared" si="2"/>
        <v>1.5327857835796597</v>
      </c>
    </row>
    <row r="27" spans="1:16" x14ac:dyDescent="0.25">
      <c r="A27" s="26">
        <v>75</v>
      </c>
      <c r="B27" s="72">
        <f t="shared" si="0"/>
        <v>4.3174881135363101</v>
      </c>
      <c r="C27" s="16">
        <v>18.048394597082769</v>
      </c>
      <c r="D27" s="16">
        <v>18.671800000000001</v>
      </c>
      <c r="E27" s="16">
        <v>0.62340540291723201</v>
      </c>
      <c r="F27" s="16">
        <f t="shared" si="1"/>
        <v>-0.47255824483173803</v>
      </c>
      <c r="G27" s="16">
        <v>3.3568899999999999</v>
      </c>
      <c r="H27" s="16">
        <f t="shared" si="2"/>
        <v>1.2110149501092342</v>
      </c>
    </row>
    <row r="28" spans="1:16" x14ac:dyDescent="0.25">
      <c r="A28" s="26">
        <v>100</v>
      </c>
      <c r="B28" s="72">
        <f t="shared" si="0"/>
        <v>4.6051701859880918</v>
      </c>
      <c r="C28" s="16">
        <v>18.048394597082769</v>
      </c>
      <c r="D28" s="16">
        <v>18.109200000000001</v>
      </c>
      <c r="E28" s="16">
        <v>6.0805402917232243E-2</v>
      </c>
      <c r="F28" s="16">
        <f t="shared" si="1"/>
        <v>-2.8000766301878994</v>
      </c>
      <c r="G28" s="16">
        <v>3.0021</v>
      </c>
      <c r="H28" s="16">
        <f t="shared" si="2"/>
        <v>1.0993120437823831</v>
      </c>
    </row>
    <row r="29" spans="1:16" x14ac:dyDescent="0.25">
      <c r="A29" s="26">
        <v>250</v>
      </c>
      <c r="B29" s="72">
        <f t="shared" si="0"/>
        <v>5.521460917862246</v>
      </c>
      <c r="C29" s="16">
        <v>18.048394597082769</v>
      </c>
      <c r="D29" s="16">
        <v>18.152000000000001</v>
      </c>
      <c r="E29" s="16">
        <v>0.10360540291723197</v>
      </c>
      <c r="F29" s="16">
        <f t="shared" si="1"/>
        <v>-2.2671657988058742</v>
      </c>
      <c r="G29" s="16">
        <v>1.8481000000000001</v>
      </c>
      <c r="H29" s="16">
        <f t="shared" si="2"/>
        <v>0.61415808430957353</v>
      </c>
    </row>
    <row r="30" spans="1:16" x14ac:dyDescent="0.25">
      <c r="A30" s="26">
        <v>500</v>
      </c>
      <c r="B30" s="72">
        <f t="shared" si="0"/>
        <v>6.2146080984221914</v>
      </c>
      <c r="C30" s="16">
        <v>18.048394597082769</v>
      </c>
      <c r="D30" s="16">
        <v>20.094000000000001</v>
      </c>
      <c r="E30" s="16">
        <v>2.0456054029172321</v>
      </c>
      <c r="F30" s="16">
        <f t="shared" si="1"/>
        <v>0.71569378622973279</v>
      </c>
      <c r="G30" s="16">
        <v>1.3320799999999999</v>
      </c>
      <c r="H30" s="16">
        <f t="shared" si="2"/>
        <v>0.28674163037472422</v>
      </c>
    </row>
    <row r="31" spans="1:16" x14ac:dyDescent="0.25">
      <c r="A31" s="26">
        <v>750</v>
      </c>
      <c r="B31" s="72">
        <f t="shared" si="0"/>
        <v>6.620073206530356</v>
      </c>
      <c r="C31" s="16">
        <v>18.048394597082769</v>
      </c>
      <c r="D31" s="16">
        <v>16.751899999999999</v>
      </c>
      <c r="E31" s="16">
        <v>-1.2964945970827699</v>
      </c>
      <c r="F31" s="16">
        <f t="shared" si="1"/>
        <v>0.25966415867804138</v>
      </c>
      <c r="G31" s="16">
        <v>1.0032000000000001</v>
      </c>
      <c r="H31" s="16">
        <f t="shared" si="2"/>
        <v>3.1948908965192886E-3</v>
      </c>
    </row>
    <row r="32" spans="1:16" x14ac:dyDescent="0.25">
      <c r="A32" s="26">
        <v>1000</v>
      </c>
      <c r="B32" s="72">
        <f t="shared" si="0"/>
        <v>6.9077552789821368</v>
      </c>
      <c r="C32" s="16">
        <v>18.048394597082769</v>
      </c>
      <c r="D32" s="16">
        <v>18.528600000000001</v>
      </c>
      <c r="E32" s="16">
        <v>0.48020540291723179</v>
      </c>
      <c r="F32" s="16">
        <f t="shared" si="1"/>
        <v>-0.73354134386879333</v>
      </c>
      <c r="G32" s="16">
        <v>0.95574499999999996</v>
      </c>
      <c r="H32" s="16">
        <f t="shared" si="2"/>
        <v>-4.5264137912890655E-2</v>
      </c>
    </row>
    <row r="33" spans="1:8" x14ac:dyDescent="0.25">
      <c r="A33" s="26">
        <v>2500</v>
      </c>
      <c r="B33" s="72">
        <f t="shared" si="0"/>
        <v>7.8240460108562919</v>
      </c>
      <c r="C33" s="16">
        <v>18.048394597082769</v>
      </c>
      <c r="D33" s="16">
        <v>18.127600000000001</v>
      </c>
      <c r="E33" s="16">
        <v>7.9205402917231993E-2</v>
      </c>
      <c r="F33" s="16">
        <f t="shared" si="1"/>
        <v>-2.5357107638366241</v>
      </c>
      <c r="G33" s="16">
        <v>0.59250400000000003</v>
      </c>
      <c r="H33" s="16">
        <f t="shared" si="2"/>
        <v>-0.52339765494078672</v>
      </c>
    </row>
    <row r="34" spans="1:8" x14ac:dyDescent="0.25">
      <c r="A34" s="26">
        <v>5000</v>
      </c>
      <c r="B34" s="72">
        <f t="shared" si="0"/>
        <v>8.5171931914162382</v>
      </c>
      <c r="C34" s="16">
        <v>18.048394597082769</v>
      </c>
      <c r="D34" s="16">
        <v>18.1173</v>
      </c>
      <c r="E34" s="16">
        <v>6.8905402917231129E-2</v>
      </c>
      <c r="F34" s="16">
        <f t="shared" si="1"/>
        <v>-2.6750206872411528</v>
      </c>
      <c r="G34" s="16">
        <v>0.42578100000000002</v>
      </c>
      <c r="H34" s="16">
        <f t="shared" si="2"/>
        <v>-0.85383014940655444</v>
      </c>
    </row>
    <row r="35" spans="1:8" x14ac:dyDescent="0.25">
      <c r="A35" s="26">
        <v>7500</v>
      </c>
      <c r="B35" s="72">
        <f t="shared" si="0"/>
        <v>8.9226582995244019</v>
      </c>
      <c r="C35" s="16">
        <v>18.048394597082769</v>
      </c>
      <c r="D35" s="16">
        <v>18.406700000000001</v>
      </c>
      <c r="E35" s="16">
        <v>0.35830540291723167</v>
      </c>
      <c r="F35" s="16">
        <f t="shared" si="1"/>
        <v>-1.0263695754736404</v>
      </c>
      <c r="G35" s="16">
        <v>0.35391099999999998</v>
      </c>
      <c r="H35" s="16">
        <f t="shared" si="2"/>
        <v>-1.0387098098871441</v>
      </c>
    </row>
    <row r="36" spans="1:8" x14ac:dyDescent="0.25">
      <c r="A36" s="26">
        <v>10000</v>
      </c>
      <c r="B36" s="72">
        <f t="shared" si="0"/>
        <v>9.2103403719761836</v>
      </c>
      <c r="C36" s="16">
        <v>18.048394597082769</v>
      </c>
      <c r="D36" s="16">
        <v>18.238700000000001</v>
      </c>
      <c r="E36" s="16">
        <v>0.19030540291723241</v>
      </c>
      <c r="F36" s="16">
        <f t="shared" si="1"/>
        <v>-1.6591251135053868</v>
      </c>
      <c r="G36" s="16">
        <v>0.309888</v>
      </c>
      <c r="H36" s="16">
        <f t="shared" si="2"/>
        <v>-1.1715443371065986</v>
      </c>
    </row>
    <row r="37" spans="1:8" x14ac:dyDescent="0.25">
      <c r="A37" s="26">
        <v>25000</v>
      </c>
      <c r="B37" s="72">
        <f t="shared" si="0"/>
        <v>10.126631103850338</v>
      </c>
      <c r="C37" s="16">
        <v>18.048394597082769</v>
      </c>
      <c r="D37" s="16">
        <v>17.980699999999999</v>
      </c>
      <c r="E37" s="16">
        <v>-6.7694597082770258E-2</v>
      </c>
      <c r="F37" s="16">
        <f t="shared" si="1"/>
        <v>-2.692748909002399</v>
      </c>
      <c r="G37" s="16">
        <v>0.193801</v>
      </c>
      <c r="H37" s="16">
        <f t="shared" si="2"/>
        <v>-1.6409234195800635</v>
      </c>
    </row>
    <row r="38" spans="1:8" x14ac:dyDescent="0.25">
      <c r="A38" s="26">
        <v>50000</v>
      </c>
      <c r="B38" s="72">
        <f t="shared" si="0"/>
        <v>10.819778284410283</v>
      </c>
      <c r="C38" s="16">
        <v>18.048394597082769</v>
      </c>
      <c r="D38" s="16">
        <v>18.0366</v>
      </c>
      <c r="E38" s="16">
        <v>-1.1794597082769087E-2</v>
      </c>
      <c r="F38" s="16">
        <f t="shared" si="1"/>
        <v>-4.440113726708586</v>
      </c>
      <c r="G38" s="16">
        <v>0.13655</v>
      </c>
      <c r="H38" s="16">
        <f t="shared" si="2"/>
        <v>-1.991064431062423</v>
      </c>
    </row>
    <row r="39" spans="1:8" x14ac:dyDescent="0.25">
      <c r="A39" s="26">
        <v>75000</v>
      </c>
      <c r="B39" s="72">
        <f t="shared" si="0"/>
        <v>11.225243392518447</v>
      </c>
      <c r="C39" s="16">
        <v>18.048394597082769</v>
      </c>
      <c r="D39" s="16">
        <v>18.0625</v>
      </c>
      <c r="E39" s="16">
        <v>1.4105402917230947E-2</v>
      </c>
      <c r="F39" s="16">
        <f t="shared" si="1"/>
        <v>-4.2611973693756582</v>
      </c>
      <c r="G39" s="16">
        <v>0.11128</v>
      </c>
      <c r="H39" s="16">
        <f t="shared" si="2"/>
        <v>-2.1957057313669495</v>
      </c>
    </row>
    <row r="40" spans="1:8" x14ac:dyDescent="0.25">
      <c r="A40" s="26">
        <v>100000</v>
      </c>
      <c r="B40" s="72">
        <f t="shared" si="0"/>
        <v>11.512925464970229</v>
      </c>
      <c r="C40" s="16">
        <v>18.048394597082769</v>
      </c>
      <c r="D40" s="16">
        <v>18.074000000000002</v>
      </c>
      <c r="E40" s="16">
        <v>2.5605402917232567E-2</v>
      </c>
      <c r="F40" s="16">
        <f t="shared" si="1"/>
        <v>-3.6649518983104481</v>
      </c>
      <c r="G40" s="16">
        <v>9.6335000000000004E-2</v>
      </c>
      <c r="H40" s="16">
        <f t="shared" si="2"/>
        <v>-2.3399235786494135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0"/>
  <sheetViews>
    <sheetView workbookViewId="0"/>
  </sheetViews>
  <sheetFormatPr defaultRowHeight="15" x14ac:dyDescent="0.25"/>
  <cols>
    <col min="1" max="1" width="14.85546875" bestFit="1" customWidth="1"/>
    <col min="2" max="3" width="12" bestFit="1" customWidth="1"/>
    <col min="4" max="4" width="41.28515625" bestFit="1" customWidth="1"/>
    <col min="5" max="5" width="13.7109375" bestFit="1" customWidth="1"/>
    <col min="6" max="6" width="19.5703125" bestFit="1" customWidth="1"/>
    <col min="7" max="7" width="22" bestFit="1" customWidth="1"/>
    <col min="8" max="8" width="12.7109375" bestFit="1" customWidth="1"/>
    <col min="10" max="10" width="14.85546875" bestFit="1" customWidth="1"/>
    <col min="12" max="12" width="12" bestFit="1" customWidth="1"/>
    <col min="13" max="13" width="41.28515625" bestFit="1" customWidth="1"/>
    <col min="14" max="14" width="13.28515625" customWidth="1"/>
    <col min="15" max="15" width="16.85546875" customWidth="1"/>
    <col min="16" max="16" width="22" bestFit="1" customWidth="1"/>
  </cols>
  <sheetData>
    <row r="1" spans="1:16" x14ac:dyDescent="0.25">
      <c r="A1" s="16" t="s">
        <v>903</v>
      </c>
      <c r="B1" s="16" t="s">
        <v>1004</v>
      </c>
      <c r="C1" s="16" t="s">
        <v>1003</v>
      </c>
      <c r="D1" s="16" t="s">
        <v>991</v>
      </c>
      <c r="E1" s="16" t="s">
        <v>992</v>
      </c>
      <c r="F1" s="16" t="s">
        <v>905</v>
      </c>
      <c r="G1" s="16" t="s">
        <v>993</v>
      </c>
      <c r="H1" s="16"/>
      <c r="I1" s="16"/>
      <c r="J1" s="16" t="s">
        <v>903</v>
      </c>
      <c r="K1" s="16" t="s">
        <v>1004</v>
      </c>
      <c r="L1" s="16" t="s">
        <v>1003</v>
      </c>
      <c r="M1" s="16" t="s">
        <v>991</v>
      </c>
      <c r="N1" s="16" t="s">
        <v>992</v>
      </c>
      <c r="O1" s="16" t="s">
        <v>905</v>
      </c>
      <c r="P1" s="16" t="s">
        <v>993</v>
      </c>
    </row>
    <row r="2" spans="1:16" x14ac:dyDescent="0.25">
      <c r="A2" s="26">
        <v>10</v>
      </c>
      <c r="B2" s="16" t="s">
        <v>907</v>
      </c>
      <c r="C2" s="16">
        <v>14.012198444689366</v>
      </c>
      <c r="D2" s="16" t="s">
        <v>909</v>
      </c>
      <c r="E2" s="16">
        <v>6.0046454110281502</v>
      </c>
      <c r="F2" s="16">
        <f>C2-MonteCarlo!$X$10</f>
        <v>0.82656140426895242</v>
      </c>
      <c r="G2" s="16">
        <v>0.1875</v>
      </c>
      <c r="H2" s="16"/>
      <c r="I2" s="16"/>
      <c r="J2" s="26">
        <v>10</v>
      </c>
      <c r="K2" s="16" t="s">
        <v>906</v>
      </c>
      <c r="L2" s="16">
        <v>11.781000000000001</v>
      </c>
      <c r="M2" s="16" t="s">
        <v>972</v>
      </c>
      <c r="N2" s="16">
        <v>5.7250199999999998</v>
      </c>
      <c r="O2" s="16">
        <f>L2-MonteCarlo!$X$10</f>
        <v>-1.4046370404204129</v>
      </c>
      <c r="P2" s="16">
        <v>4.7E-2</v>
      </c>
    </row>
    <row r="3" spans="1:16" x14ac:dyDescent="0.25">
      <c r="A3" s="26">
        <v>25</v>
      </c>
      <c r="B3" s="16" t="s">
        <v>907</v>
      </c>
      <c r="C3" s="16">
        <v>11.474029422603678</v>
      </c>
      <c r="D3" s="16" t="s">
        <v>910</v>
      </c>
      <c r="E3" s="16">
        <v>4.4408350528691134</v>
      </c>
      <c r="F3" s="16">
        <f>C3-MonteCarlo!$X$10</f>
        <v>-1.7116076178167354</v>
      </c>
      <c r="G3" s="16">
        <v>0.58594000000000002</v>
      </c>
      <c r="H3" s="16"/>
      <c r="I3" s="16"/>
      <c r="J3" s="26">
        <v>25</v>
      </c>
      <c r="K3" s="16" t="s">
        <v>906</v>
      </c>
      <c r="L3" s="16">
        <v>14.295500000000001</v>
      </c>
      <c r="M3" s="16" t="s">
        <v>973</v>
      </c>
      <c r="N3" s="16">
        <v>4.56684</v>
      </c>
      <c r="O3" s="16">
        <f>L3-MonteCarlo!$X$10</f>
        <v>1.109862959579587</v>
      </c>
      <c r="P3" s="16">
        <v>0.11</v>
      </c>
    </row>
    <row r="4" spans="1:16" x14ac:dyDescent="0.25">
      <c r="A4" s="26">
        <v>50</v>
      </c>
      <c r="B4" s="16" t="s">
        <v>907</v>
      </c>
      <c r="C4" s="16">
        <v>11.681909763477643</v>
      </c>
      <c r="D4" s="16" t="s">
        <v>911</v>
      </c>
      <c r="E4" s="16">
        <v>2.4483039973572041</v>
      </c>
      <c r="F4" s="16">
        <f>C4-MonteCarlo!$X$10</f>
        <v>-1.5037272769427705</v>
      </c>
      <c r="G4" s="16">
        <v>0.84399000000000002</v>
      </c>
      <c r="H4" s="16"/>
      <c r="I4" s="16"/>
      <c r="J4" s="26">
        <v>50</v>
      </c>
      <c r="K4" s="16" t="s">
        <v>906</v>
      </c>
      <c r="L4" s="16">
        <v>10.0002</v>
      </c>
      <c r="M4" s="16" t="s">
        <v>974</v>
      </c>
      <c r="N4" s="16">
        <v>2.8193199999999998</v>
      </c>
      <c r="O4" s="16">
        <f>L4-MonteCarlo!$X$10</f>
        <v>-3.185437040420414</v>
      </c>
      <c r="P4" s="16">
        <v>0.214</v>
      </c>
    </row>
    <row r="5" spans="1:16" x14ac:dyDescent="0.25">
      <c r="A5" s="26">
        <v>75</v>
      </c>
      <c r="B5" s="16" t="s">
        <v>907</v>
      </c>
      <c r="C5" s="16">
        <v>14.443180817144906</v>
      </c>
      <c r="D5" s="16" t="s">
        <v>912</v>
      </c>
      <c r="E5" s="16">
        <v>2.7750466820564794</v>
      </c>
      <c r="F5" s="16">
        <f>C5-MonteCarlo!$X$10</f>
        <v>1.2575437767244928</v>
      </c>
      <c r="G5" s="16">
        <v>1.28101</v>
      </c>
      <c r="H5" s="16"/>
      <c r="I5" s="16"/>
      <c r="J5" s="26">
        <v>75</v>
      </c>
      <c r="K5" s="16" t="s">
        <v>906</v>
      </c>
      <c r="L5" s="16">
        <v>13.3553</v>
      </c>
      <c r="M5" s="16" t="s">
        <v>975</v>
      </c>
      <c r="N5" s="16">
        <v>2.6955900000000002</v>
      </c>
      <c r="O5" s="16">
        <f>L5-MonteCarlo!$X$10</f>
        <v>0.16966295957958621</v>
      </c>
      <c r="P5" s="16">
        <v>0.318</v>
      </c>
    </row>
    <row r="6" spans="1:16" x14ac:dyDescent="0.25">
      <c r="A6" s="26">
        <v>100</v>
      </c>
      <c r="B6" s="16" t="s">
        <v>907</v>
      </c>
      <c r="C6" s="16">
        <v>12.080176541319934</v>
      </c>
      <c r="D6" s="16" t="s">
        <v>913</v>
      </c>
      <c r="E6" s="16">
        <v>2.1030538283331746</v>
      </c>
      <c r="F6" s="16">
        <f>C6-MonteCarlo!$X$10</f>
        <v>-1.1054604991004791</v>
      </c>
      <c r="G6" s="16">
        <v>1.6610100000000001</v>
      </c>
      <c r="H6" s="16"/>
      <c r="I6" s="16"/>
      <c r="J6" s="26">
        <v>100</v>
      </c>
      <c r="K6" s="16" t="s">
        <v>906</v>
      </c>
      <c r="L6" s="16">
        <v>11.188499999999999</v>
      </c>
      <c r="M6" s="16" t="s">
        <v>976</v>
      </c>
      <c r="N6" s="16">
        <v>2.2881900000000002</v>
      </c>
      <c r="O6" s="16">
        <f>L6-MonteCarlo!$X$10</f>
        <v>-1.9971370404204141</v>
      </c>
      <c r="P6" s="16">
        <v>0.42199999999999999</v>
      </c>
    </row>
    <row r="7" spans="1:16" x14ac:dyDescent="0.25">
      <c r="A7" s="26">
        <v>250</v>
      </c>
      <c r="B7" s="16" t="s">
        <v>907</v>
      </c>
      <c r="C7" s="16">
        <v>13.807597134009926</v>
      </c>
      <c r="D7" s="16" t="s">
        <v>914</v>
      </c>
      <c r="E7" s="16">
        <v>1.4169533087934287</v>
      </c>
      <c r="F7" s="16">
        <f>C7-MonteCarlo!$X$10</f>
        <v>0.62196009358951265</v>
      </c>
      <c r="G7" s="16">
        <v>4.1309800000000001</v>
      </c>
      <c r="H7" s="16"/>
      <c r="I7" s="16"/>
      <c r="J7" s="26">
        <v>250</v>
      </c>
      <c r="K7" s="16" t="s">
        <v>906</v>
      </c>
      <c r="L7" s="16">
        <v>12.290699999999999</v>
      </c>
      <c r="M7" s="16" t="s">
        <v>977</v>
      </c>
      <c r="N7" s="16">
        <v>1.33446</v>
      </c>
      <c r="O7" s="16">
        <f>L7-MonteCarlo!$X$10</f>
        <v>-0.89493704042041422</v>
      </c>
      <c r="P7" s="16">
        <v>1.0629999999999999</v>
      </c>
    </row>
    <row r="8" spans="1:16" x14ac:dyDescent="0.25">
      <c r="A8" s="26">
        <v>500</v>
      </c>
      <c r="B8" s="16" t="s">
        <v>907</v>
      </c>
      <c r="C8" s="16">
        <v>13.599554021370682</v>
      </c>
      <c r="D8" s="16" t="s">
        <v>915</v>
      </c>
      <c r="E8" s="16">
        <v>1.0949251601252941</v>
      </c>
      <c r="F8" s="16">
        <f>C8-MonteCarlo!$X$10</f>
        <v>0.41391698095026896</v>
      </c>
      <c r="G8" s="16">
        <v>8.2288800000000002</v>
      </c>
      <c r="H8" s="16"/>
      <c r="I8" s="16"/>
      <c r="J8" s="26">
        <v>500</v>
      </c>
      <c r="K8" s="16" t="s">
        <v>906</v>
      </c>
      <c r="L8" s="16">
        <v>12.9716</v>
      </c>
      <c r="M8" s="16" t="s">
        <v>978</v>
      </c>
      <c r="N8" s="16">
        <v>1.0462199999999999</v>
      </c>
      <c r="O8" s="16">
        <f>L8-MonteCarlo!$X$10</f>
        <v>-0.21403704042041305</v>
      </c>
      <c r="P8" s="16">
        <v>2.1320000000000001</v>
      </c>
    </row>
    <row r="9" spans="1:16" x14ac:dyDescent="0.25">
      <c r="A9" s="26">
        <v>750</v>
      </c>
      <c r="B9" s="16" t="s">
        <v>907</v>
      </c>
      <c r="C9" s="16">
        <v>13.644514648864227</v>
      </c>
      <c r="D9" s="16" t="s">
        <v>916</v>
      </c>
      <c r="E9" s="16">
        <v>0.88472728455959948</v>
      </c>
      <c r="F9" s="16">
        <f>C9-MonteCarlo!$X$10</f>
        <v>0.45887760844381376</v>
      </c>
      <c r="G9" s="16">
        <v>12.30688</v>
      </c>
      <c r="H9" s="16"/>
      <c r="I9" s="16"/>
      <c r="J9" s="26">
        <v>750</v>
      </c>
      <c r="K9" s="16" t="s">
        <v>906</v>
      </c>
      <c r="L9" s="16">
        <v>13.103199999999999</v>
      </c>
      <c r="M9" s="16" t="s">
        <v>979</v>
      </c>
      <c r="N9" s="16">
        <v>0.89415999999999995</v>
      </c>
      <c r="O9" s="16">
        <f>L9-MonteCarlo!$X$10</f>
        <v>-8.243704042041422E-2</v>
      </c>
      <c r="P9" s="16">
        <v>3.1850000000000001</v>
      </c>
    </row>
    <row r="10" spans="1:16" x14ac:dyDescent="0.25">
      <c r="A10" s="26">
        <v>1000</v>
      </c>
      <c r="B10" s="16" t="s">
        <v>907</v>
      </c>
      <c r="C10" s="16">
        <v>13.920647298567266</v>
      </c>
      <c r="D10" s="16" t="s">
        <v>917</v>
      </c>
      <c r="E10" s="16">
        <v>0.80311884612590478</v>
      </c>
      <c r="F10" s="16">
        <f>C10-MonteCarlo!$X$10</f>
        <v>0.73501025814685228</v>
      </c>
      <c r="G10" s="16">
        <v>16.567869999999999</v>
      </c>
      <c r="H10" s="16"/>
      <c r="I10" s="16"/>
      <c r="J10" s="26">
        <v>1000</v>
      </c>
      <c r="K10" s="16" t="s">
        <v>906</v>
      </c>
      <c r="L10" s="16">
        <v>12.443099999999999</v>
      </c>
      <c r="M10" s="16" t="s">
        <v>980</v>
      </c>
      <c r="N10" s="16">
        <v>0.67363799999999996</v>
      </c>
      <c r="O10" s="16">
        <f>L10-MonteCarlo!$X$10</f>
        <v>-0.74253704042041413</v>
      </c>
      <c r="P10" s="16">
        <v>4.2249999999999996</v>
      </c>
    </row>
    <row r="11" spans="1:16" x14ac:dyDescent="0.25">
      <c r="A11" s="26">
        <v>2500</v>
      </c>
      <c r="B11" s="16" t="s">
        <v>907</v>
      </c>
      <c r="C11" s="16">
        <v>13.470834875992523</v>
      </c>
      <c r="D11" s="16" t="s">
        <v>918</v>
      </c>
      <c r="E11" s="16">
        <v>0.48522766009418145</v>
      </c>
      <c r="F11" s="16">
        <f>C11-MonteCarlo!$X$10</f>
        <v>0.28519783557210943</v>
      </c>
      <c r="G11" s="16">
        <v>41.570070000000001</v>
      </c>
      <c r="H11" s="16"/>
      <c r="I11" s="16"/>
      <c r="J11" s="26">
        <v>2500</v>
      </c>
      <c r="K11" s="16" t="s">
        <v>906</v>
      </c>
      <c r="L11" s="16">
        <v>12.7422</v>
      </c>
      <c r="M11" s="16" t="s">
        <v>981</v>
      </c>
      <c r="N11" s="16">
        <v>0.44675399999999998</v>
      </c>
      <c r="O11" s="16">
        <f>L11-MonteCarlo!$X$10</f>
        <v>-0.4434370404204131</v>
      </c>
      <c r="P11" s="16">
        <v>10.664999999999999</v>
      </c>
    </row>
    <row r="12" spans="1:16" x14ac:dyDescent="0.25">
      <c r="A12" s="26">
        <v>5000</v>
      </c>
      <c r="B12" s="16" t="s">
        <v>907</v>
      </c>
      <c r="C12" s="16">
        <v>13.218564782598236</v>
      </c>
      <c r="D12" s="16" t="s">
        <v>935</v>
      </c>
      <c r="E12" s="16">
        <v>0.31674228405545712</v>
      </c>
      <c r="F12" s="16">
        <f>C12-MonteCarlo!$X$10</f>
        <v>3.2927742177822239E-2</v>
      </c>
      <c r="G12" s="16">
        <v>90.3125</v>
      </c>
      <c r="H12" s="16"/>
      <c r="I12" s="16"/>
      <c r="J12" s="26">
        <v>5000</v>
      </c>
      <c r="K12" s="16" t="s">
        <v>906</v>
      </c>
      <c r="L12" s="16">
        <v>12.6363</v>
      </c>
      <c r="M12" s="16" t="s">
        <v>982</v>
      </c>
      <c r="N12" s="16">
        <v>0.314276</v>
      </c>
      <c r="O12" s="16">
        <f>L12-MonteCarlo!$X$10</f>
        <v>-0.5493370404204132</v>
      </c>
      <c r="P12" s="16">
        <v>21.087</v>
      </c>
    </row>
    <row r="13" spans="1:16" x14ac:dyDescent="0.25">
      <c r="A13" s="26">
        <v>7500</v>
      </c>
      <c r="B13" s="16" t="s">
        <v>907</v>
      </c>
      <c r="C13" s="16">
        <v>13.169908985301193</v>
      </c>
      <c r="D13" s="16" t="s">
        <v>936</v>
      </c>
      <c r="E13" s="16">
        <v>0.25643753291426735</v>
      </c>
      <c r="F13" s="16">
        <f>C13-MonteCarlo!$X$10</f>
        <v>-1.5728055119220485E-2</v>
      </c>
      <c r="G13" s="16">
        <v>134.46093999999999</v>
      </c>
      <c r="H13" s="16"/>
      <c r="I13" s="16"/>
      <c r="J13" s="26">
        <v>7500</v>
      </c>
      <c r="K13" s="16" t="s">
        <v>906</v>
      </c>
      <c r="L13" s="16">
        <v>12.7119</v>
      </c>
      <c r="M13" s="16" t="s">
        <v>983</v>
      </c>
      <c r="N13" s="16">
        <v>0.26261400000000001</v>
      </c>
      <c r="O13" s="16">
        <f>L13-MonteCarlo!$X$10</f>
        <v>-0.47373704042041354</v>
      </c>
      <c r="P13" s="16">
        <v>39.113999999999997</v>
      </c>
    </row>
    <row r="14" spans="1:16" x14ac:dyDescent="0.25">
      <c r="A14" s="26">
        <v>10000</v>
      </c>
      <c r="B14" s="16" t="s">
        <v>907</v>
      </c>
      <c r="C14" s="16">
        <v>13.657187837418547</v>
      </c>
      <c r="D14" s="16" t="s">
        <v>937</v>
      </c>
      <c r="E14" s="16">
        <v>0.23724577478311015</v>
      </c>
      <c r="F14" s="16">
        <f>C14-MonteCarlo!$X$10</f>
        <v>0.47155079699813385</v>
      </c>
      <c r="G14" s="16">
        <v>166.5127</v>
      </c>
      <c r="H14" s="16"/>
      <c r="I14" s="16"/>
      <c r="J14" s="26">
        <v>10000</v>
      </c>
      <c r="K14" s="16" t="s">
        <v>906</v>
      </c>
      <c r="L14" s="16">
        <v>12.785299999999999</v>
      </c>
      <c r="M14" s="16" t="s">
        <v>984</v>
      </c>
      <c r="N14" s="16">
        <v>0.228078</v>
      </c>
      <c r="O14" s="16">
        <f>L14-MonteCarlo!$X$10</f>
        <v>-0.40033704042041407</v>
      </c>
      <c r="P14" s="16">
        <v>47.055999999999997</v>
      </c>
    </row>
    <row r="15" spans="1:16" x14ac:dyDescent="0.25">
      <c r="A15" s="26">
        <v>25000</v>
      </c>
      <c r="B15" s="16" t="s">
        <v>907</v>
      </c>
      <c r="C15" s="16">
        <v>13.019046131247308</v>
      </c>
      <c r="D15" s="16" t="s">
        <v>919</v>
      </c>
      <c r="E15" s="16">
        <v>0.13525711230469048</v>
      </c>
      <c r="F15" s="16">
        <f>C15-MonteCarlo!$X$10</f>
        <v>-0.16659090917310593</v>
      </c>
      <c r="G15" s="16">
        <v>452.46190999999999</v>
      </c>
      <c r="H15" s="16"/>
      <c r="I15" s="16"/>
      <c r="J15" s="26">
        <v>25000</v>
      </c>
      <c r="K15" s="16" t="s">
        <v>906</v>
      </c>
      <c r="L15" s="16">
        <v>12.7019</v>
      </c>
      <c r="M15" s="16" t="s">
        <v>985</v>
      </c>
      <c r="N15" s="16">
        <v>0.14441300000000001</v>
      </c>
      <c r="O15" s="16">
        <f>L15-MonteCarlo!$X$10</f>
        <v>-0.48373704042041332</v>
      </c>
      <c r="P15" s="16">
        <v>117.614</v>
      </c>
    </row>
    <row r="16" spans="1:16" x14ac:dyDescent="0.25">
      <c r="A16" s="26">
        <v>50000</v>
      </c>
      <c r="B16" s="16" t="s">
        <v>907</v>
      </c>
      <c r="C16" s="16" t="s">
        <v>989</v>
      </c>
      <c r="D16" s="16" t="s">
        <v>989</v>
      </c>
      <c r="E16" s="16" t="s">
        <v>989</v>
      </c>
      <c r="F16" s="16" t="s">
        <v>989</v>
      </c>
      <c r="G16" s="16" t="s">
        <v>989</v>
      </c>
      <c r="H16" s="16"/>
      <c r="I16" s="16"/>
      <c r="J16" s="26">
        <v>50000</v>
      </c>
      <c r="K16" s="16" t="s">
        <v>906</v>
      </c>
      <c r="L16" s="16">
        <v>12.666</v>
      </c>
      <c r="M16" s="16" t="s">
        <v>986</v>
      </c>
      <c r="N16" s="16">
        <v>0.101212</v>
      </c>
      <c r="O16" s="16">
        <f>L16-MonteCarlo!$X$10</f>
        <v>-0.51963704042041314</v>
      </c>
      <c r="P16" s="16">
        <v>247.20400000000001</v>
      </c>
    </row>
    <row r="17" spans="1:16" x14ac:dyDescent="0.25">
      <c r="A17" s="26">
        <v>75000</v>
      </c>
      <c r="B17" s="16" t="s">
        <v>907</v>
      </c>
      <c r="C17" s="16" t="s">
        <v>989</v>
      </c>
      <c r="D17" s="16" t="s">
        <v>989</v>
      </c>
      <c r="E17" s="16" t="s">
        <v>989</v>
      </c>
      <c r="F17" s="16" t="s">
        <v>989</v>
      </c>
      <c r="G17" s="16" t="s">
        <v>989</v>
      </c>
      <c r="H17" s="16"/>
      <c r="I17" s="16"/>
      <c r="J17" s="26">
        <v>75000</v>
      </c>
      <c r="K17" s="16" t="s">
        <v>906</v>
      </c>
      <c r="L17" s="16">
        <v>12.7232</v>
      </c>
      <c r="M17" s="16" t="s">
        <v>987</v>
      </c>
      <c r="N17" s="16">
        <v>8.2991499999999996E-2</v>
      </c>
      <c r="O17" s="16">
        <f>L17-MonteCarlo!$X$10</f>
        <v>-0.46243704042041323</v>
      </c>
      <c r="P17" s="16">
        <v>373.99200000000002</v>
      </c>
    </row>
    <row r="18" spans="1:16" x14ac:dyDescent="0.25">
      <c r="A18" s="26">
        <v>100000</v>
      </c>
      <c r="B18" s="16" t="s">
        <v>907</v>
      </c>
      <c r="C18" s="16" t="s">
        <v>989</v>
      </c>
      <c r="D18" s="16" t="s">
        <v>989</v>
      </c>
      <c r="E18" s="16" t="s">
        <v>989</v>
      </c>
      <c r="F18" s="16" t="s">
        <v>989</v>
      </c>
      <c r="G18" s="16" t="s">
        <v>989</v>
      </c>
      <c r="H18" s="16"/>
      <c r="I18" s="16"/>
      <c r="J18" s="26">
        <v>100000</v>
      </c>
      <c r="K18" s="16" t="s">
        <v>906</v>
      </c>
      <c r="L18" s="16">
        <v>12.7117</v>
      </c>
      <c r="M18" s="16" t="s">
        <v>988</v>
      </c>
      <c r="N18" s="16">
        <v>7.1377800000000005E-2</v>
      </c>
      <c r="O18" s="16">
        <f>L18-MonteCarlo!$X$10</f>
        <v>-0.47393704042041307</v>
      </c>
      <c r="P18" s="16">
        <v>460.49700000000001</v>
      </c>
    </row>
    <row r="23" spans="1:16" x14ac:dyDescent="0.25">
      <c r="A23" s="16" t="s">
        <v>903</v>
      </c>
      <c r="B23" s="16" t="s">
        <v>998</v>
      </c>
      <c r="C23" s="16" t="s">
        <v>999</v>
      </c>
      <c r="D23" s="16" t="s">
        <v>1000</v>
      </c>
      <c r="E23" s="16" t="s">
        <v>905</v>
      </c>
      <c r="F23" s="16" t="s">
        <v>1001</v>
      </c>
      <c r="G23" s="16" t="s">
        <v>904</v>
      </c>
      <c r="H23" s="16" t="s">
        <v>1002</v>
      </c>
    </row>
    <row r="24" spans="1:16" x14ac:dyDescent="0.25">
      <c r="A24" s="26">
        <v>10</v>
      </c>
      <c r="B24" s="72">
        <f>LN(A24)</f>
        <v>2.3025850929940459</v>
      </c>
      <c r="C24" s="16">
        <v>13.185637040420414</v>
      </c>
      <c r="D24" s="16">
        <v>11.781000000000001</v>
      </c>
      <c r="E24" s="16">
        <v>-1.4046370404204129</v>
      </c>
      <c r="F24" s="16">
        <f>LN(ABS(E24))</f>
        <v>0.33977893519132985</v>
      </c>
      <c r="G24" s="16">
        <v>5.7250199999999998</v>
      </c>
      <c r="H24" s="16">
        <f>LN(G24)</f>
        <v>1.7448460428839829</v>
      </c>
    </row>
    <row r="25" spans="1:16" x14ac:dyDescent="0.25">
      <c r="A25" s="26">
        <v>25</v>
      </c>
      <c r="B25" s="72">
        <f t="shared" ref="B25:B40" si="0">LN(A25)</f>
        <v>3.2188758248682006</v>
      </c>
      <c r="C25" s="16">
        <v>13.185637040420414</v>
      </c>
      <c r="D25" s="16">
        <v>14.295500000000001</v>
      </c>
      <c r="E25" s="16">
        <v>1.109862959579587</v>
      </c>
      <c r="F25" s="16">
        <f t="shared" ref="F25:F40" si="1">LN(ABS(E25))</f>
        <v>0.10423654786423972</v>
      </c>
      <c r="G25" s="16">
        <v>4.56684</v>
      </c>
      <c r="H25" s="16">
        <f t="shared" ref="H25:H40" si="2">LN(G25)</f>
        <v>1.5188214996500307</v>
      </c>
    </row>
    <row r="26" spans="1:16" x14ac:dyDescent="0.25">
      <c r="A26" s="26">
        <v>50</v>
      </c>
      <c r="B26" s="72">
        <f t="shared" si="0"/>
        <v>3.912023005428146</v>
      </c>
      <c r="C26" s="16">
        <v>13.185637040420414</v>
      </c>
      <c r="D26" s="16">
        <v>10.0002</v>
      </c>
      <c r="E26" s="16">
        <v>-3.185437040420414</v>
      </c>
      <c r="F26" s="16">
        <f t="shared" si="1"/>
        <v>1.1585894979529103</v>
      </c>
      <c r="G26" s="16">
        <v>2.8193199999999998</v>
      </c>
      <c r="H26" s="16">
        <f t="shared" si="2"/>
        <v>1.0364957211205903</v>
      </c>
    </row>
    <row r="27" spans="1:16" x14ac:dyDescent="0.25">
      <c r="A27" s="26">
        <v>75</v>
      </c>
      <c r="B27" s="72">
        <f t="shared" si="0"/>
        <v>4.3174881135363101</v>
      </c>
      <c r="C27" s="16">
        <v>13.185637040420414</v>
      </c>
      <c r="D27" s="16">
        <v>13.3553</v>
      </c>
      <c r="E27" s="16">
        <v>0.16966295957958621</v>
      </c>
      <c r="F27" s="16">
        <f t="shared" si="1"/>
        <v>-1.7739414005746525</v>
      </c>
      <c r="G27" s="16">
        <v>2.6955900000000002</v>
      </c>
      <c r="H27" s="16">
        <f t="shared" si="2"/>
        <v>0.99161710433382289</v>
      </c>
    </row>
    <row r="28" spans="1:16" x14ac:dyDescent="0.25">
      <c r="A28" s="26">
        <v>100</v>
      </c>
      <c r="B28" s="72">
        <f t="shared" si="0"/>
        <v>4.6051701859880918</v>
      </c>
      <c r="C28" s="16">
        <v>13.185637040420414</v>
      </c>
      <c r="D28" s="16">
        <v>11.188499999999999</v>
      </c>
      <c r="E28" s="16">
        <v>-1.9971370404204141</v>
      </c>
      <c r="F28" s="16">
        <f t="shared" si="1"/>
        <v>0.69171467522414232</v>
      </c>
      <c r="G28" s="16">
        <v>2.2881900000000002</v>
      </c>
      <c r="H28" s="16">
        <f t="shared" si="2"/>
        <v>0.827761112027801</v>
      </c>
    </row>
    <row r="29" spans="1:16" x14ac:dyDescent="0.25">
      <c r="A29" s="26">
        <v>250</v>
      </c>
      <c r="B29" s="72">
        <f t="shared" si="0"/>
        <v>5.521460917862246</v>
      </c>
      <c r="C29" s="16">
        <v>13.185637040420414</v>
      </c>
      <c r="D29" s="16">
        <v>12.290699999999999</v>
      </c>
      <c r="E29" s="16">
        <v>-0.89493704042041422</v>
      </c>
      <c r="F29" s="16">
        <f t="shared" si="1"/>
        <v>-0.111001909080649</v>
      </c>
      <c r="G29" s="16">
        <v>1.33446</v>
      </c>
      <c r="H29" s="16">
        <f t="shared" si="2"/>
        <v>0.2885267156402706</v>
      </c>
    </row>
    <row r="30" spans="1:16" x14ac:dyDescent="0.25">
      <c r="A30" s="26">
        <v>500</v>
      </c>
      <c r="B30" s="72">
        <f t="shared" si="0"/>
        <v>6.2146080984221914</v>
      </c>
      <c r="C30" s="16">
        <v>13.185637040420414</v>
      </c>
      <c r="D30" s="16">
        <v>12.9716</v>
      </c>
      <c r="E30" s="16">
        <v>-0.21403704042041305</v>
      </c>
      <c r="F30" s="16">
        <f t="shared" si="1"/>
        <v>-1.5416061928612559</v>
      </c>
      <c r="G30" s="16">
        <v>1.0462199999999999</v>
      </c>
      <c r="H30" s="16">
        <f t="shared" si="2"/>
        <v>4.5183668575320239E-2</v>
      </c>
    </row>
    <row r="31" spans="1:16" x14ac:dyDescent="0.25">
      <c r="A31" s="26">
        <v>750</v>
      </c>
      <c r="B31" s="72">
        <f t="shared" si="0"/>
        <v>6.620073206530356</v>
      </c>
      <c r="C31" s="16">
        <v>13.185637040420414</v>
      </c>
      <c r="D31" s="16">
        <v>13.103199999999999</v>
      </c>
      <c r="E31" s="16">
        <v>-8.243704042041422E-2</v>
      </c>
      <c r="F31" s="16">
        <f t="shared" si="1"/>
        <v>-2.4957204234051868</v>
      </c>
      <c r="G31" s="16">
        <v>0.89415999999999995</v>
      </c>
      <c r="H31" s="16">
        <f t="shared" si="2"/>
        <v>-0.11187054890478103</v>
      </c>
    </row>
    <row r="32" spans="1:16" x14ac:dyDescent="0.25">
      <c r="A32" s="26">
        <v>1000</v>
      </c>
      <c r="B32" s="72">
        <f t="shared" si="0"/>
        <v>6.9077552789821368</v>
      </c>
      <c r="C32" s="16">
        <v>13.185637040420414</v>
      </c>
      <c r="D32" s="16">
        <v>12.443099999999999</v>
      </c>
      <c r="E32" s="16">
        <v>-0.74253704042041413</v>
      </c>
      <c r="F32" s="16">
        <f t="shared" si="1"/>
        <v>-0.29768252346145202</v>
      </c>
      <c r="G32" s="16">
        <v>0.67363799999999996</v>
      </c>
      <c r="H32" s="16">
        <f t="shared" si="2"/>
        <v>-0.39506240434352791</v>
      </c>
    </row>
    <row r="33" spans="1:8" x14ac:dyDescent="0.25">
      <c r="A33" s="26">
        <v>2500</v>
      </c>
      <c r="B33" s="72">
        <f t="shared" si="0"/>
        <v>7.8240460108562919</v>
      </c>
      <c r="C33" s="16">
        <v>13.185637040420414</v>
      </c>
      <c r="D33" s="16">
        <v>12.7422</v>
      </c>
      <c r="E33" s="16">
        <v>-0.4434370404204131</v>
      </c>
      <c r="F33" s="16">
        <f t="shared" si="1"/>
        <v>-0.8131994480304815</v>
      </c>
      <c r="G33" s="16">
        <v>0.44675399999999998</v>
      </c>
      <c r="H33" s="16">
        <f t="shared" si="2"/>
        <v>-0.80574717142924102</v>
      </c>
    </row>
    <row r="34" spans="1:8" x14ac:dyDescent="0.25">
      <c r="A34" s="26">
        <v>5000</v>
      </c>
      <c r="B34" s="72">
        <f t="shared" si="0"/>
        <v>8.5171931914162382</v>
      </c>
      <c r="C34" s="16">
        <v>13.185637040420414</v>
      </c>
      <c r="D34" s="16">
        <v>12.6363</v>
      </c>
      <c r="E34" s="16">
        <v>-0.5493370404204132</v>
      </c>
      <c r="F34" s="16">
        <f t="shared" si="1"/>
        <v>-0.59904310886546885</v>
      </c>
      <c r="G34" s="16">
        <v>0.314276</v>
      </c>
      <c r="H34" s="16">
        <f t="shared" si="2"/>
        <v>-1.1574836982596479</v>
      </c>
    </row>
    <row r="35" spans="1:8" x14ac:dyDescent="0.25">
      <c r="A35" s="26">
        <v>7500</v>
      </c>
      <c r="B35" s="72">
        <f t="shared" si="0"/>
        <v>8.9226582995244019</v>
      </c>
      <c r="C35" s="16">
        <v>13.185637040420414</v>
      </c>
      <c r="D35" s="16">
        <v>12.7119</v>
      </c>
      <c r="E35" s="16">
        <v>-0.47373704042041354</v>
      </c>
      <c r="F35" s="16">
        <f t="shared" si="1"/>
        <v>-0.74710287827277566</v>
      </c>
      <c r="G35" s="16">
        <v>0.26261400000000001</v>
      </c>
      <c r="H35" s="16">
        <f t="shared" si="2"/>
        <v>-1.3370700055109199</v>
      </c>
    </row>
    <row r="36" spans="1:8" x14ac:dyDescent="0.25">
      <c r="A36" s="26">
        <v>10000</v>
      </c>
      <c r="B36" s="72">
        <f t="shared" si="0"/>
        <v>9.2103403719761836</v>
      </c>
      <c r="C36" s="16">
        <v>13.185637040420414</v>
      </c>
      <c r="D36" s="16">
        <v>12.785299999999999</v>
      </c>
      <c r="E36" s="16">
        <v>-0.40033704042041407</v>
      </c>
      <c r="F36" s="16">
        <f t="shared" si="1"/>
        <v>-0.91544848561210246</v>
      </c>
      <c r="G36" s="16">
        <v>0.228078</v>
      </c>
      <c r="H36" s="16">
        <f t="shared" si="2"/>
        <v>-1.4780676032692011</v>
      </c>
    </row>
    <row r="37" spans="1:8" x14ac:dyDescent="0.25">
      <c r="A37" s="26">
        <v>25000</v>
      </c>
      <c r="B37" s="72">
        <f t="shared" si="0"/>
        <v>10.126631103850338</v>
      </c>
      <c r="C37" s="16">
        <v>13.185637040420414</v>
      </c>
      <c r="D37" s="16">
        <v>12.7019</v>
      </c>
      <c r="E37" s="16">
        <v>-0.48373704042041332</v>
      </c>
      <c r="F37" s="16">
        <f t="shared" si="1"/>
        <v>-0.72621382482560226</v>
      </c>
      <c r="G37" s="16">
        <v>0.14441300000000001</v>
      </c>
      <c r="H37" s="16">
        <f t="shared" si="2"/>
        <v>-1.9350780288748304</v>
      </c>
    </row>
    <row r="38" spans="1:8" x14ac:dyDescent="0.25">
      <c r="A38" s="26">
        <v>50000</v>
      </c>
      <c r="B38" s="72">
        <f t="shared" si="0"/>
        <v>10.819778284410283</v>
      </c>
      <c r="C38" s="16">
        <v>13.185637040420414</v>
      </c>
      <c r="D38" s="16">
        <v>12.666</v>
      </c>
      <c r="E38" s="16">
        <v>-0.51963704042041314</v>
      </c>
      <c r="F38" s="16">
        <f t="shared" si="1"/>
        <v>-0.65462471031302794</v>
      </c>
      <c r="G38" s="16">
        <v>0.101212</v>
      </c>
      <c r="H38" s="16">
        <f t="shared" si="2"/>
        <v>-2.2905379520833788</v>
      </c>
    </row>
    <row r="39" spans="1:8" x14ac:dyDescent="0.25">
      <c r="A39" s="26">
        <v>75000</v>
      </c>
      <c r="B39" s="72">
        <f t="shared" si="0"/>
        <v>11.225243392518447</v>
      </c>
      <c r="C39" s="16">
        <v>13.185637040420414</v>
      </c>
      <c r="D39" s="16">
        <v>12.7232</v>
      </c>
      <c r="E39" s="16">
        <v>-0.46243704042041323</v>
      </c>
      <c r="F39" s="16">
        <f t="shared" si="1"/>
        <v>-0.77124486011675419</v>
      </c>
      <c r="G39" s="16">
        <v>8.2991499999999996E-2</v>
      </c>
      <c r="H39" s="16">
        <f t="shared" si="2"/>
        <v>-2.4890170860683183</v>
      </c>
    </row>
    <row r="40" spans="1:8" x14ac:dyDescent="0.25">
      <c r="A40" s="26">
        <v>100000</v>
      </c>
      <c r="B40" s="72">
        <f t="shared" si="0"/>
        <v>11.512925464970229</v>
      </c>
      <c r="C40" s="16">
        <v>13.185637040420414</v>
      </c>
      <c r="D40" s="16">
        <v>12.7117</v>
      </c>
      <c r="E40" s="16">
        <v>-0.47393704042041307</v>
      </c>
      <c r="F40" s="16">
        <f t="shared" si="1"/>
        <v>-0.74668079222650252</v>
      </c>
      <c r="G40" s="16">
        <v>7.1377800000000005E-2</v>
      </c>
      <c r="H40" s="16">
        <f t="shared" si="2"/>
        <v>-2.63976838235335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J21"/>
  <sheetViews>
    <sheetView workbookViewId="0">
      <selection activeCell="B25" sqref="B25"/>
    </sheetView>
  </sheetViews>
  <sheetFormatPr defaultRowHeight="15" x14ac:dyDescent="0.25"/>
  <cols>
    <col min="2" max="2" width="64.28515625" customWidth="1"/>
    <col min="4" max="4" width="57.85546875" customWidth="1"/>
    <col min="5" max="5" width="14.42578125" customWidth="1"/>
    <col min="6" max="6" width="56.85546875" customWidth="1"/>
    <col min="9" max="9" width="12" bestFit="1" customWidth="1"/>
    <col min="10" max="10" width="34.28515625" customWidth="1"/>
  </cols>
  <sheetData>
    <row r="1" spans="2:10" ht="59.25" customHeight="1" thickBot="1" x14ac:dyDescent="0.3">
      <c r="B1" s="79" t="s">
        <v>1010</v>
      </c>
    </row>
    <row r="2" spans="2:10" x14ac:dyDescent="0.25">
      <c r="B2" s="52"/>
      <c r="C2" s="41"/>
      <c r="D2" s="27"/>
      <c r="E2" s="41"/>
      <c r="F2" s="27"/>
      <c r="G2" s="41"/>
      <c r="H2" s="41"/>
      <c r="I2" s="41"/>
      <c r="J2" s="27"/>
    </row>
    <row r="3" spans="2:10" x14ac:dyDescent="0.25">
      <c r="B3" s="53"/>
      <c r="C3" s="35"/>
      <c r="D3" s="30"/>
      <c r="E3" s="35"/>
      <c r="F3" s="30"/>
      <c r="G3" s="35"/>
      <c r="H3" s="35"/>
      <c r="I3" s="35"/>
      <c r="J3" s="30"/>
    </row>
    <row r="4" spans="2:10" ht="15.75" thickBot="1" x14ac:dyDescent="0.3">
      <c r="B4" s="54"/>
      <c r="C4" s="38"/>
      <c r="D4" s="39"/>
      <c r="E4" s="38"/>
      <c r="F4" s="39"/>
      <c r="G4" s="38"/>
      <c r="H4" s="38"/>
      <c r="I4" s="38"/>
      <c r="J4" s="39"/>
    </row>
    <row r="5" spans="2:10" x14ac:dyDescent="0.25">
      <c r="B5" s="52"/>
      <c r="C5" s="63"/>
      <c r="D5" s="27"/>
      <c r="E5" s="63"/>
      <c r="F5" s="27"/>
      <c r="G5" s="63"/>
      <c r="H5" s="41"/>
      <c r="I5" s="41"/>
      <c r="J5" s="27"/>
    </row>
    <row r="6" spans="2:10" x14ac:dyDescent="0.25">
      <c r="B6" s="53"/>
      <c r="C6" s="34"/>
      <c r="D6" s="30"/>
      <c r="E6" s="34"/>
      <c r="F6" s="30"/>
      <c r="G6" s="34"/>
      <c r="H6" s="35"/>
      <c r="I6" s="35"/>
      <c r="J6" s="30"/>
    </row>
    <row r="7" spans="2:10" x14ac:dyDescent="0.25">
      <c r="B7" s="53"/>
      <c r="C7" s="34"/>
      <c r="D7" s="30"/>
      <c r="E7" s="34"/>
      <c r="F7" s="30"/>
      <c r="G7" s="34"/>
      <c r="H7" s="35"/>
      <c r="I7" s="35"/>
      <c r="J7" s="30"/>
    </row>
    <row r="8" spans="2:10" x14ac:dyDescent="0.25">
      <c r="B8" s="53"/>
      <c r="C8" s="34"/>
      <c r="D8" s="30"/>
      <c r="E8" s="34"/>
      <c r="F8" s="30"/>
      <c r="G8" s="34"/>
      <c r="H8" s="35"/>
      <c r="I8" s="35"/>
      <c r="J8" s="30"/>
    </row>
    <row r="9" spans="2:10" x14ac:dyDescent="0.25">
      <c r="B9" s="53"/>
      <c r="C9" s="34"/>
      <c r="D9" s="30"/>
      <c r="E9" s="34"/>
      <c r="F9" s="30"/>
      <c r="G9" s="34"/>
      <c r="H9" s="35"/>
      <c r="I9" s="35"/>
      <c r="J9" s="30"/>
    </row>
    <row r="10" spans="2:10" x14ac:dyDescent="0.25">
      <c r="B10" s="53"/>
      <c r="C10" s="34"/>
      <c r="D10" s="30"/>
      <c r="E10" s="34"/>
      <c r="F10" s="30"/>
      <c r="G10" s="34"/>
      <c r="H10" s="35"/>
      <c r="I10" s="35"/>
      <c r="J10" s="30"/>
    </row>
    <row r="11" spans="2:10" x14ac:dyDescent="0.25">
      <c r="B11" s="53"/>
      <c r="C11" s="34"/>
      <c r="D11" s="30"/>
      <c r="E11" s="34"/>
      <c r="F11" s="30"/>
      <c r="G11" s="34"/>
      <c r="H11" s="35"/>
      <c r="I11" s="35"/>
      <c r="J11" s="30"/>
    </row>
    <row r="12" spans="2:10" x14ac:dyDescent="0.25">
      <c r="B12" s="53"/>
      <c r="C12" s="34"/>
      <c r="D12" s="30"/>
      <c r="E12" s="34"/>
      <c r="F12" s="30"/>
      <c r="G12" s="34"/>
      <c r="H12" s="35"/>
      <c r="I12" s="35"/>
      <c r="J12" s="30"/>
    </row>
    <row r="13" spans="2:10" x14ac:dyDescent="0.25">
      <c r="B13" s="53"/>
      <c r="C13" s="34"/>
      <c r="D13" s="30"/>
      <c r="E13" s="34"/>
      <c r="F13" s="30"/>
      <c r="G13" s="34"/>
      <c r="H13" s="35"/>
      <c r="I13" s="35"/>
      <c r="J13" s="30"/>
    </row>
    <row r="14" spans="2:10" x14ac:dyDescent="0.25">
      <c r="B14" s="53"/>
      <c r="C14" s="34"/>
      <c r="D14" s="30"/>
      <c r="E14" s="34"/>
      <c r="F14" s="30"/>
      <c r="G14" s="34"/>
      <c r="H14" s="35"/>
      <c r="I14" s="35"/>
      <c r="J14" s="30"/>
    </row>
    <row r="15" spans="2:10" x14ac:dyDescent="0.25">
      <c r="B15" s="53"/>
      <c r="C15" s="34"/>
      <c r="D15" s="30"/>
      <c r="E15" s="34"/>
      <c r="F15" s="30"/>
      <c r="G15" s="34"/>
      <c r="H15" s="35"/>
      <c r="I15" s="35"/>
      <c r="J15" s="30"/>
    </row>
    <row r="16" spans="2:10" x14ac:dyDescent="0.25">
      <c r="B16" s="53"/>
      <c r="C16" s="34"/>
      <c r="D16" s="30"/>
      <c r="E16" s="34"/>
      <c r="F16" s="30"/>
      <c r="G16" s="34"/>
      <c r="H16" s="35"/>
      <c r="I16" s="35"/>
      <c r="J16" s="30"/>
    </row>
    <row r="17" spans="2:10" x14ac:dyDescent="0.25">
      <c r="B17" s="53"/>
      <c r="C17" s="34"/>
      <c r="D17" s="30"/>
      <c r="E17" s="34"/>
      <c r="F17" s="30"/>
      <c r="G17" s="34"/>
      <c r="H17" s="35"/>
      <c r="I17" s="35"/>
      <c r="J17" s="30"/>
    </row>
    <row r="18" spans="2:10" x14ac:dyDescent="0.25">
      <c r="B18" s="53"/>
      <c r="C18" s="34"/>
      <c r="D18" s="30"/>
      <c r="E18" s="34"/>
      <c r="F18" s="30"/>
      <c r="G18" s="34"/>
      <c r="H18" s="35"/>
      <c r="I18" s="35"/>
      <c r="J18" s="30"/>
    </row>
    <row r="19" spans="2:10" x14ac:dyDescent="0.25">
      <c r="B19" s="53"/>
      <c r="C19" s="34"/>
      <c r="D19" s="30"/>
      <c r="E19" s="34"/>
      <c r="F19" s="30"/>
      <c r="G19" s="34"/>
      <c r="H19" s="35"/>
      <c r="I19" s="35"/>
      <c r="J19" s="30"/>
    </row>
    <row r="20" spans="2:10" x14ac:dyDescent="0.25">
      <c r="B20" s="53"/>
      <c r="C20" s="34"/>
      <c r="D20" s="30"/>
      <c r="E20" s="34"/>
      <c r="F20" s="30"/>
      <c r="G20" s="34"/>
      <c r="H20" s="35"/>
      <c r="I20" s="35"/>
      <c r="J20" s="30"/>
    </row>
    <row r="21" spans="2:10" ht="15.75" thickBot="1" x14ac:dyDescent="0.3">
      <c r="B21" s="54"/>
      <c r="C21" s="37"/>
      <c r="D21" s="39"/>
      <c r="E21" s="37"/>
      <c r="F21" s="39"/>
      <c r="G21" s="37"/>
      <c r="H21" s="38"/>
      <c r="I21" s="38"/>
      <c r="J21" s="3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3" r:id="rId3" name="Button 9">
              <controlPr defaultSize="0" print="0" autoFill="0" autoPict="0" macro="[0]!PlotDelta">
                <anchor moveWithCells="1" sizeWithCells="1">
                  <from>
                    <xdr:col>1</xdr:col>
                    <xdr:colOff>1143000</xdr:colOff>
                    <xdr:row>1</xdr:row>
                    <xdr:rowOff>19050</xdr:rowOff>
                  </from>
                  <to>
                    <xdr:col>1</xdr:col>
                    <xdr:colOff>2952750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4" name="Button 10">
              <controlPr defaultSize="0" print="0" autoFill="0" autoPict="0" macro="[0]!PlotVega">
                <anchor moveWithCells="1" sizeWithCells="1">
                  <from>
                    <xdr:col>3</xdr:col>
                    <xdr:colOff>857250</xdr:colOff>
                    <xdr:row>1</xdr:row>
                    <xdr:rowOff>9525</xdr:rowOff>
                  </from>
                  <to>
                    <xdr:col>3</xdr:col>
                    <xdr:colOff>2667000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5" name="Button 11">
              <controlPr defaultSize="0" print="0" autoFill="0" autoPict="0" macro="[0]!PlotOptionPrice1">
                <anchor moveWithCells="1" sizeWithCells="1">
                  <from>
                    <xdr:col>5</xdr:col>
                    <xdr:colOff>542925</xdr:colOff>
                    <xdr:row>1</xdr:row>
                    <xdr:rowOff>19050</xdr:rowOff>
                  </from>
                  <to>
                    <xdr:col>5</xdr:col>
                    <xdr:colOff>2352675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6" name="Button 12">
              <controlPr defaultSize="0" print="0" autoFill="0" autoPict="0" macro="[0]!PlotOptionPrice2">
                <anchor moveWithCells="1" sizeWithCells="1">
                  <from>
                    <xdr:col>8</xdr:col>
                    <xdr:colOff>85725</xdr:colOff>
                    <xdr:row>1</xdr:row>
                    <xdr:rowOff>19050</xdr:rowOff>
                  </from>
                  <to>
                    <xdr:col>9</xdr:col>
                    <xdr:colOff>1095375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F32"/>
  <sheetViews>
    <sheetView workbookViewId="0"/>
  </sheetViews>
  <sheetFormatPr defaultRowHeight="15" x14ac:dyDescent="0.25"/>
  <sheetData>
    <row r="2" spans="2:32" x14ac:dyDescent="0.25">
      <c r="B2" t="str">
        <f ca="1">IFERROR(IF(OR(MonteCarlo!$B$4="C",MonteCarlo!$B$4="c"),B$1*_xlfn.NORM.S.DIST((LN(B$1/$A2)+(MonteCarlo!$B$9+(MonteCarlo!$B$7^2)/2)*MonteCarlo!$B$8)/(MonteCarlo!$B$7*SQRT(MonteCarlo!$B$8)),TRUE)-$A2*EXP(-MonteCarlo!$B$9*MonteCarlo!$B$8)*_xlfn.NORM.S.DIST(((LN(B$1/$A2)+(MonteCarlo!$B$9+(MonteCarlo!$B$7^2)/2)*MonteCarlo!$B$8)/(MonteCarlo!$B$7*SQRT(MonteCarlo!$B$8)))-(MonteCarlo!$B$7*SQRT(MonteCarlo!$B$8)),TRUE),$A2*EXP(-MonteCarlo!$B$9*MonteCarlo!$B$8)*_xlfn.NORM.S.DIST(-(((LN(B$1/$A2)+(MonteCarlo!$B$9+(MonteCarlo!$B$7^2)/2)*MonteCarlo!$B$8)/(MonteCarlo!$B$7*SQRT(MonteCarlo!$B$8)))-(MonteCarlo!$B$7*SQRT(MonteCarlo!$B$8))),TRUE)-B$1*_xlfn.NORM.S.DIST(-((LN(B$1/$A2)+(MonteCarlo!$B$9+(MonteCarlo!$B$7^2)/2)*MonteCarlo!$B$8)/(MonteCarlo!$B$7*SQRT(MonteCarlo!$B$8))),TRUE)),"")</f>
        <v/>
      </c>
      <c r="C2" t="str">
        <f ca="1">IFERROR(IF(OR(MonteCarlo!$B$4="C",MonteCarlo!$B$4="c"),C$1*_xlfn.NORM.S.DIST((LN(C$1/$A2)+(MonteCarlo!$B$9+(MonteCarlo!$B$7^2)/2)*MonteCarlo!$B$8)/(MonteCarlo!$B$7*SQRT(MonteCarlo!$B$8)),TRUE)-$A2*EXP(-MonteCarlo!$B$9*MonteCarlo!$B$8)*_xlfn.NORM.S.DIST(((LN(C$1/$A2)+(MonteCarlo!$B$9+(MonteCarlo!$B$7^2)/2)*MonteCarlo!$B$8)/(MonteCarlo!$B$7*SQRT(MonteCarlo!$B$8)))-(MonteCarlo!$B$7*SQRT(MonteCarlo!$B$8)),TRUE),$A2*EXP(-MonteCarlo!$B$9*MonteCarlo!$B$8)*_xlfn.NORM.S.DIST(-(((LN(C$1/$A2)+(MonteCarlo!$B$9+(MonteCarlo!$B$7^2)/2)*MonteCarlo!$B$8)/(MonteCarlo!$B$7*SQRT(MonteCarlo!$B$8)))-(MonteCarlo!$B$7*SQRT(MonteCarlo!$B$8))),TRUE)-C$1*_xlfn.NORM.S.DIST(-((LN(C$1/$A2)+(MonteCarlo!$B$9+(MonteCarlo!$B$7^2)/2)*MonteCarlo!$B$8)/(MonteCarlo!$B$7*SQRT(MonteCarlo!$B$8))),TRUE)),"")</f>
        <v/>
      </c>
      <c r="D2" t="str">
        <f ca="1">IFERROR(IF(OR(MonteCarlo!$B$4="C",MonteCarlo!$B$4="c"),D$1*_xlfn.NORM.S.DIST((LN(D$1/$A2)+(MonteCarlo!$B$9+(MonteCarlo!$B$7^2)/2)*MonteCarlo!$B$8)/(MonteCarlo!$B$7*SQRT(MonteCarlo!$B$8)),TRUE)-$A2*EXP(-MonteCarlo!$B$9*MonteCarlo!$B$8)*_xlfn.NORM.S.DIST(((LN(D$1/$A2)+(MonteCarlo!$B$9+(MonteCarlo!$B$7^2)/2)*MonteCarlo!$B$8)/(MonteCarlo!$B$7*SQRT(MonteCarlo!$B$8)))-(MonteCarlo!$B$7*SQRT(MonteCarlo!$B$8)),TRUE),$A2*EXP(-MonteCarlo!$B$9*MonteCarlo!$B$8)*_xlfn.NORM.S.DIST(-(((LN(D$1/$A2)+(MonteCarlo!$B$9+(MonteCarlo!$B$7^2)/2)*MonteCarlo!$B$8)/(MonteCarlo!$B$7*SQRT(MonteCarlo!$B$8)))-(MonteCarlo!$B$7*SQRT(MonteCarlo!$B$8))),TRUE)-D$1*_xlfn.NORM.S.DIST(-((LN(D$1/$A2)+(MonteCarlo!$B$9+(MonteCarlo!$B$7^2)/2)*MonteCarlo!$B$8)/(MonteCarlo!$B$7*SQRT(MonteCarlo!$B$8))),TRUE)),"")</f>
        <v/>
      </c>
      <c r="E2" t="str">
        <f ca="1">IFERROR(IF(OR(MonteCarlo!$B$4="C",MonteCarlo!$B$4="c"),E$1*_xlfn.NORM.S.DIST((LN(E$1/$A2)+(MonteCarlo!$B$9+(MonteCarlo!$B$7^2)/2)*MonteCarlo!$B$8)/(MonteCarlo!$B$7*SQRT(MonteCarlo!$B$8)),TRUE)-$A2*EXP(-MonteCarlo!$B$9*MonteCarlo!$B$8)*_xlfn.NORM.S.DIST(((LN(E$1/$A2)+(MonteCarlo!$B$9+(MonteCarlo!$B$7^2)/2)*MonteCarlo!$B$8)/(MonteCarlo!$B$7*SQRT(MonteCarlo!$B$8)))-(MonteCarlo!$B$7*SQRT(MonteCarlo!$B$8)),TRUE),$A2*EXP(-MonteCarlo!$B$9*MonteCarlo!$B$8)*_xlfn.NORM.S.DIST(-(((LN(E$1/$A2)+(MonteCarlo!$B$9+(MonteCarlo!$B$7^2)/2)*MonteCarlo!$B$8)/(MonteCarlo!$B$7*SQRT(MonteCarlo!$B$8)))-(MonteCarlo!$B$7*SQRT(MonteCarlo!$B$8))),TRUE)-E$1*_xlfn.NORM.S.DIST(-((LN(E$1/$A2)+(MonteCarlo!$B$9+(MonteCarlo!$B$7^2)/2)*MonteCarlo!$B$8)/(MonteCarlo!$B$7*SQRT(MonteCarlo!$B$8))),TRUE)),"")</f>
        <v/>
      </c>
      <c r="F2" t="str">
        <f ca="1">IFERROR(IF(OR(MonteCarlo!$B$4="C",MonteCarlo!$B$4="c"),F$1*_xlfn.NORM.S.DIST((LN(F$1/$A2)+(MonteCarlo!$B$9+(MonteCarlo!$B$7^2)/2)*MonteCarlo!$B$8)/(MonteCarlo!$B$7*SQRT(MonteCarlo!$B$8)),TRUE)-$A2*EXP(-MonteCarlo!$B$9*MonteCarlo!$B$8)*_xlfn.NORM.S.DIST(((LN(F$1/$A2)+(MonteCarlo!$B$9+(MonteCarlo!$B$7^2)/2)*MonteCarlo!$B$8)/(MonteCarlo!$B$7*SQRT(MonteCarlo!$B$8)))-(MonteCarlo!$B$7*SQRT(MonteCarlo!$B$8)),TRUE),$A2*EXP(-MonteCarlo!$B$9*MonteCarlo!$B$8)*_xlfn.NORM.S.DIST(-(((LN(F$1/$A2)+(MonteCarlo!$B$9+(MonteCarlo!$B$7^2)/2)*MonteCarlo!$B$8)/(MonteCarlo!$B$7*SQRT(MonteCarlo!$B$8)))-(MonteCarlo!$B$7*SQRT(MonteCarlo!$B$8))),TRUE)-F$1*_xlfn.NORM.S.DIST(-((LN(F$1/$A2)+(MonteCarlo!$B$9+(MonteCarlo!$B$7^2)/2)*MonteCarlo!$B$8)/(MonteCarlo!$B$7*SQRT(MonteCarlo!$B$8))),TRUE)),"")</f>
        <v/>
      </c>
      <c r="G2" t="str">
        <f ca="1">IFERROR(IF(OR(MonteCarlo!$B$4="C",MonteCarlo!$B$4="c"),G$1*_xlfn.NORM.S.DIST((LN(G$1/$A2)+(MonteCarlo!$B$9+(MonteCarlo!$B$7^2)/2)*MonteCarlo!$B$8)/(MonteCarlo!$B$7*SQRT(MonteCarlo!$B$8)),TRUE)-$A2*EXP(-MonteCarlo!$B$9*MonteCarlo!$B$8)*_xlfn.NORM.S.DIST(((LN(G$1/$A2)+(MonteCarlo!$B$9+(MonteCarlo!$B$7^2)/2)*MonteCarlo!$B$8)/(MonteCarlo!$B$7*SQRT(MonteCarlo!$B$8)))-(MonteCarlo!$B$7*SQRT(MonteCarlo!$B$8)),TRUE),$A2*EXP(-MonteCarlo!$B$9*MonteCarlo!$B$8)*_xlfn.NORM.S.DIST(-(((LN(G$1/$A2)+(MonteCarlo!$B$9+(MonteCarlo!$B$7^2)/2)*MonteCarlo!$B$8)/(MonteCarlo!$B$7*SQRT(MonteCarlo!$B$8)))-(MonteCarlo!$B$7*SQRT(MonteCarlo!$B$8))),TRUE)-G$1*_xlfn.NORM.S.DIST(-((LN(G$1/$A2)+(MonteCarlo!$B$9+(MonteCarlo!$B$7^2)/2)*MonteCarlo!$B$8)/(MonteCarlo!$B$7*SQRT(MonteCarlo!$B$8))),TRUE)),"")</f>
        <v/>
      </c>
      <c r="H2" t="str">
        <f ca="1">IFERROR(IF(OR(MonteCarlo!$B$4="C",MonteCarlo!$B$4="c"),H$1*_xlfn.NORM.S.DIST((LN(H$1/$A2)+(MonteCarlo!$B$9+(MonteCarlo!$B$7^2)/2)*MonteCarlo!$B$8)/(MonteCarlo!$B$7*SQRT(MonteCarlo!$B$8)),TRUE)-$A2*EXP(-MonteCarlo!$B$9*MonteCarlo!$B$8)*_xlfn.NORM.S.DIST(((LN(H$1/$A2)+(MonteCarlo!$B$9+(MonteCarlo!$B$7^2)/2)*MonteCarlo!$B$8)/(MonteCarlo!$B$7*SQRT(MonteCarlo!$B$8)))-(MonteCarlo!$B$7*SQRT(MonteCarlo!$B$8)),TRUE),$A2*EXP(-MonteCarlo!$B$9*MonteCarlo!$B$8)*_xlfn.NORM.S.DIST(-(((LN(H$1/$A2)+(MonteCarlo!$B$9+(MonteCarlo!$B$7^2)/2)*MonteCarlo!$B$8)/(MonteCarlo!$B$7*SQRT(MonteCarlo!$B$8)))-(MonteCarlo!$B$7*SQRT(MonteCarlo!$B$8))),TRUE)-H$1*_xlfn.NORM.S.DIST(-((LN(H$1/$A2)+(MonteCarlo!$B$9+(MonteCarlo!$B$7^2)/2)*MonteCarlo!$B$8)/(MonteCarlo!$B$7*SQRT(MonteCarlo!$B$8))),TRUE)),"")</f>
        <v/>
      </c>
      <c r="I2" t="str">
        <f ca="1">IFERROR(IF(OR(MonteCarlo!$B$4="C",MonteCarlo!$B$4="c"),I$1*_xlfn.NORM.S.DIST((LN(I$1/$A2)+(MonteCarlo!$B$9+(MonteCarlo!$B$7^2)/2)*MonteCarlo!$B$8)/(MonteCarlo!$B$7*SQRT(MonteCarlo!$B$8)),TRUE)-$A2*EXP(-MonteCarlo!$B$9*MonteCarlo!$B$8)*_xlfn.NORM.S.DIST(((LN(I$1/$A2)+(MonteCarlo!$B$9+(MonteCarlo!$B$7^2)/2)*MonteCarlo!$B$8)/(MonteCarlo!$B$7*SQRT(MonteCarlo!$B$8)))-(MonteCarlo!$B$7*SQRT(MonteCarlo!$B$8)),TRUE),$A2*EXP(-MonteCarlo!$B$9*MonteCarlo!$B$8)*_xlfn.NORM.S.DIST(-(((LN(I$1/$A2)+(MonteCarlo!$B$9+(MonteCarlo!$B$7^2)/2)*MonteCarlo!$B$8)/(MonteCarlo!$B$7*SQRT(MonteCarlo!$B$8)))-(MonteCarlo!$B$7*SQRT(MonteCarlo!$B$8))),TRUE)-I$1*_xlfn.NORM.S.DIST(-((LN(I$1/$A2)+(MonteCarlo!$B$9+(MonteCarlo!$B$7^2)/2)*MonteCarlo!$B$8)/(MonteCarlo!$B$7*SQRT(MonteCarlo!$B$8))),TRUE)),"")</f>
        <v/>
      </c>
      <c r="J2" t="str">
        <f ca="1">IFERROR(IF(OR(MonteCarlo!$B$4="C",MonteCarlo!$B$4="c"),J$1*_xlfn.NORM.S.DIST((LN(J$1/$A2)+(MonteCarlo!$B$9+(MonteCarlo!$B$7^2)/2)*MonteCarlo!$B$8)/(MonteCarlo!$B$7*SQRT(MonteCarlo!$B$8)),TRUE)-$A2*EXP(-MonteCarlo!$B$9*MonteCarlo!$B$8)*_xlfn.NORM.S.DIST(((LN(J$1/$A2)+(MonteCarlo!$B$9+(MonteCarlo!$B$7^2)/2)*MonteCarlo!$B$8)/(MonteCarlo!$B$7*SQRT(MonteCarlo!$B$8)))-(MonteCarlo!$B$7*SQRT(MonteCarlo!$B$8)),TRUE),$A2*EXP(-MonteCarlo!$B$9*MonteCarlo!$B$8)*_xlfn.NORM.S.DIST(-(((LN(J$1/$A2)+(MonteCarlo!$B$9+(MonteCarlo!$B$7^2)/2)*MonteCarlo!$B$8)/(MonteCarlo!$B$7*SQRT(MonteCarlo!$B$8)))-(MonteCarlo!$B$7*SQRT(MonteCarlo!$B$8))),TRUE)-J$1*_xlfn.NORM.S.DIST(-((LN(J$1/$A2)+(MonteCarlo!$B$9+(MonteCarlo!$B$7^2)/2)*MonteCarlo!$B$8)/(MonteCarlo!$B$7*SQRT(MonteCarlo!$B$8))),TRUE)),"")</f>
        <v/>
      </c>
      <c r="K2" t="str">
        <f ca="1">IFERROR(IF(OR(MonteCarlo!$B$4="C",MonteCarlo!$B$4="c"),K$1*_xlfn.NORM.S.DIST((LN(K$1/$A2)+(MonteCarlo!$B$9+(MonteCarlo!$B$7^2)/2)*MonteCarlo!$B$8)/(MonteCarlo!$B$7*SQRT(MonteCarlo!$B$8)),TRUE)-$A2*EXP(-MonteCarlo!$B$9*MonteCarlo!$B$8)*_xlfn.NORM.S.DIST(((LN(K$1/$A2)+(MonteCarlo!$B$9+(MonteCarlo!$B$7^2)/2)*MonteCarlo!$B$8)/(MonteCarlo!$B$7*SQRT(MonteCarlo!$B$8)))-(MonteCarlo!$B$7*SQRT(MonteCarlo!$B$8)),TRUE),$A2*EXP(-MonteCarlo!$B$9*MonteCarlo!$B$8)*_xlfn.NORM.S.DIST(-(((LN(K$1/$A2)+(MonteCarlo!$B$9+(MonteCarlo!$B$7^2)/2)*MonteCarlo!$B$8)/(MonteCarlo!$B$7*SQRT(MonteCarlo!$B$8)))-(MonteCarlo!$B$7*SQRT(MonteCarlo!$B$8))),TRUE)-K$1*_xlfn.NORM.S.DIST(-((LN(K$1/$A2)+(MonteCarlo!$B$9+(MonteCarlo!$B$7^2)/2)*MonteCarlo!$B$8)/(MonteCarlo!$B$7*SQRT(MonteCarlo!$B$8))),TRUE)),"")</f>
        <v/>
      </c>
      <c r="L2" t="str">
        <f ca="1">IFERROR(IF(OR(MonteCarlo!$B$4="C",MonteCarlo!$B$4="c"),L$1*_xlfn.NORM.S.DIST((LN(L$1/$A2)+(MonteCarlo!$B$9+(MonteCarlo!$B$7^2)/2)*MonteCarlo!$B$8)/(MonteCarlo!$B$7*SQRT(MonteCarlo!$B$8)),TRUE)-$A2*EXP(-MonteCarlo!$B$9*MonteCarlo!$B$8)*_xlfn.NORM.S.DIST(((LN(L$1/$A2)+(MonteCarlo!$B$9+(MonteCarlo!$B$7^2)/2)*MonteCarlo!$B$8)/(MonteCarlo!$B$7*SQRT(MonteCarlo!$B$8)))-(MonteCarlo!$B$7*SQRT(MonteCarlo!$B$8)),TRUE),$A2*EXP(-MonteCarlo!$B$9*MonteCarlo!$B$8)*_xlfn.NORM.S.DIST(-(((LN(L$1/$A2)+(MonteCarlo!$B$9+(MonteCarlo!$B$7^2)/2)*MonteCarlo!$B$8)/(MonteCarlo!$B$7*SQRT(MonteCarlo!$B$8)))-(MonteCarlo!$B$7*SQRT(MonteCarlo!$B$8))),TRUE)-L$1*_xlfn.NORM.S.DIST(-((LN(L$1/$A2)+(MonteCarlo!$B$9+(MonteCarlo!$B$7^2)/2)*MonteCarlo!$B$8)/(MonteCarlo!$B$7*SQRT(MonteCarlo!$B$8))),TRUE)),"")</f>
        <v/>
      </c>
      <c r="M2" t="str">
        <f ca="1">IFERROR(IF(OR(MonteCarlo!$B$4="C",MonteCarlo!$B$4="c"),M$1*_xlfn.NORM.S.DIST((LN(M$1/$A2)+(MonteCarlo!$B$9+(MonteCarlo!$B$7^2)/2)*MonteCarlo!$B$8)/(MonteCarlo!$B$7*SQRT(MonteCarlo!$B$8)),TRUE)-$A2*EXP(-MonteCarlo!$B$9*MonteCarlo!$B$8)*_xlfn.NORM.S.DIST(((LN(M$1/$A2)+(MonteCarlo!$B$9+(MonteCarlo!$B$7^2)/2)*MonteCarlo!$B$8)/(MonteCarlo!$B$7*SQRT(MonteCarlo!$B$8)))-(MonteCarlo!$B$7*SQRT(MonteCarlo!$B$8)),TRUE),$A2*EXP(-MonteCarlo!$B$9*MonteCarlo!$B$8)*_xlfn.NORM.S.DIST(-(((LN(M$1/$A2)+(MonteCarlo!$B$9+(MonteCarlo!$B$7^2)/2)*MonteCarlo!$B$8)/(MonteCarlo!$B$7*SQRT(MonteCarlo!$B$8)))-(MonteCarlo!$B$7*SQRT(MonteCarlo!$B$8))),TRUE)-M$1*_xlfn.NORM.S.DIST(-((LN(M$1/$A2)+(MonteCarlo!$B$9+(MonteCarlo!$B$7^2)/2)*MonteCarlo!$B$8)/(MonteCarlo!$B$7*SQRT(MonteCarlo!$B$8))),TRUE)),"")</f>
        <v/>
      </c>
      <c r="N2" t="str">
        <f ca="1">IFERROR(IF(OR(MonteCarlo!$B$4="C",MonteCarlo!$B$4="c"),N$1*_xlfn.NORM.S.DIST((LN(N$1/$A2)+(MonteCarlo!$B$9+(MonteCarlo!$B$7^2)/2)*MonteCarlo!$B$8)/(MonteCarlo!$B$7*SQRT(MonteCarlo!$B$8)),TRUE)-$A2*EXP(-MonteCarlo!$B$9*MonteCarlo!$B$8)*_xlfn.NORM.S.DIST(((LN(N$1/$A2)+(MonteCarlo!$B$9+(MonteCarlo!$B$7^2)/2)*MonteCarlo!$B$8)/(MonteCarlo!$B$7*SQRT(MonteCarlo!$B$8)))-(MonteCarlo!$B$7*SQRT(MonteCarlo!$B$8)),TRUE),$A2*EXP(-MonteCarlo!$B$9*MonteCarlo!$B$8)*_xlfn.NORM.S.DIST(-(((LN(N$1/$A2)+(MonteCarlo!$B$9+(MonteCarlo!$B$7^2)/2)*MonteCarlo!$B$8)/(MonteCarlo!$B$7*SQRT(MonteCarlo!$B$8)))-(MonteCarlo!$B$7*SQRT(MonteCarlo!$B$8))),TRUE)-N$1*_xlfn.NORM.S.DIST(-((LN(N$1/$A2)+(MonteCarlo!$B$9+(MonteCarlo!$B$7^2)/2)*MonteCarlo!$B$8)/(MonteCarlo!$B$7*SQRT(MonteCarlo!$B$8))),TRUE)),"")</f>
        <v/>
      </c>
      <c r="O2" t="str">
        <f ca="1">IFERROR(IF(OR(MonteCarlo!$B$4="C",MonteCarlo!$B$4="c"),O$1*_xlfn.NORM.S.DIST((LN(O$1/$A2)+(MonteCarlo!$B$9+(MonteCarlo!$B$7^2)/2)*MonteCarlo!$B$8)/(MonteCarlo!$B$7*SQRT(MonteCarlo!$B$8)),TRUE)-$A2*EXP(-MonteCarlo!$B$9*MonteCarlo!$B$8)*_xlfn.NORM.S.DIST(((LN(O$1/$A2)+(MonteCarlo!$B$9+(MonteCarlo!$B$7^2)/2)*MonteCarlo!$B$8)/(MonteCarlo!$B$7*SQRT(MonteCarlo!$B$8)))-(MonteCarlo!$B$7*SQRT(MonteCarlo!$B$8)),TRUE),$A2*EXP(-MonteCarlo!$B$9*MonteCarlo!$B$8)*_xlfn.NORM.S.DIST(-(((LN(O$1/$A2)+(MonteCarlo!$B$9+(MonteCarlo!$B$7^2)/2)*MonteCarlo!$B$8)/(MonteCarlo!$B$7*SQRT(MonteCarlo!$B$8)))-(MonteCarlo!$B$7*SQRT(MonteCarlo!$B$8))),TRUE)-O$1*_xlfn.NORM.S.DIST(-((LN(O$1/$A2)+(MonteCarlo!$B$9+(MonteCarlo!$B$7^2)/2)*MonteCarlo!$B$8)/(MonteCarlo!$B$7*SQRT(MonteCarlo!$B$8))),TRUE)),"")</f>
        <v/>
      </c>
      <c r="P2" t="str">
        <f ca="1">IFERROR(IF(OR(MonteCarlo!$B$4="C",MonteCarlo!$B$4="c"),P$1*_xlfn.NORM.S.DIST((LN(P$1/$A2)+(MonteCarlo!$B$9+(MonteCarlo!$B$7^2)/2)*MonteCarlo!$B$8)/(MonteCarlo!$B$7*SQRT(MonteCarlo!$B$8)),TRUE)-$A2*EXP(-MonteCarlo!$B$9*MonteCarlo!$B$8)*_xlfn.NORM.S.DIST(((LN(P$1/$A2)+(MonteCarlo!$B$9+(MonteCarlo!$B$7^2)/2)*MonteCarlo!$B$8)/(MonteCarlo!$B$7*SQRT(MonteCarlo!$B$8)))-(MonteCarlo!$B$7*SQRT(MonteCarlo!$B$8)),TRUE),$A2*EXP(-MonteCarlo!$B$9*MonteCarlo!$B$8)*_xlfn.NORM.S.DIST(-(((LN(P$1/$A2)+(MonteCarlo!$B$9+(MonteCarlo!$B$7^2)/2)*MonteCarlo!$B$8)/(MonteCarlo!$B$7*SQRT(MonteCarlo!$B$8)))-(MonteCarlo!$B$7*SQRT(MonteCarlo!$B$8))),TRUE)-P$1*_xlfn.NORM.S.DIST(-((LN(P$1/$A2)+(MonteCarlo!$B$9+(MonteCarlo!$B$7^2)/2)*MonteCarlo!$B$8)/(MonteCarlo!$B$7*SQRT(MonteCarlo!$B$8))),TRUE)),"")</f>
        <v/>
      </c>
      <c r="Q2" t="str">
        <f ca="1">IFERROR(IF(OR(MonteCarlo!$B$4="C",MonteCarlo!$B$4="c"),Q$1*_xlfn.NORM.S.DIST((LN(Q$1/$A2)+(MonteCarlo!$B$9+(MonteCarlo!$B$7^2)/2)*MonteCarlo!$B$8)/(MonteCarlo!$B$7*SQRT(MonteCarlo!$B$8)),TRUE)-$A2*EXP(-MonteCarlo!$B$9*MonteCarlo!$B$8)*_xlfn.NORM.S.DIST(((LN(Q$1/$A2)+(MonteCarlo!$B$9+(MonteCarlo!$B$7^2)/2)*MonteCarlo!$B$8)/(MonteCarlo!$B$7*SQRT(MonteCarlo!$B$8)))-(MonteCarlo!$B$7*SQRT(MonteCarlo!$B$8)),TRUE),$A2*EXP(-MonteCarlo!$B$9*MonteCarlo!$B$8)*_xlfn.NORM.S.DIST(-(((LN(Q$1/$A2)+(MonteCarlo!$B$9+(MonteCarlo!$B$7^2)/2)*MonteCarlo!$B$8)/(MonteCarlo!$B$7*SQRT(MonteCarlo!$B$8)))-(MonteCarlo!$B$7*SQRT(MonteCarlo!$B$8))),TRUE)-Q$1*_xlfn.NORM.S.DIST(-((LN(Q$1/$A2)+(MonteCarlo!$B$9+(MonteCarlo!$B$7^2)/2)*MonteCarlo!$B$8)/(MonteCarlo!$B$7*SQRT(MonteCarlo!$B$8))),TRUE)),"")</f>
        <v/>
      </c>
      <c r="R2" t="str">
        <f ca="1">IFERROR(IF(OR(MonteCarlo!$B$4="C",MonteCarlo!$B$4="c"),R$1*_xlfn.NORM.S.DIST((LN(R$1/$A2)+(MonteCarlo!$B$9+(MonteCarlo!$B$7^2)/2)*MonteCarlo!$B$8)/(MonteCarlo!$B$7*SQRT(MonteCarlo!$B$8)),TRUE)-$A2*EXP(-MonteCarlo!$B$9*MonteCarlo!$B$8)*_xlfn.NORM.S.DIST(((LN(R$1/$A2)+(MonteCarlo!$B$9+(MonteCarlo!$B$7^2)/2)*MonteCarlo!$B$8)/(MonteCarlo!$B$7*SQRT(MonteCarlo!$B$8)))-(MonteCarlo!$B$7*SQRT(MonteCarlo!$B$8)),TRUE),$A2*EXP(-MonteCarlo!$B$9*MonteCarlo!$B$8)*_xlfn.NORM.S.DIST(-(((LN(R$1/$A2)+(MonteCarlo!$B$9+(MonteCarlo!$B$7^2)/2)*MonteCarlo!$B$8)/(MonteCarlo!$B$7*SQRT(MonteCarlo!$B$8)))-(MonteCarlo!$B$7*SQRT(MonteCarlo!$B$8))),TRUE)-R$1*_xlfn.NORM.S.DIST(-((LN(R$1/$A2)+(MonteCarlo!$B$9+(MonteCarlo!$B$7^2)/2)*MonteCarlo!$B$8)/(MonteCarlo!$B$7*SQRT(MonteCarlo!$B$8))),TRUE)),"")</f>
        <v/>
      </c>
      <c r="S2" t="str">
        <f ca="1">IFERROR(IF(OR(MonteCarlo!$B$4="C",MonteCarlo!$B$4="c"),S$1*_xlfn.NORM.S.DIST((LN(S$1/$A2)+(MonteCarlo!$B$9+(MonteCarlo!$B$7^2)/2)*MonteCarlo!$B$8)/(MonteCarlo!$B$7*SQRT(MonteCarlo!$B$8)),TRUE)-$A2*EXP(-MonteCarlo!$B$9*MonteCarlo!$B$8)*_xlfn.NORM.S.DIST(((LN(S$1/$A2)+(MonteCarlo!$B$9+(MonteCarlo!$B$7^2)/2)*MonteCarlo!$B$8)/(MonteCarlo!$B$7*SQRT(MonteCarlo!$B$8)))-(MonteCarlo!$B$7*SQRT(MonteCarlo!$B$8)),TRUE),$A2*EXP(-MonteCarlo!$B$9*MonteCarlo!$B$8)*_xlfn.NORM.S.DIST(-(((LN(S$1/$A2)+(MonteCarlo!$B$9+(MonteCarlo!$B$7^2)/2)*MonteCarlo!$B$8)/(MonteCarlo!$B$7*SQRT(MonteCarlo!$B$8)))-(MonteCarlo!$B$7*SQRT(MonteCarlo!$B$8))),TRUE)-S$1*_xlfn.NORM.S.DIST(-((LN(S$1/$A2)+(MonteCarlo!$B$9+(MonteCarlo!$B$7^2)/2)*MonteCarlo!$B$8)/(MonteCarlo!$B$7*SQRT(MonteCarlo!$B$8))),TRUE)),"")</f>
        <v/>
      </c>
      <c r="T2" t="str">
        <f ca="1">IFERROR(IF(OR(MonteCarlo!$B$4="C",MonteCarlo!$B$4="c"),T$1*_xlfn.NORM.S.DIST((LN(T$1/$A2)+(MonteCarlo!$B$9+(MonteCarlo!$B$7^2)/2)*MonteCarlo!$B$8)/(MonteCarlo!$B$7*SQRT(MonteCarlo!$B$8)),TRUE)-$A2*EXP(-MonteCarlo!$B$9*MonteCarlo!$B$8)*_xlfn.NORM.S.DIST(((LN(T$1/$A2)+(MonteCarlo!$B$9+(MonteCarlo!$B$7^2)/2)*MonteCarlo!$B$8)/(MonteCarlo!$B$7*SQRT(MonteCarlo!$B$8)))-(MonteCarlo!$B$7*SQRT(MonteCarlo!$B$8)),TRUE),$A2*EXP(-MonteCarlo!$B$9*MonteCarlo!$B$8)*_xlfn.NORM.S.DIST(-(((LN(T$1/$A2)+(MonteCarlo!$B$9+(MonteCarlo!$B$7^2)/2)*MonteCarlo!$B$8)/(MonteCarlo!$B$7*SQRT(MonteCarlo!$B$8)))-(MonteCarlo!$B$7*SQRT(MonteCarlo!$B$8))),TRUE)-T$1*_xlfn.NORM.S.DIST(-((LN(T$1/$A2)+(MonteCarlo!$B$9+(MonteCarlo!$B$7^2)/2)*MonteCarlo!$B$8)/(MonteCarlo!$B$7*SQRT(MonteCarlo!$B$8))),TRUE)),"")</f>
        <v/>
      </c>
      <c r="U2" t="str">
        <f ca="1">IFERROR(IF(OR(MonteCarlo!$B$4="C",MonteCarlo!$B$4="c"),U$1*_xlfn.NORM.S.DIST((LN(U$1/$A2)+(MonteCarlo!$B$9+(MonteCarlo!$B$7^2)/2)*MonteCarlo!$B$8)/(MonteCarlo!$B$7*SQRT(MonteCarlo!$B$8)),TRUE)-$A2*EXP(-MonteCarlo!$B$9*MonteCarlo!$B$8)*_xlfn.NORM.S.DIST(((LN(U$1/$A2)+(MonteCarlo!$B$9+(MonteCarlo!$B$7^2)/2)*MonteCarlo!$B$8)/(MonteCarlo!$B$7*SQRT(MonteCarlo!$B$8)))-(MonteCarlo!$B$7*SQRT(MonteCarlo!$B$8)),TRUE),$A2*EXP(-MonteCarlo!$B$9*MonteCarlo!$B$8)*_xlfn.NORM.S.DIST(-(((LN(U$1/$A2)+(MonteCarlo!$B$9+(MonteCarlo!$B$7^2)/2)*MonteCarlo!$B$8)/(MonteCarlo!$B$7*SQRT(MonteCarlo!$B$8)))-(MonteCarlo!$B$7*SQRT(MonteCarlo!$B$8))),TRUE)-U$1*_xlfn.NORM.S.DIST(-((LN(U$1/$A2)+(MonteCarlo!$B$9+(MonteCarlo!$B$7^2)/2)*MonteCarlo!$B$8)/(MonteCarlo!$B$7*SQRT(MonteCarlo!$B$8))),TRUE)),"")</f>
        <v/>
      </c>
      <c r="V2" t="str">
        <f ca="1">IFERROR(IF(OR(MonteCarlo!$B$4="C",MonteCarlo!$B$4="c"),V$1*_xlfn.NORM.S.DIST((LN(V$1/$A2)+(MonteCarlo!$B$9+(MonteCarlo!$B$7^2)/2)*MonteCarlo!$B$8)/(MonteCarlo!$B$7*SQRT(MonteCarlo!$B$8)),TRUE)-$A2*EXP(-MonteCarlo!$B$9*MonteCarlo!$B$8)*_xlfn.NORM.S.DIST(((LN(V$1/$A2)+(MonteCarlo!$B$9+(MonteCarlo!$B$7^2)/2)*MonteCarlo!$B$8)/(MonteCarlo!$B$7*SQRT(MonteCarlo!$B$8)))-(MonteCarlo!$B$7*SQRT(MonteCarlo!$B$8)),TRUE),$A2*EXP(-MonteCarlo!$B$9*MonteCarlo!$B$8)*_xlfn.NORM.S.DIST(-(((LN(V$1/$A2)+(MonteCarlo!$B$9+(MonteCarlo!$B$7^2)/2)*MonteCarlo!$B$8)/(MonteCarlo!$B$7*SQRT(MonteCarlo!$B$8)))-(MonteCarlo!$B$7*SQRT(MonteCarlo!$B$8))),TRUE)-V$1*_xlfn.NORM.S.DIST(-((LN(V$1/$A2)+(MonteCarlo!$B$9+(MonteCarlo!$B$7^2)/2)*MonteCarlo!$B$8)/(MonteCarlo!$B$7*SQRT(MonteCarlo!$B$8))),TRUE)),"")</f>
        <v/>
      </c>
      <c r="W2" t="str">
        <f ca="1">IFERROR(IF(OR(MonteCarlo!$B$4="C",MonteCarlo!$B$4="c"),W$1*_xlfn.NORM.S.DIST((LN(W$1/$A2)+(MonteCarlo!$B$9+(MonteCarlo!$B$7^2)/2)*MonteCarlo!$B$8)/(MonteCarlo!$B$7*SQRT(MonteCarlo!$B$8)),TRUE)-$A2*EXP(-MonteCarlo!$B$9*MonteCarlo!$B$8)*_xlfn.NORM.S.DIST(((LN(W$1/$A2)+(MonteCarlo!$B$9+(MonteCarlo!$B$7^2)/2)*MonteCarlo!$B$8)/(MonteCarlo!$B$7*SQRT(MonteCarlo!$B$8)))-(MonteCarlo!$B$7*SQRT(MonteCarlo!$B$8)),TRUE),$A2*EXP(-MonteCarlo!$B$9*MonteCarlo!$B$8)*_xlfn.NORM.S.DIST(-(((LN(W$1/$A2)+(MonteCarlo!$B$9+(MonteCarlo!$B$7^2)/2)*MonteCarlo!$B$8)/(MonteCarlo!$B$7*SQRT(MonteCarlo!$B$8)))-(MonteCarlo!$B$7*SQRT(MonteCarlo!$B$8))),TRUE)-W$1*_xlfn.NORM.S.DIST(-((LN(W$1/$A2)+(MonteCarlo!$B$9+(MonteCarlo!$B$7^2)/2)*MonteCarlo!$B$8)/(MonteCarlo!$B$7*SQRT(MonteCarlo!$B$8))),TRUE)),"")</f>
        <v/>
      </c>
      <c r="X2" t="str">
        <f ca="1">IFERROR(IF(OR(MonteCarlo!$B$4="C",MonteCarlo!$B$4="c"),X$1*_xlfn.NORM.S.DIST((LN(X$1/$A2)+(MonteCarlo!$B$9+(MonteCarlo!$B$7^2)/2)*MonteCarlo!$B$8)/(MonteCarlo!$B$7*SQRT(MonteCarlo!$B$8)),TRUE)-$A2*EXP(-MonteCarlo!$B$9*MonteCarlo!$B$8)*_xlfn.NORM.S.DIST(((LN(X$1/$A2)+(MonteCarlo!$B$9+(MonteCarlo!$B$7^2)/2)*MonteCarlo!$B$8)/(MonteCarlo!$B$7*SQRT(MonteCarlo!$B$8)))-(MonteCarlo!$B$7*SQRT(MonteCarlo!$B$8)),TRUE),$A2*EXP(-MonteCarlo!$B$9*MonteCarlo!$B$8)*_xlfn.NORM.S.DIST(-(((LN(X$1/$A2)+(MonteCarlo!$B$9+(MonteCarlo!$B$7^2)/2)*MonteCarlo!$B$8)/(MonteCarlo!$B$7*SQRT(MonteCarlo!$B$8)))-(MonteCarlo!$B$7*SQRT(MonteCarlo!$B$8))),TRUE)-X$1*_xlfn.NORM.S.DIST(-((LN(X$1/$A2)+(MonteCarlo!$B$9+(MonteCarlo!$B$7^2)/2)*MonteCarlo!$B$8)/(MonteCarlo!$B$7*SQRT(MonteCarlo!$B$8))),TRUE)),"")</f>
        <v/>
      </c>
      <c r="Y2" t="str">
        <f ca="1">IFERROR(IF(OR(MonteCarlo!$B$4="C",MonteCarlo!$B$4="c"),Y$1*_xlfn.NORM.S.DIST((LN(Y$1/$A2)+(MonteCarlo!$B$9+(MonteCarlo!$B$7^2)/2)*MonteCarlo!$B$8)/(MonteCarlo!$B$7*SQRT(MonteCarlo!$B$8)),TRUE)-$A2*EXP(-MonteCarlo!$B$9*MonteCarlo!$B$8)*_xlfn.NORM.S.DIST(((LN(Y$1/$A2)+(MonteCarlo!$B$9+(MonteCarlo!$B$7^2)/2)*MonteCarlo!$B$8)/(MonteCarlo!$B$7*SQRT(MonteCarlo!$B$8)))-(MonteCarlo!$B$7*SQRT(MonteCarlo!$B$8)),TRUE),$A2*EXP(-MonteCarlo!$B$9*MonteCarlo!$B$8)*_xlfn.NORM.S.DIST(-(((LN(Y$1/$A2)+(MonteCarlo!$B$9+(MonteCarlo!$B$7^2)/2)*MonteCarlo!$B$8)/(MonteCarlo!$B$7*SQRT(MonteCarlo!$B$8)))-(MonteCarlo!$B$7*SQRT(MonteCarlo!$B$8))),TRUE)-Y$1*_xlfn.NORM.S.DIST(-((LN(Y$1/$A2)+(MonteCarlo!$B$9+(MonteCarlo!$B$7^2)/2)*MonteCarlo!$B$8)/(MonteCarlo!$B$7*SQRT(MonteCarlo!$B$8))),TRUE)),"")</f>
        <v/>
      </c>
      <c r="Z2" t="str">
        <f ca="1">IFERROR(IF(OR(MonteCarlo!$B$4="C",MonteCarlo!$B$4="c"),Z$1*_xlfn.NORM.S.DIST((LN(Z$1/$A2)+(MonteCarlo!$B$9+(MonteCarlo!$B$7^2)/2)*MonteCarlo!$B$8)/(MonteCarlo!$B$7*SQRT(MonteCarlo!$B$8)),TRUE)-$A2*EXP(-MonteCarlo!$B$9*MonteCarlo!$B$8)*_xlfn.NORM.S.DIST(((LN(Z$1/$A2)+(MonteCarlo!$B$9+(MonteCarlo!$B$7^2)/2)*MonteCarlo!$B$8)/(MonteCarlo!$B$7*SQRT(MonteCarlo!$B$8)))-(MonteCarlo!$B$7*SQRT(MonteCarlo!$B$8)),TRUE),$A2*EXP(-MonteCarlo!$B$9*MonteCarlo!$B$8)*_xlfn.NORM.S.DIST(-(((LN(Z$1/$A2)+(MonteCarlo!$B$9+(MonteCarlo!$B$7^2)/2)*MonteCarlo!$B$8)/(MonteCarlo!$B$7*SQRT(MonteCarlo!$B$8)))-(MonteCarlo!$B$7*SQRT(MonteCarlo!$B$8))),TRUE)-Z$1*_xlfn.NORM.S.DIST(-((LN(Z$1/$A2)+(MonteCarlo!$B$9+(MonteCarlo!$B$7^2)/2)*MonteCarlo!$B$8)/(MonteCarlo!$B$7*SQRT(MonteCarlo!$B$8))),TRUE)),"")</f>
        <v/>
      </c>
      <c r="AA2" t="str">
        <f ca="1">IFERROR(IF(OR(MonteCarlo!$B$4="C",MonteCarlo!$B$4="c"),AA$1*_xlfn.NORM.S.DIST((LN(AA$1/$A2)+(MonteCarlo!$B$9+(MonteCarlo!$B$7^2)/2)*MonteCarlo!$B$8)/(MonteCarlo!$B$7*SQRT(MonteCarlo!$B$8)),TRUE)-$A2*EXP(-MonteCarlo!$B$9*MonteCarlo!$B$8)*_xlfn.NORM.S.DIST(((LN(AA$1/$A2)+(MonteCarlo!$B$9+(MonteCarlo!$B$7^2)/2)*MonteCarlo!$B$8)/(MonteCarlo!$B$7*SQRT(MonteCarlo!$B$8)))-(MonteCarlo!$B$7*SQRT(MonteCarlo!$B$8)),TRUE),$A2*EXP(-MonteCarlo!$B$9*MonteCarlo!$B$8)*_xlfn.NORM.S.DIST(-(((LN(AA$1/$A2)+(MonteCarlo!$B$9+(MonteCarlo!$B$7^2)/2)*MonteCarlo!$B$8)/(MonteCarlo!$B$7*SQRT(MonteCarlo!$B$8)))-(MonteCarlo!$B$7*SQRT(MonteCarlo!$B$8))),TRUE)-AA$1*_xlfn.NORM.S.DIST(-((LN(AA$1/$A2)+(MonteCarlo!$B$9+(MonteCarlo!$B$7^2)/2)*MonteCarlo!$B$8)/(MonteCarlo!$B$7*SQRT(MonteCarlo!$B$8))),TRUE)),"")</f>
        <v/>
      </c>
      <c r="AB2" t="str">
        <f ca="1">IFERROR(IF(OR(MonteCarlo!$B$4="C",MonteCarlo!$B$4="c"),AB$1*_xlfn.NORM.S.DIST((LN(AB$1/$A2)+(MonteCarlo!$B$9+(MonteCarlo!$B$7^2)/2)*MonteCarlo!$B$8)/(MonteCarlo!$B$7*SQRT(MonteCarlo!$B$8)),TRUE)-$A2*EXP(-MonteCarlo!$B$9*MonteCarlo!$B$8)*_xlfn.NORM.S.DIST(((LN(AB$1/$A2)+(MonteCarlo!$B$9+(MonteCarlo!$B$7^2)/2)*MonteCarlo!$B$8)/(MonteCarlo!$B$7*SQRT(MonteCarlo!$B$8)))-(MonteCarlo!$B$7*SQRT(MonteCarlo!$B$8)),TRUE),$A2*EXP(-MonteCarlo!$B$9*MonteCarlo!$B$8)*_xlfn.NORM.S.DIST(-(((LN(AB$1/$A2)+(MonteCarlo!$B$9+(MonteCarlo!$B$7^2)/2)*MonteCarlo!$B$8)/(MonteCarlo!$B$7*SQRT(MonteCarlo!$B$8)))-(MonteCarlo!$B$7*SQRT(MonteCarlo!$B$8))),TRUE)-AB$1*_xlfn.NORM.S.DIST(-((LN(AB$1/$A2)+(MonteCarlo!$B$9+(MonteCarlo!$B$7^2)/2)*MonteCarlo!$B$8)/(MonteCarlo!$B$7*SQRT(MonteCarlo!$B$8))),TRUE)),"")</f>
        <v/>
      </c>
      <c r="AC2" t="str">
        <f ca="1">IFERROR(IF(OR(MonteCarlo!$B$4="C",MonteCarlo!$B$4="c"),AC$1*_xlfn.NORM.S.DIST((LN(AC$1/$A2)+(MonteCarlo!$B$9+(MonteCarlo!$B$7^2)/2)*MonteCarlo!$B$8)/(MonteCarlo!$B$7*SQRT(MonteCarlo!$B$8)),TRUE)-$A2*EXP(-MonteCarlo!$B$9*MonteCarlo!$B$8)*_xlfn.NORM.S.DIST(((LN(AC$1/$A2)+(MonteCarlo!$B$9+(MonteCarlo!$B$7^2)/2)*MonteCarlo!$B$8)/(MonteCarlo!$B$7*SQRT(MonteCarlo!$B$8)))-(MonteCarlo!$B$7*SQRT(MonteCarlo!$B$8)),TRUE),$A2*EXP(-MonteCarlo!$B$9*MonteCarlo!$B$8)*_xlfn.NORM.S.DIST(-(((LN(AC$1/$A2)+(MonteCarlo!$B$9+(MonteCarlo!$B$7^2)/2)*MonteCarlo!$B$8)/(MonteCarlo!$B$7*SQRT(MonteCarlo!$B$8)))-(MonteCarlo!$B$7*SQRT(MonteCarlo!$B$8))),TRUE)-AC$1*_xlfn.NORM.S.DIST(-((LN(AC$1/$A2)+(MonteCarlo!$B$9+(MonteCarlo!$B$7^2)/2)*MonteCarlo!$B$8)/(MonteCarlo!$B$7*SQRT(MonteCarlo!$B$8))),TRUE)),"")</f>
        <v/>
      </c>
      <c r="AD2" t="str">
        <f ca="1">IFERROR(IF(OR(MonteCarlo!$B$4="C",MonteCarlo!$B$4="c"),AD$1*_xlfn.NORM.S.DIST((LN(AD$1/$A2)+(MonteCarlo!$B$9+(MonteCarlo!$B$7^2)/2)*MonteCarlo!$B$8)/(MonteCarlo!$B$7*SQRT(MonteCarlo!$B$8)),TRUE)-$A2*EXP(-MonteCarlo!$B$9*MonteCarlo!$B$8)*_xlfn.NORM.S.DIST(((LN(AD$1/$A2)+(MonteCarlo!$B$9+(MonteCarlo!$B$7^2)/2)*MonteCarlo!$B$8)/(MonteCarlo!$B$7*SQRT(MonteCarlo!$B$8)))-(MonteCarlo!$B$7*SQRT(MonteCarlo!$B$8)),TRUE),$A2*EXP(-MonteCarlo!$B$9*MonteCarlo!$B$8)*_xlfn.NORM.S.DIST(-(((LN(AD$1/$A2)+(MonteCarlo!$B$9+(MonteCarlo!$B$7^2)/2)*MonteCarlo!$B$8)/(MonteCarlo!$B$7*SQRT(MonteCarlo!$B$8)))-(MonteCarlo!$B$7*SQRT(MonteCarlo!$B$8))),TRUE)-AD$1*_xlfn.NORM.S.DIST(-((LN(AD$1/$A2)+(MonteCarlo!$B$9+(MonteCarlo!$B$7^2)/2)*MonteCarlo!$B$8)/(MonteCarlo!$B$7*SQRT(MonteCarlo!$B$8))),TRUE)),"")</f>
        <v/>
      </c>
      <c r="AE2" t="str">
        <f ca="1">IFERROR(IF(OR(MonteCarlo!$B$4="C",MonteCarlo!$B$4="c"),AE$1*_xlfn.NORM.S.DIST((LN(AE$1/$A2)+(MonteCarlo!$B$9+(MonteCarlo!$B$7^2)/2)*MonteCarlo!$B$8)/(MonteCarlo!$B$7*SQRT(MonteCarlo!$B$8)),TRUE)-$A2*EXP(-MonteCarlo!$B$9*MonteCarlo!$B$8)*_xlfn.NORM.S.DIST(((LN(AE$1/$A2)+(MonteCarlo!$B$9+(MonteCarlo!$B$7^2)/2)*MonteCarlo!$B$8)/(MonteCarlo!$B$7*SQRT(MonteCarlo!$B$8)))-(MonteCarlo!$B$7*SQRT(MonteCarlo!$B$8)),TRUE),$A2*EXP(-MonteCarlo!$B$9*MonteCarlo!$B$8)*_xlfn.NORM.S.DIST(-(((LN(AE$1/$A2)+(MonteCarlo!$B$9+(MonteCarlo!$B$7^2)/2)*MonteCarlo!$B$8)/(MonteCarlo!$B$7*SQRT(MonteCarlo!$B$8)))-(MonteCarlo!$B$7*SQRT(MonteCarlo!$B$8))),TRUE)-AE$1*_xlfn.NORM.S.DIST(-((LN(AE$1/$A2)+(MonteCarlo!$B$9+(MonteCarlo!$B$7^2)/2)*MonteCarlo!$B$8)/(MonteCarlo!$B$7*SQRT(MonteCarlo!$B$8))),TRUE)),"")</f>
        <v/>
      </c>
      <c r="AF2" t="str">
        <f ca="1">IFERROR(IF(OR(MonteCarlo!$B$4="C",MonteCarlo!$B$4="c"),AF$1*_xlfn.NORM.S.DIST((LN(AF$1/$A2)+(MonteCarlo!$B$9+(MonteCarlo!$B$7^2)/2)*MonteCarlo!$B$8)/(MonteCarlo!$B$7*SQRT(MonteCarlo!$B$8)),TRUE)-$A2*EXP(-MonteCarlo!$B$9*MonteCarlo!$B$8)*_xlfn.NORM.S.DIST(((LN(AF$1/$A2)+(MonteCarlo!$B$9+(MonteCarlo!$B$7^2)/2)*MonteCarlo!$B$8)/(MonteCarlo!$B$7*SQRT(MonteCarlo!$B$8)))-(MonteCarlo!$B$7*SQRT(MonteCarlo!$B$8)),TRUE),$A2*EXP(-MonteCarlo!$B$9*MonteCarlo!$B$8)*_xlfn.NORM.S.DIST(-(((LN(AF$1/$A2)+(MonteCarlo!$B$9+(MonteCarlo!$B$7^2)/2)*MonteCarlo!$B$8)/(MonteCarlo!$B$7*SQRT(MonteCarlo!$B$8)))-(MonteCarlo!$B$7*SQRT(MonteCarlo!$B$8))),TRUE)-AF$1*_xlfn.NORM.S.DIST(-((LN(AF$1/$A2)+(MonteCarlo!$B$9+(MonteCarlo!$B$7^2)/2)*MonteCarlo!$B$8)/(MonteCarlo!$B$7*SQRT(MonteCarlo!$B$8))),TRUE)),"")</f>
        <v/>
      </c>
    </row>
    <row r="3" spans="2:32" x14ac:dyDescent="0.25">
      <c r="B3" t="str">
        <f ca="1">IFERROR(IF(OR(MonteCarlo!$B$4="C",MonteCarlo!$B$4="c"),B$1*_xlfn.NORM.S.DIST((LN(B$1/$A3)+(MonteCarlo!$B$9+(MonteCarlo!$B$7^2)/2)*MonteCarlo!$B$8)/(MonteCarlo!$B$7*SQRT(MonteCarlo!$B$8)),TRUE)-$A3*EXP(-MonteCarlo!$B$9*MonteCarlo!$B$8)*_xlfn.NORM.S.DIST(((LN(B$1/$A3)+(MonteCarlo!$B$9+(MonteCarlo!$B$7^2)/2)*MonteCarlo!$B$8)/(MonteCarlo!$B$7*SQRT(MonteCarlo!$B$8)))-(MonteCarlo!$B$7*SQRT(MonteCarlo!$B$8)),TRUE),$A3*EXP(-MonteCarlo!$B$9*MonteCarlo!$B$8)*_xlfn.NORM.S.DIST(-(((LN(B$1/$A3)+(MonteCarlo!$B$9+(MonteCarlo!$B$7^2)/2)*MonteCarlo!$B$8)/(MonteCarlo!$B$7*SQRT(MonteCarlo!$B$8)))-(MonteCarlo!$B$7*SQRT(MonteCarlo!$B$8))),TRUE)-B$1*_xlfn.NORM.S.DIST(-((LN(B$1/$A3)+(MonteCarlo!$B$9+(MonteCarlo!$B$7^2)/2)*MonteCarlo!$B$8)/(MonteCarlo!$B$7*SQRT(MonteCarlo!$B$8))),TRUE)),"")</f>
        <v/>
      </c>
      <c r="C3" t="str">
        <f ca="1">IFERROR(IF(OR(MonteCarlo!$B$4="C",MonteCarlo!$B$4="c"),C$1*_xlfn.NORM.S.DIST((LN(C$1/$A3)+(MonteCarlo!$B$9+(MonteCarlo!$B$7^2)/2)*MonteCarlo!$B$8)/(MonteCarlo!$B$7*SQRT(MonteCarlo!$B$8)),TRUE)-$A3*EXP(-MonteCarlo!$B$9*MonteCarlo!$B$8)*_xlfn.NORM.S.DIST(((LN(C$1/$A3)+(MonteCarlo!$B$9+(MonteCarlo!$B$7^2)/2)*MonteCarlo!$B$8)/(MonteCarlo!$B$7*SQRT(MonteCarlo!$B$8)))-(MonteCarlo!$B$7*SQRT(MonteCarlo!$B$8)),TRUE),$A3*EXP(-MonteCarlo!$B$9*MonteCarlo!$B$8)*_xlfn.NORM.S.DIST(-(((LN(C$1/$A3)+(MonteCarlo!$B$9+(MonteCarlo!$B$7^2)/2)*MonteCarlo!$B$8)/(MonteCarlo!$B$7*SQRT(MonteCarlo!$B$8)))-(MonteCarlo!$B$7*SQRT(MonteCarlo!$B$8))),TRUE)-C$1*_xlfn.NORM.S.DIST(-((LN(C$1/$A3)+(MonteCarlo!$B$9+(MonteCarlo!$B$7^2)/2)*MonteCarlo!$B$8)/(MonteCarlo!$B$7*SQRT(MonteCarlo!$B$8))),TRUE)),"")</f>
        <v/>
      </c>
      <c r="D3" t="str">
        <f ca="1">IFERROR(IF(OR(MonteCarlo!$B$4="C",MonteCarlo!$B$4="c"),D$1*_xlfn.NORM.S.DIST((LN(D$1/$A3)+(MonteCarlo!$B$9+(MonteCarlo!$B$7^2)/2)*MonteCarlo!$B$8)/(MonteCarlo!$B$7*SQRT(MonteCarlo!$B$8)),TRUE)-$A3*EXP(-MonteCarlo!$B$9*MonteCarlo!$B$8)*_xlfn.NORM.S.DIST(((LN(D$1/$A3)+(MonteCarlo!$B$9+(MonteCarlo!$B$7^2)/2)*MonteCarlo!$B$8)/(MonteCarlo!$B$7*SQRT(MonteCarlo!$B$8)))-(MonteCarlo!$B$7*SQRT(MonteCarlo!$B$8)),TRUE),$A3*EXP(-MonteCarlo!$B$9*MonteCarlo!$B$8)*_xlfn.NORM.S.DIST(-(((LN(D$1/$A3)+(MonteCarlo!$B$9+(MonteCarlo!$B$7^2)/2)*MonteCarlo!$B$8)/(MonteCarlo!$B$7*SQRT(MonteCarlo!$B$8)))-(MonteCarlo!$B$7*SQRT(MonteCarlo!$B$8))),TRUE)-D$1*_xlfn.NORM.S.DIST(-((LN(D$1/$A3)+(MonteCarlo!$B$9+(MonteCarlo!$B$7^2)/2)*MonteCarlo!$B$8)/(MonteCarlo!$B$7*SQRT(MonteCarlo!$B$8))),TRUE)),"")</f>
        <v/>
      </c>
      <c r="E3" t="str">
        <f ca="1">IFERROR(IF(OR(MonteCarlo!$B$4="C",MonteCarlo!$B$4="c"),E$1*_xlfn.NORM.S.DIST((LN(E$1/$A3)+(MonteCarlo!$B$9+(MonteCarlo!$B$7^2)/2)*MonteCarlo!$B$8)/(MonteCarlo!$B$7*SQRT(MonteCarlo!$B$8)),TRUE)-$A3*EXP(-MonteCarlo!$B$9*MonteCarlo!$B$8)*_xlfn.NORM.S.DIST(((LN(E$1/$A3)+(MonteCarlo!$B$9+(MonteCarlo!$B$7^2)/2)*MonteCarlo!$B$8)/(MonteCarlo!$B$7*SQRT(MonteCarlo!$B$8)))-(MonteCarlo!$B$7*SQRT(MonteCarlo!$B$8)),TRUE),$A3*EXP(-MonteCarlo!$B$9*MonteCarlo!$B$8)*_xlfn.NORM.S.DIST(-(((LN(E$1/$A3)+(MonteCarlo!$B$9+(MonteCarlo!$B$7^2)/2)*MonteCarlo!$B$8)/(MonteCarlo!$B$7*SQRT(MonteCarlo!$B$8)))-(MonteCarlo!$B$7*SQRT(MonteCarlo!$B$8))),TRUE)-E$1*_xlfn.NORM.S.DIST(-((LN(E$1/$A3)+(MonteCarlo!$B$9+(MonteCarlo!$B$7^2)/2)*MonteCarlo!$B$8)/(MonteCarlo!$B$7*SQRT(MonteCarlo!$B$8))),TRUE)),"")</f>
        <v/>
      </c>
      <c r="F3" t="str">
        <f ca="1">IFERROR(IF(OR(MonteCarlo!$B$4="C",MonteCarlo!$B$4="c"),F$1*_xlfn.NORM.S.DIST((LN(F$1/$A3)+(MonteCarlo!$B$9+(MonteCarlo!$B$7^2)/2)*MonteCarlo!$B$8)/(MonteCarlo!$B$7*SQRT(MonteCarlo!$B$8)),TRUE)-$A3*EXP(-MonteCarlo!$B$9*MonteCarlo!$B$8)*_xlfn.NORM.S.DIST(((LN(F$1/$A3)+(MonteCarlo!$B$9+(MonteCarlo!$B$7^2)/2)*MonteCarlo!$B$8)/(MonteCarlo!$B$7*SQRT(MonteCarlo!$B$8)))-(MonteCarlo!$B$7*SQRT(MonteCarlo!$B$8)),TRUE),$A3*EXP(-MonteCarlo!$B$9*MonteCarlo!$B$8)*_xlfn.NORM.S.DIST(-(((LN(F$1/$A3)+(MonteCarlo!$B$9+(MonteCarlo!$B$7^2)/2)*MonteCarlo!$B$8)/(MonteCarlo!$B$7*SQRT(MonteCarlo!$B$8)))-(MonteCarlo!$B$7*SQRT(MonteCarlo!$B$8))),TRUE)-F$1*_xlfn.NORM.S.DIST(-((LN(F$1/$A3)+(MonteCarlo!$B$9+(MonteCarlo!$B$7^2)/2)*MonteCarlo!$B$8)/(MonteCarlo!$B$7*SQRT(MonteCarlo!$B$8))),TRUE)),"")</f>
        <v/>
      </c>
      <c r="G3" t="str">
        <f ca="1">IFERROR(IF(OR(MonteCarlo!$B$4="C",MonteCarlo!$B$4="c"),G$1*_xlfn.NORM.S.DIST((LN(G$1/$A3)+(MonteCarlo!$B$9+(MonteCarlo!$B$7^2)/2)*MonteCarlo!$B$8)/(MonteCarlo!$B$7*SQRT(MonteCarlo!$B$8)),TRUE)-$A3*EXP(-MonteCarlo!$B$9*MonteCarlo!$B$8)*_xlfn.NORM.S.DIST(((LN(G$1/$A3)+(MonteCarlo!$B$9+(MonteCarlo!$B$7^2)/2)*MonteCarlo!$B$8)/(MonteCarlo!$B$7*SQRT(MonteCarlo!$B$8)))-(MonteCarlo!$B$7*SQRT(MonteCarlo!$B$8)),TRUE),$A3*EXP(-MonteCarlo!$B$9*MonteCarlo!$B$8)*_xlfn.NORM.S.DIST(-(((LN(G$1/$A3)+(MonteCarlo!$B$9+(MonteCarlo!$B$7^2)/2)*MonteCarlo!$B$8)/(MonteCarlo!$B$7*SQRT(MonteCarlo!$B$8)))-(MonteCarlo!$B$7*SQRT(MonteCarlo!$B$8))),TRUE)-G$1*_xlfn.NORM.S.DIST(-((LN(G$1/$A3)+(MonteCarlo!$B$9+(MonteCarlo!$B$7^2)/2)*MonteCarlo!$B$8)/(MonteCarlo!$B$7*SQRT(MonteCarlo!$B$8))),TRUE)),"")</f>
        <v/>
      </c>
      <c r="H3" t="str">
        <f ca="1">IFERROR(IF(OR(MonteCarlo!$B$4="C",MonteCarlo!$B$4="c"),H$1*_xlfn.NORM.S.DIST((LN(H$1/$A3)+(MonteCarlo!$B$9+(MonteCarlo!$B$7^2)/2)*MonteCarlo!$B$8)/(MonteCarlo!$B$7*SQRT(MonteCarlo!$B$8)),TRUE)-$A3*EXP(-MonteCarlo!$B$9*MonteCarlo!$B$8)*_xlfn.NORM.S.DIST(((LN(H$1/$A3)+(MonteCarlo!$B$9+(MonteCarlo!$B$7^2)/2)*MonteCarlo!$B$8)/(MonteCarlo!$B$7*SQRT(MonteCarlo!$B$8)))-(MonteCarlo!$B$7*SQRT(MonteCarlo!$B$8)),TRUE),$A3*EXP(-MonteCarlo!$B$9*MonteCarlo!$B$8)*_xlfn.NORM.S.DIST(-(((LN(H$1/$A3)+(MonteCarlo!$B$9+(MonteCarlo!$B$7^2)/2)*MonteCarlo!$B$8)/(MonteCarlo!$B$7*SQRT(MonteCarlo!$B$8)))-(MonteCarlo!$B$7*SQRT(MonteCarlo!$B$8))),TRUE)-H$1*_xlfn.NORM.S.DIST(-((LN(H$1/$A3)+(MonteCarlo!$B$9+(MonteCarlo!$B$7^2)/2)*MonteCarlo!$B$8)/(MonteCarlo!$B$7*SQRT(MonteCarlo!$B$8))),TRUE)),"")</f>
        <v/>
      </c>
      <c r="I3" t="str">
        <f ca="1">IFERROR(IF(OR(MonteCarlo!$B$4="C",MonteCarlo!$B$4="c"),I$1*_xlfn.NORM.S.DIST((LN(I$1/$A3)+(MonteCarlo!$B$9+(MonteCarlo!$B$7^2)/2)*MonteCarlo!$B$8)/(MonteCarlo!$B$7*SQRT(MonteCarlo!$B$8)),TRUE)-$A3*EXP(-MonteCarlo!$B$9*MonteCarlo!$B$8)*_xlfn.NORM.S.DIST(((LN(I$1/$A3)+(MonteCarlo!$B$9+(MonteCarlo!$B$7^2)/2)*MonteCarlo!$B$8)/(MonteCarlo!$B$7*SQRT(MonteCarlo!$B$8)))-(MonteCarlo!$B$7*SQRT(MonteCarlo!$B$8)),TRUE),$A3*EXP(-MonteCarlo!$B$9*MonteCarlo!$B$8)*_xlfn.NORM.S.DIST(-(((LN(I$1/$A3)+(MonteCarlo!$B$9+(MonteCarlo!$B$7^2)/2)*MonteCarlo!$B$8)/(MonteCarlo!$B$7*SQRT(MonteCarlo!$B$8)))-(MonteCarlo!$B$7*SQRT(MonteCarlo!$B$8))),TRUE)-I$1*_xlfn.NORM.S.DIST(-((LN(I$1/$A3)+(MonteCarlo!$B$9+(MonteCarlo!$B$7^2)/2)*MonteCarlo!$B$8)/(MonteCarlo!$B$7*SQRT(MonteCarlo!$B$8))),TRUE)),"")</f>
        <v/>
      </c>
      <c r="J3" t="str">
        <f ca="1">IFERROR(IF(OR(MonteCarlo!$B$4="C",MonteCarlo!$B$4="c"),J$1*_xlfn.NORM.S.DIST((LN(J$1/$A3)+(MonteCarlo!$B$9+(MonteCarlo!$B$7^2)/2)*MonteCarlo!$B$8)/(MonteCarlo!$B$7*SQRT(MonteCarlo!$B$8)),TRUE)-$A3*EXP(-MonteCarlo!$B$9*MonteCarlo!$B$8)*_xlfn.NORM.S.DIST(((LN(J$1/$A3)+(MonteCarlo!$B$9+(MonteCarlo!$B$7^2)/2)*MonteCarlo!$B$8)/(MonteCarlo!$B$7*SQRT(MonteCarlo!$B$8)))-(MonteCarlo!$B$7*SQRT(MonteCarlo!$B$8)),TRUE),$A3*EXP(-MonteCarlo!$B$9*MonteCarlo!$B$8)*_xlfn.NORM.S.DIST(-(((LN(J$1/$A3)+(MonteCarlo!$B$9+(MonteCarlo!$B$7^2)/2)*MonteCarlo!$B$8)/(MonteCarlo!$B$7*SQRT(MonteCarlo!$B$8)))-(MonteCarlo!$B$7*SQRT(MonteCarlo!$B$8))),TRUE)-J$1*_xlfn.NORM.S.DIST(-((LN(J$1/$A3)+(MonteCarlo!$B$9+(MonteCarlo!$B$7^2)/2)*MonteCarlo!$B$8)/(MonteCarlo!$B$7*SQRT(MonteCarlo!$B$8))),TRUE)),"")</f>
        <v/>
      </c>
      <c r="K3" t="str">
        <f ca="1">IFERROR(IF(OR(MonteCarlo!$B$4="C",MonteCarlo!$B$4="c"),K$1*_xlfn.NORM.S.DIST((LN(K$1/$A3)+(MonteCarlo!$B$9+(MonteCarlo!$B$7^2)/2)*MonteCarlo!$B$8)/(MonteCarlo!$B$7*SQRT(MonteCarlo!$B$8)),TRUE)-$A3*EXP(-MonteCarlo!$B$9*MonteCarlo!$B$8)*_xlfn.NORM.S.DIST(((LN(K$1/$A3)+(MonteCarlo!$B$9+(MonteCarlo!$B$7^2)/2)*MonteCarlo!$B$8)/(MonteCarlo!$B$7*SQRT(MonteCarlo!$B$8)))-(MonteCarlo!$B$7*SQRT(MonteCarlo!$B$8)),TRUE),$A3*EXP(-MonteCarlo!$B$9*MonteCarlo!$B$8)*_xlfn.NORM.S.DIST(-(((LN(K$1/$A3)+(MonteCarlo!$B$9+(MonteCarlo!$B$7^2)/2)*MonteCarlo!$B$8)/(MonteCarlo!$B$7*SQRT(MonteCarlo!$B$8)))-(MonteCarlo!$B$7*SQRT(MonteCarlo!$B$8))),TRUE)-K$1*_xlfn.NORM.S.DIST(-((LN(K$1/$A3)+(MonteCarlo!$B$9+(MonteCarlo!$B$7^2)/2)*MonteCarlo!$B$8)/(MonteCarlo!$B$7*SQRT(MonteCarlo!$B$8))),TRUE)),"")</f>
        <v/>
      </c>
      <c r="L3" t="str">
        <f ca="1">IFERROR(IF(OR(MonteCarlo!$B$4="C",MonteCarlo!$B$4="c"),L$1*_xlfn.NORM.S.DIST((LN(L$1/$A3)+(MonteCarlo!$B$9+(MonteCarlo!$B$7^2)/2)*MonteCarlo!$B$8)/(MonteCarlo!$B$7*SQRT(MonteCarlo!$B$8)),TRUE)-$A3*EXP(-MonteCarlo!$B$9*MonteCarlo!$B$8)*_xlfn.NORM.S.DIST(((LN(L$1/$A3)+(MonteCarlo!$B$9+(MonteCarlo!$B$7^2)/2)*MonteCarlo!$B$8)/(MonteCarlo!$B$7*SQRT(MonteCarlo!$B$8)))-(MonteCarlo!$B$7*SQRT(MonteCarlo!$B$8)),TRUE),$A3*EXP(-MonteCarlo!$B$9*MonteCarlo!$B$8)*_xlfn.NORM.S.DIST(-(((LN(L$1/$A3)+(MonteCarlo!$B$9+(MonteCarlo!$B$7^2)/2)*MonteCarlo!$B$8)/(MonteCarlo!$B$7*SQRT(MonteCarlo!$B$8)))-(MonteCarlo!$B$7*SQRT(MonteCarlo!$B$8))),TRUE)-L$1*_xlfn.NORM.S.DIST(-((LN(L$1/$A3)+(MonteCarlo!$B$9+(MonteCarlo!$B$7^2)/2)*MonteCarlo!$B$8)/(MonteCarlo!$B$7*SQRT(MonteCarlo!$B$8))),TRUE)),"")</f>
        <v/>
      </c>
      <c r="M3" t="str">
        <f ca="1">IFERROR(IF(OR(MonteCarlo!$B$4="C",MonteCarlo!$B$4="c"),M$1*_xlfn.NORM.S.DIST((LN(M$1/$A3)+(MonteCarlo!$B$9+(MonteCarlo!$B$7^2)/2)*MonteCarlo!$B$8)/(MonteCarlo!$B$7*SQRT(MonteCarlo!$B$8)),TRUE)-$A3*EXP(-MonteCarlo!$B$9*MonteCarlo!$B$8)*_xlfn.NORM.S.DIST(((LN(M$1/$A3)+(MonteCarlo!$B$9+(MonteCarlo!$B$7^2)/2)*MonteCarlo!$B$8)/(MonteCarlo!$B$7*SQRT(MonteCarlo!$B$8)))-(MonteCarlo!$B$7*SQRT(MonteCarlo!$B$8)),TRUE),$A3*EXP(-MonteCarlo!$B$9*MonteCarlo!$B$8)*_xlfn.NORM.S.DIST(-(((LN(M$1/$A3)+(MonteCarlo!$B$9+(MonteCarlo!$B$7^2)/2)*MonteCarlo!$B$8)/(MonteCarlo!$B$7*SQRT(MonteCarlo!$B$8)))-(MonteCarlo!$B$7*SQRT(MonteCarlo!$B$8))),TRUE)-M$1*_xlfn.NORM.S.DIST(-((LN(M$1/$A3)+(MonteCarlo!$B$9+(MonteCarlo!$B$7^2)/2)*MonteCarlo!$B$8)/(MonteCarlo!$B$7*SQRT(MonteCarlo!$B$8))),TRUE)),"")</f>
        <v/>
      </c>
      <c r="N3" t="str">
        <f ca="1">IFERROR(IF(OR(MonteCarlo!$B$4="C",MonteCarlo!$B$4="c"),N$1*_xlfn.NORM.S.DIST((LN(N$1/$A3)+(MonteCarlo!$B$9+(MonteCarlo!$B$7^2)/2)*MonteCarlo!$B$8)/(MonteCarlo!$B$7*SQRT(MonteCarlo!$B$8)),TRUE)-$A3*EXP(-MonteCarlo!$B$9*MonteCarlo!$B$8)*_xlfn.NORM.S.DIST(((LN(N$1/$A3)+(MonteCarlo!$B$9+(MonteCarlo!$B$7^2)/2)*MonteCarlo!$B$8)/(MonteCarlo!$B$7*SQRT(MonteCarlo!$B$8)))-(MonteCarlo!$B$7*SQRT(MonteCarlo!$B$8)),TRUE),$A3*EXP(-MonteCarlo!$B$9*MonteCarlo!$B$8)*_xlfn.NORM.S.DIST(-(((LN(N$1/$A3)+(MonteCarlo!$B$9+(MonteCarlo!$B$7^2)/2)*MonteCarlo!$B$8)/(MonteCarlo!$B$7*SQRT(MonteCarlo!$B$8)))-(MonteCarlo!$B$7*SQRT(MonteCarlo!$B$8))),TRUE)-N$1*_xlfn.NORM.S.DIST(-((LN(N$1/$A3)+(MonteCarlo!$B$9+(MonteCarlo!$B$7^2)/2)*MonteCarlo!$B$8)/(MonteCarlo!$B$7*SQRT(MonteCarlo!$B$8))),TRUE)),"")</f>
        <v/>
      </c>
      <c r="O3" t="str">
        <f ca="1">IFERROR(IF(OR(MonteCarlo!$B$4="C",MonteCarlo!$B$4="c"),O$1*_xlfn.NORM.S.DIST((LN(O$1/$A3)+(MonteCarlo!$B$9+(MonteCarlo!$B$7^2)/2)*MonteCarlo!$B$8)/(MonteCarlo!$B$7*SQRT(MonteCarlo!$B$8)),TRUE)-$A3*EXP(-MonteCarlo!$B$9*MonteCarlo!$B$8)*_xlfn.NORM.S.DIST(((LN(O$1/$A3)+(MonteCarlo!$B$9+(MonteCarlo!$B$7^2)/2)*MonteCarlo!$B$8)/(MonteCarlo!$B$7*SQRT(MonteCarlo!$B$8)))-(MonteCarlo!$B$7*SQRT(MonteCarlo!$B$8)),TRUE),$A3*EXP(-MonteCarlo!$B$9*MonteCarlo!$B$8)*_xlfn.NORM.S.DIST(-(((LN(O$1/$A3)+(MonteCarlo!$B$9+(MonteCarlo!$B$7^2)/2)*MonteCarlo!$B$8)/(MonteCarlo!$B$7*SQRT(MonteCarlo!$B$8)))-(MonteCarlo!$B$7*SQRT(MonteCarlo!$B$8))),TRUE)-O$1*_xlfn.NORM.S.DIST(-((LN(O$1/$A3)+(MonteCarlo!$B$9+(MonteCarlo!$B$7^2)/2)*MonteCarlo!$B$8)/(MonteCarlo!$B$7*SQRT(MonteCarlo!$B$8))),TRUE)),"")</f>
        <v/>
      </c>
      <c r="P3" t="str">
        <f ca="1">IFERROR(IF(OR(MonteCarlo!$B$4="C",MonteCarlo!$B$4="c"),P$1*_xlfn.NORM.S.DIST((LN(P$1/$A3)+(MonteCarlo!$B$9+(MonteCarlo!$B$7^2)/2)*MonteCarlo!$B$8)/(MonteCarlo!$B$7*SQRT(MonteCarlo!$B$8)),TRUE)-$A3*EXP(-MonteCarlo!$B$9*MonteCarlo!$B$8)*_xlfn.NORM.S.DIST(((LN(P$1/$A3)+(MonteCarlo!$B$9+(MonteCarlo!$B$7^2)/2)*MonteCarlo!$B$8)/(MonteCarlo!$B$7*SQRT(MonteCarlo!$B$8)))-(MonteCarlo!$B$7*SQRT(MonteCarlo!$B$8)),TRUE),$A3*EXP(-MonteCarlo!$B$9*MonteCarlo!$B$8)*_xlfn.NORM.S.DIST(-(((LN(P$1/$A3)+(MonteCarlo!$B$9+(MonteCarlo!$B$7^2)/2)*MonteCarlo!$B$8)/(MonteCarlo!$B$7*SQRT(MonteCarlo!$B$8)))-(MonteCarlo!$B$7*SQRT(MonteCarlo!$B$8))),TRUE)-P$1*_xlfn.NORM.S.DIST(-((LN(P$1/$A3)+(MonteCarlo!$B$9+(MonteCarlo!$B$7^2)/2)*MonteCarlo!$B$8)/(MonteCarlo!$B$7*SQRT(MonteCarlo!$B$8))),TRUE)),"")</f>
        <v/>
      </c>
      <c r="Q3" t="str">
        <f ca="1">IFERROR(IF(OR(MonteCarlo!$B$4="C",MonteCarlo!$B$4="c"),Q$1*_xlfn.NORM.S.DIST((LN(Q$1/$A3)+(MonteCarlo!$B$9+(MonteCarlo!$B$7^2)/2)*MonteCarlo!$B$8)/(MonteCarlo!$B$7*SQRT(MonteCarlo!$B$8)),TRUE)-$A3*EXP(-MonteCarlo!$B$9*MonteCarlo!$B$8)*_xlfn.NORM.S.DIST(((LN(Q$1/$A3)+(MonteCarlo!$B$9+(MonteCarlo!$B$7^2)/2)*MonteCarlo!$B$8)/(MonteCarlo!$B$7*SQRT(MonteCarlo!$B$8)))-(MonteCarlo!$B$7*SQRT(MonteCarlo!$B$8)),TRUE),$A3*EXP(-MonteCarlo!$B$9*MonteCarlo!$B$8)*_xlfn.NORM.S.DIST(-(((LN(Q$1/$A3)+(MonteCarlo!$B$9+(MonteCarlo!$B$7^2)/2)*MonteCarlo!$B$8)/(MonteCarlo!$B$7*SQRT(MonteCarlo!$B$8)))-(MonteCarlo!$B$7*SQRT(MonteCarlo!$B$8))),TRUE)-Q$1*_xlfn.NORM.S.DIST(-((LN(Q$1/$A3)+(MonteCarlo!$B$9+(MonteCarlo!$B$7^2)/2)*MonteCarlo!$B$8)/(MonteCarlo!$B$7*SQRT(MonteCarlo!$B$8))),TRUE)),"")</f>
        <v/>
      </c>
      <c r="R3" t="str">
        <f ca="1">IFERROR(IF(OR(MonteCarlo!$B$4="C",MonteCarlo!$B$4="c"),R$1*_xlfn.NORM.S.DIST((LN(R$1/$A3)+(MonteCarlo!$B$9+(MonteCarlo!$B$7^2)/2)*MonteCarlo!$B$8)/(MonteCarlo!$B$7*SQRT(MonteCarlo!$B$8)),TRUE)-$A3*EXP(-MonteCarlo!$B$9*MonteCarlo!$B$8)*_xlfn.NORM.S.DIST(((LN(R$1/$A3)+(MonteCarlo!$B$9+(MonteCarlo!$B$7^2)/2)*MonteCarlo!$B$8)/(MonteCarlo!$B$7*SQRT(MonteCarlo!$B$8)))-(MonteCarlo!$B$7*SQRT(MonteCarlo!$B$8)),TRUE),$A3*EXP(-MonteCarlo!$B$9*MonteCarlo!$B$8)*_xlfn.NORM.S.DIST(-(((LN(R$1/$A3)+(MonteCarlo!$B$9+(MonteCarlo!$B$7^2)/2)*MonteCarlo!$B$8)/(MonteCarlo!$B$7*SQRT(MonteCarlo!$B$8)))-(MonteCarlo!$B$7*SQRT(MonteCarlo!$B$8))),TRUE)-R$1*_xlfn.NORM.S.DIST(-((LN(R$1/$A3)+(MonteCarlo!$B$9+(MonteCarlo!$B$7^2)/2)*MonteCarlo!$B$8)/(MonteCarlo!$B$7*SQRT(MonteCarlo!$B$8))),TRUE)),"")</f>
        <v/>
      </c>
      <c r="S3" t="str">
        <f ca="1">IFERROR(IF(OR(MonteCarlo!$B$4="C",MonteCarlo!$B$4="c"),S$1*_xlfn.NORM.S.DIST((LN(S$1/$A3)+(MonteCarlo!$B$9+(MonteCarlo!$B$7^2)/2)*MonteCarlo!$B$8)/(MonteCarlo!$B$7*SQRT(MonteCarlo!$B$8)),TRUE)-$A3*EXP(-MonteCarlo!$B$9*MonteCarlo!$B$8)*_xlfn.NORM.S.DIST(((LN(S$1/$A3)+(MonteCarlo!$B$9+(MonteCarlo!$B$7^2)/2)*MonteCarlo!$B$8)/(MonteCarlo!$B$7*SQRT(MonteCarlo!$B$8)))-(MonteCarlo!$B$7*SQRT(MonteCarlo!$B$8)),TRUE),$A3*EXP(-MonteCarlo!$B$9*MonteCarlo!$B$8)*_xlfn.NORM.S.DIST(-(((LN(S$1/$A3)+(MonteCarlo!$B$9+(MonteCarlo!$B$7^2)/2)*MonteCarlo!$B$8)/(MonteCarlo!$B$7*SQRT(MonteCarlo!$B$8)))-(MonteCarlo!$B$7*SQRT(MonteCarlo!$B$8))),TRUE)-S$1*_xlfn.NORM.S.DIST(-((LN(S$1/$A3)+(MonteCarlo!$B$9+(MonteCarlo!$B$7^2)/2)*MonteCarlo!$B$8)/(MonteCarlo!$B$7*SQRT(MonteCarlo!$B$8))),TRUE)),"")</f>
        <v/>
      </c>
      <c r="T3" t="str">
        <f ca="1">IFERROR(IF(OR(MonteCarlo!$B$4="C",MonteCarlo!$B$4="c"),T$1*_xlfn.NORM.S.DIST((LN(T$1/$A3)+(MonteCarlo!$B$9+(MonteCarlo!$B$7^2)/2)*MonteCarlo!$B$8)/(MonteCarlo!$B$7*SQRT(MonteCarlo!$B$8)),TRUE)-$A3*EXP(-MonteCarlo!$B$9*MonteCarlo!$B$8)*_xlfn.NORM.S.DIST(((LN(T$1/$A3)+(MonteCarlo!$B$9+(MonteCarlo!$B$7^2)/2)*MonteCarlo!$B$8)/(MonteCarlo!$B$7*SQRT(MonteCarlo!$B$8)))-(MonteCarlo!$B$7*SQRT(MonteCarlo!$B$8)),TRUE),$A3*EXP(-MonteCarlo!$B$9*MonteCarlo!$B$8)*_xlfn.NORM.S.DIST(-(((LN(T$1/$A3)+(MonteCarlo!$B$9+(MonteCarlo!$B$7^2)/2)*MonteCarlo!$B$8)/(MonteCarlo!$B$7*SQRT(MonteCarlo!$B$8)))-(MonteCarlo!$B$7*SQRT(MonteCarlo!$B$8))),TRUE)-T$1*_xlfn.NORM.S.DIST(-((LN(T$1/$A3)+(MonteCarlo!$B$9+(MonteCarlo!$B$7^2)/2)*MonteCarlo!$B$8)/(MonteCarlo!$B$7*SQRT(MonteCarlo!$B$8))),TRUE)),"")</f>
        <v/>
      </c>
      <c r="U3" t="str">
        <f ca="1">IFERROR(IF(OR(MonteCarlo!$B$4="C",MonteCarlo!$B$4="c"),U$1*_xlfn.NORM.S.DIST((LN(U$1/$A3)+(MonteCarlo!$B$9+(MonteCarlo!$B$7^2)/2)*MonteCarlo!$B$8)/(MonteCarlo!$B$7*SQRT(MonteCarlo!$B$8)),TRUE)-$A3*EXP(-MonteCarlo!$B$9*MonteCarlo!$B$8)*_xlfn.NORM.S.DIST(((LN(U$1/$A3)+(MonteCarlo!$B$9+(MonteCarlo!$B$7^2)/2)*MonteCarlo!$B$8)/(MonteCarlo!$B$7*SQRT(MonteCarlo!$B$8)))-(MonteCarlo!$B$7*SQRT(MonteCarlo!$B$8)),TRUE),$A3*EXP(-MonteCarlo!$B$9*MonteCarlo!$B$8)*_xlfn.NORM.S.DIST(-(((LN(U$1/$A3)+(MonteCarlo!$B$9+(MonteCarlo!$B$7^2)/2)*MonteCarlo!$B$8)/(MonteCarlo!$B$7*SQRT(MonteCarlo!$B$8)))-(MonteCarlo!$B$7*SQRT(MonteCarlo!$B$8))),TRUE)-U$1*_xlfn.NORM.S.DIST(-((LN(U$1/$A3)+(MonteCarlo!$B$9+(MonteCarlo!$B$7^2)/2)*MonteCarlo!$B$8)/(MonteCarlo!$B$7*SQRT(MonteCarlo!$B$8))),TRUE)),"")</f>
        <v/>
      </c>
      <c r="V3" t="str">
        <f ca="1">IFERROR(IF(OR(MonteCarlo!$B$4="C",MonteCarlo!$B$4="c"),V$1*_xlfn.NORM.S.DIST((LN(V$1/$A3)+(MonteCarlo!$B$9+(MonteCarlo!$B$7^2)/2)*MonteCarlo!$B$8)/(MonteCarlo!$B$7*SQRT(MonteCarlo!$B$8)),TRUE)-$A3*EXP(-MonteCarlo!$B$9*MonteCarlo!$B$8)*_xlfn.NORM.S.DIST(((LN(V$1/$A3)+(MonteCarlo!$B$9+(MonteCarlo!$B$7^2)/2)*MonteCarlo!$B$8)/(MonteCarlo!$B$7*SQRT(MonteCarlo!$B$8)))-(MonteCarlo!$B$7*SQRT(MonteCarlo!$B$8)),TRUE),$A3*EXP(-MonteCarlo!$B$9*MonteCarlo!$B$8)*_xlfn.NORM.S.DIST(-(((LN(V$1/$A3)+(MonteCarlo!$B$9+(MonteCarlo!$B$7^2)/2)*MonteCarlo!$B$8)/(MonteCarlo!$B$7*SQRT(MonteCarlo!$B$8)))-(MonteCarlo!$B$7*SQRT(MonteCarlo!$B$8))),TRUE)-V$1*_xlfn.NORM.S.DIST(-((LN(V$1/$A3)+(MonteCarlo!$B$9+(MonteCarlo!$B$7^2)/2)*MonteCarlo!$B$8)/(MonteCarlo!$B$7*SQRT(MonteCarlo!$B$8))),TRUE)),"")</f>
        <v/>
      </c>
      <c r="W3" t="str">
        <f ca="1">IFERROR(IF(OR(MonteCarlo!$B$4="C",MonteCarlo!$B$4="c"),W$1*_xlfn.NORM.S.DIST((LN(W$1/$A3)+(MonteCarlo!$B$9+(MonteCarlo!$B$7^2)/2)*MonteCarlo!$B$8)/(MonteCarlo!$B$7*SQRT(MonteCarlo!$B$8)),TRUE)-$A3*EXP(-MonteCarlo!$B$9*MonteCarlo!$B$8)*_xlfn.NORM.S.DIST(((LN(W$1/$A3)+(MonteCarlo!$B$9+(MonteCarlo!$B$7^2)/2)*MonteCarlo!$B$8)/(MonteCarlo!$B$7*SQRT(MonteCarlo!$B$8)))-(MonteCarlo!$B$7*SQRT(MonteCarlo!$B$8)),TRUE),$A3*EXP(-MonteCarlo!$B$9*MonteCarlo!$B$8)*_xlfn.NORM.S.DIST(-(((LN(W$1/$A3)+(MonteCarlo!$B$9+(MonteCarlo!$B$7^2)/2)*MonteCarlo!$B$8)/(MonteCarlo!$B$7*SQRT(MonteCarlo!$B$8)))-(MonteCarlo!$B$7*SQRT(MonteCarlo!$B$8))),TRUE)-W$1*_xlfn.NORM.S.DIST(-((LN(W$1/$A3)+(MonteCarlo!$B$9+(MonteCarlo!$B$7^2)/2)*MonteCarlo!$B$8)/(MonteCarlo!$B$7*SQRT(MonteCarlo!$B$8))),TRUE)),"")</f>
        <v/>
      </c>
      <c r="X3" t="str">
        <f ca="1">IFERROR(IF(OR(MonteCarlo!$B$4="C",MonteCarlo!$B$4="c"),X$1*_xlfn.NORM.S.DIST((LN(X$1/$A3)+(MonteCarlo!$B$9+(MonteCarlo!$B$7^2)/2)*MonteCarlo!$B$8)/(MonteCarlo!$B$7*SQRT(MonteCarlo!$B$8)),TRUE)-$A3*EXP(-MonteCarlo!$B$9*MonteCarlo!$B$8)*_xlfn.NORM.S.DIST(((LN(X$1/$A3)+(MonteCarlo!$B$9+(MonteCarlo!$B$7^2)/2)*MonteCarlo!$B$8)/(MonteCarlo!$B$7*SQRT(MonteCarlo!$B$8)))-(MonteCarlo!$B$7*SQRT(MonteCarlo!$B$8)),TRUE),$A3*EXP(-MonteCarlo!$B$9*MonteCarlo!$B$8)*_xlfn.NORM.S.DIST(-(((LN(X$1/$A3)+(MonteCarlo!$B$9+(MonteCarlo!$B$7^2)/2)*MonteCarlo!$B$8)/(MonteCarlo!$B$7*SQRT(MonteCarlo!$B$8)))-(MonteCarlo!$B$7*SQRT(MonteCarlo!$B$8))),TRUE)-X$1*_xlfn.NORM.S.DIST(-((LN(X$1/$A3)+(MonteCarlo!$B$9+(MonteCarlo!$B$7^2)/2)*MonteCarlo!$B$8)/(MonteCarlo!$B$7*SQRT(MonteCarlo!$B$8))),TRUE)),"")</f>
        <v/>
      </c>
      <c r="Y3" t="str">
        <f ca="1">IFERROR(IF(OR(MonteCarlo!$B$4="C",MonteCarlo!$B$4="c"),Y$1*_xlfn.NORM.S.DIST((LN(Y$1/$A3)+(MonteCarlo!$B$9+(MonteCarlo!$B$7^2)/2)*MonteCarlo!$B$8)/(MonteCarlo!$B$7*SQRT(MonteCarlo!$B$8)),TRUE)-$A3*EXP(-MonteCarlo!$B$9*MonteCarlo!$B$8)*_xlfn.NORM.S.DIST(((LN(Y$1/$A3)+(MonteCarlo!$B$9+(MonteCarlo!$B$7^2)/2)*MonteCarlo!$B$8)/(MonteCarlo!$B$7*SQRT(MonteCarlo!$B$8)))-(MonteCarlo!$B$7*SQRT(MonteCarlo!$B$8)),TRUE),$A3*EXP(-MonteCarlo!$B$9*MonteCarlo!$B$8)*_xlfn.NORM.S.DIST(-(((LN(Y$1/$A3)+(MonteCarlo!$B$9+(MonteCarlo!$B$7^2)/2)*MonteCarlo!$B$8)/(MonteCarlo!$B$7*SQRT(MonteCarlo!$B$8)))-(MonteCarlo!$B$7*SQRT(MonteCarlo!$B$8))),TRUE)-Y$1*_xlfn.NORM.S.DIST(-((LN(Y$1/$A3)+(MonteCarlo!$B$9+(MonteCarlo!$B$7^2)/2)*MonteCarlo!$B$8)/(MonteCarlo!$B$7*SQRT(MonteCarlo!$B$8))),TRUE)),"")</f>
        <v/>
      </c>
      <c r="Z3" t="str">
        <f ca="1">IFERROR(IF(OR(MonteCarlo!$B$4="C",MonteCarlo!$B$4="c"),Z$1*_xlfn.NORM.S.DIST((LN(Z$1/$A3)+(MonteCarlo!$B$9+(MonteCarlo!$B$7^2)/2)*MonteCarlo!$B$8)/(MonteCarlo!$B$7*SQRT(MonteCarlo!$B$8)),TRUE)-$A3*EXP(-MonteCarlo!$B$9*MonteCarlo!$B$8)*_xlfn.NORM.S.DIST(((LN(Z$1/$A3)+(MonteCarlo!$B$9+(MonteCarlo!$B$7^2)/2)*MonteCarlo!$B$8)/(MonteCarlo!$B$7*SQRT(MonteCarlo!$B$8)))-(MonteCarlo!$B$7*SQRT(MonteCarlo!$B$8)),TRUE),$A3*EXP(-MonteCarlo!$B$9*MonteCarlo!$B$8)*_xlfn.NORM.S.DIST(-(((LN(Z$1/$A3)+(MonteCarlo!$B$9+(MonteCarlo!$B$7^2)/2)*MonteCarlo!$B$8)/(MonteCarlo!$B$7*SQRT(MonteCarlo!$B$8)))-(MonteCarlo!$B$7*SQRT(MonteCarlo!$B$8))),TRUE)-Z$1*_xlfn.NORM.S.DIST(-((LN(Z$1/$A3)+(MonteCarlo!$B$9+(MonteCarlo!$B$7^2)/2)*MonteCarlo!$B$8)/(MonteCarlo!$B$7*SQRT(MonteCarlo!$B$8))),TRUE)),"")</f>
        <v/>
      </c>
      <c r="AA3" t="str">
        <f ca="1">IFERROR(IF(OR(MonteCarlo!$B$4="C",MonteCarlo!$B$4="c"),AA$1*_xlfn.NORM.S.DIST((LN(AA$1/$A3)+(MonteCarlo!$B$9+(MonteCarlo!$B$7^2)/2)*MonteCarlo!$B$8)/(MonteCarlo!$B$7*SQRT(MonteCarlo!$B$8)),TRUE)-$A3*EXP(-MonteCarlo!$B$9*MonteCarlo!$B$8)*_xlfn.NORM.S.DIST(((LN(AA$1/$A3)+(MonteCarlo!$B$9+(MonteCarlo!$B$7^2)/2)*MonteCarlo!$B$8)/(MonteCarlo!$B$7*SQRT(MonteCarlo!$B$8)))-(MonteCarlo!$B$7*SQRT(MonteCarlo!$B$8)),TRUE),$A3*EXP(-MonteCarlo!$B$9*MonteCarlo!$B$8)*_xlfn.NORM.S.DIST(-(((LN(AA$1/$A3)+(MonteCarlo!$B$9+(MonteCarlo!$B$7^2)/2)*MonteCarlo!$B$8)/(MonteCarlo!$B$7*SQRT(MonteCarlo!$B$8)))-(MonteCarlo!$B$7*SQRT(MonteCarlo!$B$8))),TRUE)-AA$1*_xlfn.NORM.S.DIST(-((LN(AA$1/$A3)+(MonteCarlo!$B$9+(MonteCarlo!$B$7^2)/2)*MonteCarlo!$B$8)/(MonteCarlo!$B$7*SQRT(MonteCarlo!$B$8))),TRUE)),"")</f>
        <v/>
      </c>
      <c r="AB3" t="str">
        <f ca="1">IFERROR(IF(OR(MonteCarlo!$B$4="C",MonteCarlo!$B$4="c"),AB$1*_xlfn.NORM.S.DIST((LN(AB$1/$A3)+(MonteCarlo!$B$9+(MonteCarlo!$B$7^2)/2)*MonteCarlo!$B$8)/(MonteCarlo!$B$7*SQRT(MonteCarlo!$B$8)),TRUE)-$A3*EXP(-MonteCarlo!$B$9*MonteCarlo!$B$8)*_xlfn.NORM.S.DIST(((LN(AB$1/$A3)+(MonteCarlo!$B$9+(MonteCarlo!$B$7^2)/2)*MonteCarlo!$B$8)/(MonteCarlo!$B$7*SQRT(MonteCarlo!$B$8)))-(MonteCarlo!$B$7*SQRT(MonteCarlo!$B$8)),TRUE),$A3*EXP(-MonteCarlo!$B$9*MonteCarlo!$B$8)*_xlfn.NORM.S.DIST(-(((LN(AB$1/$A3)+(MonteCarlo!$B$9+(MonteCarlo!$B$7^2)/2)*MonteCarlo!$B$8)/(MonteCarlo!$B$7*SQRT(MonteCarlo!$B$8)))-(MonteCarlo!$B$7*SQRT(MonteCarlo!$B$8))),TRUE)-AB$1*_xlfn.NORM.S.DIST(-((LN(AB$1/$A3)+(MonteCarlo!$B$9+(MonteCarlo!$B$7^2)/2)*MonteCarlo!$B$8)/(MonteCarlo!$B$7*SQRT(MonteCarlo!$B$8))),TRUE)),"")</f>
        <v/>
      </c>
      <c r="AC3" t="str">
        <f ca="1">IFERROR(IF(OR(MonteCarlo!$B$4="C",MonteCarlo!$B$4="c"),AC$1*_xlfn.NORM.S.DIST((LN(AC$1/$A3)+(MonteCarlo!$B$9+(MonteCarlo!$B$7^2)/2)*MonteCarlo!$B$8)/(MonteCarlo!$B$7*SQRT(MonteCarlo!$B$8)),TRUE)-$A3*EXP(-MonteCarlo!$B$9*MonteCarlo!$B$8)*_xlfn.NORM.S.DIST(((LN(AC$1/$A3)+(MonteCarlo!$B$9+(MonteCarlo!$B$7^2)/2)*MonteCarlo!$B$8)/(MonteCarlo!$B$7*SQRT(MonteCarlo!$B$8)))-(MonteCarlo!$B$7*SQRT(MonteCarlo!$B$8)),TRUE),$A3*EXP(-MonteCarlo!$B$9*MonteCarlo!$B$8)*_xlfn.NORM.S.DIST(-(((LN(AC$1/$A3)+(MonteCarlo!$B$9+(MonteCarlo!$B$7^2)/2)*MonteCarlo!$B$8)/(MonteCarlo!$B$7*SQRT(MonteCarlo!$B$8)))-(MonteCarlo!$B$7*SQRT(MonteCarlo!$B$8))),TRUE)-AC$1*_xlfn.NORM.S.DIST(-((LN(AC$1/$A3)+(MonteCarlo!$B$9+(MonteCarlo!$B$7^2)/2)*MonteCarlo!$B$8)/(MonteCarlo!$B$7*SQRT(MonteCarlo!$B$8))),TRUE)),"")</f>
        <v/>
      </c>
      <c r="AD3" t="str">
        <f ca="1">IFERROR(IF(OR(MonteCarlo!$B$4="C",MonteCarlo!$B$4="c"),AD$1*_xlfn.NORM.S.DIST((LN(AD$1/$A3)+(MonteCarlo!$B$9+(MonteCarlo!$B$7^2)/2)*MonteCarlo!$B$8)/(MonteCarlo!$B$7*SQRT(MonteCarlo!$B$8)),TRUE)-$A3*EXP(-MonteCarlo!$B$9*MonteCarlo!$B$8)*_xlfn.NORM.S.DIST(((LN(AD$1/$A3)+(MonteCarlo!$B$9+(MonteCarlo!$B$7^2)/2)*MonteCarlo!$B$8)/(MonteCarlo!$B$7*SQRT(MonteCarlo!$B$8)))-(MonteCarlo!$B$7*SQRT(MonteCarlo!$B$8)),TRUE),$A3*EXP(-MonteCarlo!$B$9*MonteCarlo!$B$8)*_xlfn.NORM.S.DIST(-(((LN(AD$1/$A3)+(MonteCarlo!$B$9+(MonteCarlo!$B$7^2)/2)*MonteCarlo!$B$8)/(MonteCarlo!$B$7*SQRT(MonteCarlo!$B$8)))-(MonteCarlo!$B$7*SQRT(MonteCarlo!$B$8))),TRUE)-AD$1*_xlfn.NORM.S.DIST(-((LN(AD$1/$A3)+(MonteCarlo!$B$9+(MonteCarlo!$B$7^2)/2)*MonteCarlo!$B$8)/(MonteCarlo!$B$7*SQRT(MonteCarlo!$B$8))),TRUE)),"")</f>
        <v/>
      </c>
      <c r="AE3" t="str">
        <f ca="1">IFERROR(IF(OR(MonteCarlo!$B$4="C",MonteCarlo!$B$4="c"),AE$1*_xlfn.NORM.S.DIST((LN(AE$1/$A3)+(MonteCarlo!$B$9+(MonteCarlo!$B$7^2)/2)*MonteCarlo!$B$8)/(MonteCarlo!$B$7*SQRT(MonteCarlo!$B$8)),TRUE)-$A3*EXP(-MonteCarlo!$B$9*MonteCarlo!$B$8)*_xlfn.NORM.S.DIST(((LN(AE$1/$A3)+(MonteCarlo!$B$9+(MonteCarlo!$B$7^2)/2)*MonteCarlo!$B$8)/(MonteCarlo!$B$7*SQRT(MonteCarlo!$B$8)))-(MonteCarlo!$B$7*SQRT(MonteCarlo!$B$8)),TRUE),$A3*EXP(-MonteCarlo!$B$9*MonteCarlo!$B$8)*_xlfn.NORM.S.DIST(-(((LN(AE$1/$A3)+(MonteCarlo!$B$9+(MonteCarlo!$B$7^2)/2)*MonteCarlo!$B$8)/(MonteCarlo!$B$7*SQRT(MonteCarlo!$B$8)))-(MonteCarlo!$B$7*SQRT(MonteCarlo!$B$8))),TRUE)-AE$1*_xlfn.NORM.S.DIST(-((LN(AE$1/$A3)+(MonteCarlo!$B$9+(MonteCarlo!$B$7^2)/2)*MonteCarlo!$B$8)/(MonteCarlo!$B$7*SQRT(MonteCarlo!$B$8))),TRUE)),"")</f>
        <v/>
      </c>
      <c r="AF3" t="str">
        <f ca="1">IFERROR(IF(OR(MonteCarlo!$B$4="C",MonteCarlo!$B$4="c"),AF$1*_xlfn.NORM.S.DIST((LN(AF$1/$A3)+(MonteCarlo!$B$9+(MonteCarlo!$B$7^2)/2)*MonteCarlo!$B$8)/(MonteCarlo!$B$7*SQRT(MonteCarlo!$B$8)),TRUE)-$A3*EXP(-MonteCarlo!$B$9*MonteCarlo!$B$8)*_xlfn.NORM.S.DIST(((LN(AF$1/$A3)+(MonteCarlo!$B$9+(MonteCarlo!$B$7^2)/2)*MonteCarlo!$B$8)/(MonteCarlo!$B$7*SQRT(MonteCarlo!$B$8)))-(MonteCarlo!$B$7*SQRT(MonteCarlo!$B$8)),TRUE),$A3*EXP(-MonteCarlo!$B$9*MonteCarlo!$B$8)*_xlfn.NORM.S.DIST(-(((LN(AF$1/$A3)+(MonteCarlo!$B$9+(MonteCarlo!$B$7^2)/2)*MonteCarlo!$B$8)/(MonteCarlo!$B$7*SQRT(MonteCarlo!$B$8)))-(MonteCarlo!$B$7*SQRT(MonteCarlo!$B$8))),TRUE)-AF$1*_xlfn.NORM.S.DIST(-((LN(AF$1/$A3)+(MonteCarlo!$B$9+(MonteCarlo!$B$7^2)/2)*MonteCarlo!$B$8)/(MonteCarlo!$B$7*SQRT(MonteCarlo!$B$8))),TRUE)),"")</f>
        <v/>
      </c>
    </row>
    <row r="4" spans="2:32" x14ac:dyDescent="0.25">
      <c r="B4" t="str">
        <f ca="1">IFERROR(IF(OR(MonteCarlo!$B$4="C",MonteCarlo!$B$4="c"),B$1*_xlfn.NORM.S.DIST((LN(B$1/$A4)+(MonteCarlo!$B$9+(MonteCarlo!$B$7^2)/2)*MonteCarlo!$B$8)/(MonteCarlo!$B$7*SQRT(MonteCarlo!$B$8)),TRUE)-$A4*EXP(-MonteCarlo!$B$9*MonteCarlo!$B$8)*_xlfn.NORM.S.DIST(((LN(B$1/$A4)+(MonteCarlo!$B$9+(MonteCarlo!$B$7^2)/2)*MonteCarlo!$B$8)/(MonteCarlo!$B$7*SQRT(MonteCarlo!$B$8)))-(MonteCarlo!$B$7*SQRT(MonteCarlo!$B$8)),TRUE),$A4*EXP(-MonteCarlo!$B$9*MonteCarlo!$B$8)*_xlfn.NORM.S.DIST(-(((LN(B$1/$A4)+(MonteCarlo!$B$9+(MonteCarlo!$B$7^2)/2)*MonteCarlo!$B$8)/(MonteCarlo!$B$7*SQRT(MonteCarlo!$B$8)))-(MonteCarlo!$B$7*SQRT(MonteCarlo!$B$8))),TRUE)-B$1*_xlfn.NORM.S.DIST(-((LN(B$1/$A4)+(MonteCarlo!$B$9+(MonteCarlo!$B$7^2)/2)*MonteCarlo!$B$8)/(MonteCarlo!$B$7*SQRT(MonteCarlo!$B$8))),TRUE)),"")</f>
        <v/>
      </c>
      <c r="C4" t="str">
        <f ca="1">IFERROR(IF(OR(MonteCarlo!$B$4="C",MonteCarlo!$B$4="c"),C$1*_xlfn.NORM.S.DIST((LN(C$1/$A4)+(MonteCarlo!$B$9+(MonteCarlo!$B$7^2)/2)*MonteCarlo!$B$8)/(MonteCarlo!$B$7*SQRT(MonteCarlo!$B$8)),TRUE)-$A4*EXP(-MonteCarlo!$B$9*MonteCarlo!$B$8)*_xlfn.NORM.S.DIST(((LN(C$1/$A4)+(MonteCarlo!$B$9+(MonteCarlo!$B$7^2)/2)*MonteCarlo!$B$8)/(MonteCarlo!$B$7*SQRT(MonteCarlo!$B$8)))-(MonteCarlo!$B$7*SQRT(MonteCarlo!$B$8)),TRUE),$A4*EXP(-MonteCarlo!$B$9*MonteCarlo!$B$8)*_xlfn.NORM.S.DIST(-(((LN(C$1/$A4)+(MonteCarlo!$B$9+(MonteCarlo!$B$7^2)/2)*MonteCarlo!$B$8)/(MonteCarlo!$B$7*SQRT(MonteCarlo!$B$8)))-(MonteCarlo!$B$7*SQRT(MonteCarlo!$B$8))),TRUE)-C$1*_xlfn.NORM.S.DIST(-((LN(C$1/$A4)+(MonteCarlo!$B$9+(MonteCarlo!$B$7^2)/2)*MonteCarlo!$B$8)/(MonteCarlo!$B$7*SQRT(MonteCarlo!$B$8))),TRUE)),"")</f>
        <v/>
      </c>
      <c r="D4" t="str">
        <f ca="1">IFERROR(IF(OR(MonteCarlo!$B$4="C",MonteCarlo!$B$4="c"),D$1*_xlfn.NORM.S.DIST((LN(D$1/$A4)+(MonteCarlo!$B$9+(MonteCarlo!$B$7^2)/2)*MonteCarlo!$B$8)/(MonteCarlo!$B$7*SQRT(MonteCarlo!$B$8)),TRUE)-$A4*EXP(-MonteCarlo!$B$9*MonteCarlo!$B$8)*_xlfn.NORM.S.DIST(((LN(D$1/$A4)+(MonteCarlo!$B$9+(MonteCarlo!$B$7^2)/2)*MonteCarlo!$B$8)/(MonteCarlo!$B$7*SQRT(MonteCarlo!$B$8)))-(MonteCarlo!$B$7*SQRT(MonteCarlo!$B$8)),TRUE),$A4*EXP(-MonteCarlo!$B$9*MonteCarlo!$B$8)*_xlfn.NORM.S.DIST(-(((LN(D$1/$A4)+(MonteCarlo!$B$9+(MonteCarlo!$B$7^2)/2)*MonteCarlo!$B$8)/(MonteCarlo!$B$7*SQRT(MonteCarlo!$B$8)))-(MonteCarlo!$B$7*SQRT(MonteCarlo!$B$8))),TRUE)-D$1*_xlfn.NORM.S.DIST(-((LN(D$1/$A4)+(MonteCarlo!$B$9+(MonteCarlo!$B$7^2)/2)*MonteCarlo!$B$8)/(MonteCarlo!$B$7*SQRT(MonteCarlo!$B$8))),TRUE)),"")</f>
        <v/>
      </c>
      <c r="E4" t="str">
        <f ca="1">IFERROR(IF(OR(MonteCarlo!$B$4="C",MonteCarlo!$B$4="c"),E$1*_xlfn.NORM.S.DIST((LN(E$1/$A4)+(MonteCarlo!$B$9+(MonteCarlo!$B$7^2)/2)*MonteCarlo!$B$8)/(MonteCarlo!$B$7*SQRT(MonteCarlo!$B$8)),TRUE)-$A4*EXP(-MonteCarlo!$B$9*MonteCarlo!$B$8)*_xlfn.NORM.S.DIST(((LN(E$1/$A4)+(MonteCarlo!$B$9+(MonteCarlo!$B$7^2)/2)*MonteCarlo!$B$8)/(MonteCarlo!$B$7*SQRT(MonteCarlo!$B$8)))-(MonteCarlo!$B$7*SQRT(MonteCarlo!$B$8)),TRUE),$A4*EXP(-MonteCarlo!$B$9*MonteCarlo!$B$8)*_xlfn.NORM.S.DIST(-(((LN(E$1/$A4)+(MonteCarlo!$B$9+(MonteCarlo!$B$7^2)/2)*MonteCarlo!$B$8)/(MonteCarlo!$B$7*SQRT(MonteCarlo!$B$8)))-(MonteCarlo!$B$7*SQRT(MonteCarlo!$B$8))),TRUE)-E$1*_xlfn.NORM.S.DIST(-((LN(E$1/$A4)+(MonteCarlo!$B$9+(MonteCarlo!$B$7^2)/2)*MonteCarlo!$B$8)/(MonteCarlo!$B$7*SQRT(MonteCarlo!$B$8))),TRUE)),"")</f>
        <v/>
      </c>
      <c r="F4" t="str">
        <f ca="1">IFERROR(IF(OR(MonteCarlo!$B$4="C",MonteCarlo!$B$4="c"),F$1*_xlfn.NORM.S.DIST((LN(F$1/$A4)+(MonteCarlo!$B$9+(MonteCarlo!$B$7^2)/2)*MonteCarlo!$B$8)/(MonteCarlo!$B$7*SQRT(MonteCarlo!$B$8)),TRUE)-$A4*EXP(-MonteCarlo!$B$9*MonteCarlo!$B$8)*_xlfn.NORM.S.DIST(((LN(F$1/$A4)+(MonteCarlo!$B$9+(MonteCarlo!$B$7^2)/2)*MonteCarlo!$B$8)/(MonteCarlo!$B$7*SQRT(MonteCarlo!$B$8)))-(MonteCarlo!$B$7*SQRT(MonteCarlo!$B$8)),TRUE),$A4*EXP(-MonteCarlo!$B$9*MonteCarlo!$B$8)*_xlfn.NORM.S.DIST(-(((LN(F$1/$A4)+(MonteCarlo!$B$9+(MonteCarlo!$B$7^2)/2)*MonteCarlo!$B$8)/(MonteCarlo!$B$7*SQRT(MonteCarlo!$B$8)))-(MonteCarlo!$B$7*SQRT(MonteCarlo!$B$8))),TRUE)-F$1*_xlfn.NORM.S.DIST(-((LN(F$1/$A4)+(MonteCarlo!$B$9+(MonteCarlo!$B$7^2)/2)*MonteCarlo!$B$8)/(MonteCarlo!$B$7*SQRT(MonteCarlo!$B$8))),TRUE)),"")</f>
        <v/>
      </c>
      <c r="G4" t="str">
        <f ca="1">IFERROR(IF(OR(MonteCarlo!$B$4="C",MonteCarlo!$B$4="c"),G$1*_xlfn.NORM.S.DIST((LN(G$1/$A4)+(MonteCarlo!$B$9+(MonteCarlo!$B$7^2)/2)*MonteCarlo!$B$8)/(MonteCarlo!$B$7*SQRT(MonteCarlo!$B$8)),TRUE)-$A4*EXP(-MonteCarlo!$B$9*MonteCarlo!$B$8)*_xlfn.NORM.S.DIST(((LN(G$1/$A4)+(MonteCarlo!$B$9+(MonteCarlo!$B$7^2)/2)*MonteCarlo!$B$8)/(MonteCarlo!$B$7*SQRT(MonteCarlo!$B$8)))-(MonteCarlo!$B$7*SQRT(MonteCarlo!$B$8)),TRUE),$A4*EXP(-MonteCarlo!$B$9*MonteCarlo!$B$8)*_xlfn.NORM.S.DIST(-(((LN(G$1/$A4)+(MonteCarlo!$B$9+(MonteCarlo!$B$7^2)/2)*MonteCarlo!$B$8)/(MonteCarlo!$B$7*SQRT(MonteCarlo!$B$8)))-(MonteCarlo!$B$7*SQRT(MonteCarlo!$B$8))),TRUE)-G$1*_xlfn.NORM.S.DIST(-((LN(G$1/$A4)+(MonteCarlo!$B$9+(MonteCarlo!$B$7^2)/2)*MonteCarlo!$B$8)/(MonteCarlo!$B$7*SQRT(MonteCarlo!$B$8))),TRUE)),"")</f>
        <v/>
      </c>
      <c r="H4" t="str">
        <f ca="1">IFERROR(IF(OR(MonteCarlo!$B$4="C",MonteCarlo!$B$4="c"),H$1*_xlfn.NORM.S.DIST((LN(H$1/$A4)+(MonteCarlo!$B$9+(MonteCarlo!$B$7^2)/2)*MonteCarlo!$B$8)/(MonteCarlo!$B$7*SQRT(MonteCarlo!$B$8)),TRUE)-$A4*EXP(-MonteCarlo!$B$9*MonteCarlo!$B$8)*_xlfn.NORM.S.DIST(((LN(H$1/$A4)+(MonteCarlo!$B$9+(MonteCarlo!$B$7^2)/2)*MonteCarlo!$B$8)/(MonteCarlo!$B$7*SQRT(MonteCarlo!$B$8)))-(MonteCarlo!$B$7*SQRT(MonteCarlo!$B$8)),TRUE),$A4*EXP(-MonteCarlo!$B$9*MonteCarlo!$B$8)*_xlfn.NORM.S.DIST(-(((LN(H$1/$A4)+(MonteCarlo!$B$9+(MonteCarlo!$B$7^2)/2)*MonteCarlo!$B$8)/(MonteCarlo!$B$7*SQRT(MonteCarlo!$B$8)))-(MonteCarlo!$B$7*SQRT(MonteCarlo!$B$8))),TRUE)-H$1*_xlfn.NORM.S.DIST(-((LN(H$1/$A4)+(MonteCarlo!$B$9+(MonteCarlo!$B$7^2)/2)*MonteCarlo!$B$8)/(MonteCarlo!$B$7*SQRT(MonteCarlo!$B$8))),TRUE)),"")</f>
        <v/>
      </c>
      <c r="I4" t="str">
        <f ca="1">IFERROR(IF(OR(MonteCarlo!$B$4="C",MonteCarlo!$B$4="c"),I$1*_xlfn.NORM.S.DIST((LN(I$1/$A4)+(MonteCarlo!$B$9+(MonteCarlo!$B$7^2)/2)*MonteCarlo!$B$8)/(MonteCarlo!$B$7*SQRT(MonteCarlo!$B$8)),TRUE)-$A4*EXP(-MonteCarlo!$B$9*MonteCarlo!$B$8)*_xlfn.NORM.S.DIST(((LN(I$1/$A4)+(MonteCarlo!$B$9+(MonteCarlo!$B$7^2)/2)*MonteCarlo!$B$8)/(MonteCarlo!$B$7*SQRT(MonteCarlo!$B$8)))-(MonteCarlo!$B$7*SQRT(MonteCarlo!$B$8)),TRUE),$A4*EXP(-MonteCarlo!$B$9*MonteCarlo!$B$8)*_xlfn.NORM.S.DIST(-(((LN(I$1/$A4)+(MonteCarlo!$B$9+(MonteCarlo!$B$7^2)/2)*MonteCarlo!$B$8)/(MonteCarlo!$B$7*SQRT(MonteCarlo!$B$8)))-(MonteCarlo!$B$7*SQRT(MonteCarlo!$B$8))),TRUE)-I$1*_xlfn.NORM.S.DIST(-((LN(I$1/$A4)+(MonteCarlo!$B$9+(MonteCarlo!$B$7^2)/2)*MonteCarlo!$B$8)/(MonteCarlo!$B$7*SQRT(MonteCarlo!$B$8))),TRUE)),"")</f>
        <v/>
      </c>
      <c r="J4" t="str">
        <f ca="1">IFERROR(IF(OR(MonteCarlo!$B$4="C",MonteCarlo!$B$4="c"),J$1*_xlfn.NORM.S.DIST((LN(J$1/$A4)+(MonteCarlo!$B$9+(MonteCarlo!$B$7^2)/2)*MonteCarlo!$B$8)/(MonteCarlo!$B$7*SQRT(MonteCarlo!$B$8)),TRUE)-$A4*EXP(-MonteCarlo!$B$9*MonteCarlo!$B$8)*_xlfn.NORM.S.DIST(((LN(J$1/$A4)+(MonteCarlo!$B$9+(MonteCarlo!$B$7^2)/2)*MonteCarlo!$B$8)/(MonteCarlo!$B$7*SQRT(MonteCarlo!$B$8)))-(MonteCarlo!$B$7*SQRT(MonteCarlo!$B$8)),TRUE),$A4*EXP(-MonteCarlo!$B$9*MonteCarlo!$B$8)*_xlfn.NORM.S.DIST(-(((LN(J$1/$A4)+(MonteCarlo!$B$9+(MonteCarlo!$B$7^2)/2)*MonteCarlo!$B$8)/(MonteCarlo!$B$7*SQRT(MonteCarlo!$B$8)))-(MonteCarlo!$B$7*SQRT(MonteCarlo!$B$8))),TRUE)-J$1*_xlfn.NORM.S.DIST(-((LN(J$1/$A4)+(MonteCarlo!$B$9+(MonteCarlo!$B$7^2)/2)*MonteCarlo!$B$8)/(MonteCarlo!$B$7*SQRT(MonteCarlo!$B$8))),TRUE)),"")</f>
        <v/>
      </c>
      <c r="K4" t="str">
        <f ca="1">IFERROR(IF(OR(MonteCarlo!$B$4="C",MonteCarlo!$B$4="c"),K$1*_xlfn.NORM.S.DIST((LN(K$1/$A4)+(MonteCarlo!$B$9+(MonteCarlo!$B$7^2)/2)*MonteCarlo!$B$8)/(MonteCarlo!$B$7*SQRT(MonteCarlo!$B$8)),TRUE)-$A4*EXP(-MonteCarlo!$B$9*MonteCarlo!$B$8)*_xlfn.NORM.S.DIST(((LN(K$1/$A4)+(MonteCarlo!$B$9+(MonteCarlo!$B$7^2)/2)*MonteCarlo!$B$8)/(MonteCarlo!$B$7*SQRT(MonteCarlo!$B$8)))-(MonteCarlo!$B$7*SQRT(MonteCarlo!$B$8)),TRUE),$A4*EXP(-MonteCarlo!$B$9*MonteCarlo!$B$8)*_xlfn.NORM.S.DIST(-(((LN(K$1/$A4)+(MonteCarlo!$B$9+(MonteCarlo!$B$7^2)/2)*MonteCarlo!$B$8)/(MonteCarlo!$B$7*SQRT(MonteCarlo!$B$8)))-(MonteCarlo!$B$7*SQRT(MonteCarlo!$B$8))),TRUE)-K$1*_xlfn.NORM.S.DIST(-((LN(K$1/$A4)+(MonteCarlo!$B$9+(MonteCarlo!$B$7^2)/2)*MonteCarlo!$B$8)/(MonteCarlo!$B$7*SQRT(MonteCarlo!$B$8))),TRUE)),"")</f>
        <v/>
      </c>
      <c r="L4" t="str">
        <f ca="1">IFERROR(IF(OR(MonteCarlo!$B$4="C",MonteCarlo!$B$4="c"),L$1*_xlfn.NORM.S.DIST((LN(L$1/$A4)+(MonteCarlo!$B$9+(MonteCarlo!$B$7^2)/2)*MonteCarlo!$B$8)/(MonteCarlo!$B$7*SQRT(MonteCarlo!$B$8)),TRUE)-$A4*EXP(-MonteCarlo!$B$9*MonteCarlo!$B$8)*_xlfn.NORM.S.DIST(((LN(L$1/$A4)+(MonteCarlo!$B$9+(MonteCarlo!$B$7^2)/2)*MonteCarlo!$B$8)/(MonteCarlo!$B$7*SQRT(MonteCarlo!$B$8)))-(MonteCarlo!$B$7*SQRT(MonteCarlo!$B$8)),TRUE),$A4*EXP(-MonteCarlo!$B$9*MonteCarlo!$B$8)*_xlfn.NORM.S.DIST(-(((LN(L$1/$A4)+(MonteCarlo!$B$9+(MonteCarlo!$B$7^2)/2)*MonteCarlo!$B$8)/(MonteCarlo!$B$7*SQRT(MonteCarlo!$B$8)))-(MonteCarlo!$B$7*SQRT(MonteCarlo!$B$8))),TRUE)-L$1*_xlfn.NORM.S.DIST(-((LN(L$1/$A4)+(MonteCarlo!$B$9+(MonteCarlo!$B$7^2)/2)*MonteCarlo!$B$8)/(MonteCarlo!$B$7*SQRT(MonteCarlo!$B$8))),TRUE)),"")</f>
        <v/>
      </c>
      <c r="M4" t="str">
        <f ca="1">IFERROR(IF(OR(MonteCarlo!$B$4="C",MonteCarlo!$B$4="c"),M$1*_xlfn.NORM.S.DIST((LN(M$1/$A4)+(MonteCarlo!$B$9+(MonteCarlo!$B$7^2)/2)*MonteCarlo!$B$8)/(MonteCarlo!$B$7*SQRT(MonteCarlo!$B$8)),TRUE)-$A4*EXP(-MonteCarlo!$B$9*MonteCarlo!$B$8)*_xlfn.NORM.S.DIST(((LN(M$1/$A4)+(MonteCarlo!$B$9+(MonteCarlo!$B$7^2)/2)*MonteCarlo!$B$8)/(MonteCarlo!$B$7*SQRT(MonteCarlo!$B$8)))-(MonteCarlo!$B$7*SQRT(MonteCarlo!$B$8)),TRUE),$A4*EXP(-MonteCarlo!$B$9*MonteCarlo!$B$8)*_xlfn.NORM.S.DIST(-(((LN(M$1/$A4)+(MonteCarlo!$B$9+(MonteCarlo!$B$7^2)/2)*MonteCarlo!$B$8)/(MonteCarlo!$B$7*SQRT(MonteCarlo!$B$8)))-(MonteCarlo!$B$7*SQRT(MonteCarlo!$B$8))),TRUE)-M$1*_xlfn.NORM.S.DIST(-((LN(M$1/$A4)+(MonteCarlo!$B$9+(MonteCarlo!$B$7^2)/2)*MonteCarlo!$B$8)/(MonteCarlo!$B$7*SQRT(MonteCarlo!$B$8))),TRUE)),"")</f>
        <v/>
      </c>
      <c r="N4" t="str">
        <f ca="1">IFERROR(IF(OR(MonteCarlo!$B$4="C",MonteCarlo!$B$4="c"),N$1*_xlfn.NORM.S.DIST((LN(N$1/$A4)+(MonteCarlo!$B$9+(MonteCarlo!$B$7^2)/2)*MonteCarlo!$B$8)/(MonteCarlo!$B$7*SQRT(MonteCarlo!$B$8)),TRUE)-$A4*EXP(-MonteCarlo!$B$9*MonteCarlo!$B$8)*_xlfn.NORM.S.DIST(((LN(N$1/$A4)+(MonteCarlo!$B$9+(MonteCarlo!$B$7^2)/2)*MonteCarlo!$B$8)/(MonteCarlo!$B$7*SQRT(MonteCarlo!$B$8)))-(MonteCarlo!$B$7*SQRT(MonteCarlo!$B$8)),TRUE),$A4*EXP(-MonteCarlo!$B$9*MonteCarlo!$B$8)*_xlfn.NORM.S.DIST(-(((LN(N$1/$A4)+(MonteCarlo!$B$9+(MonteCarlo!$B$7^2)/2)*MonteCarlo!$B$8)/(MonteCarlo!$B$7*SQRT(MonteCarlo!$B$8)))-(MonteCarlo!$B$7*SQRT(MonteCarlo!$B$8))),TRUE)-N$1*_xlfn.NORM.S.DIST(-((LN(N$1/$A4)+(MonteCarlo!$B$9+(MonteCarlo!$B$7^2)/2)*MonteCarlo!$B$8)/(MonteCarlo!$B$7*SQRT(MonteCarlo!$B$8))),TRUE)),"")</f>
        <v/>
      </c>
      <c r="O4" t="str">
        <f ca="1">IFERROR(IF(OR(MonteCarlo!$B$4="C",MonteCarlo!$B$4="c"),O$1*_xlfn.NORM.S.DIST((LN(O$1/$A4)+(MonteCarlo!$B$9+(MonteCarlo!$B$7^2)/2)*MonteCarlo!$B$8)/(MonteCarlo!$B$7*SQRT(MonteCarlo!$B$8)),TRUE)-$A4*EXP(-MonteCarlo!$B$9*MonteCarlo!$B$8)*_xlfn.NORM.S.DIST(((LN(O$1/$A4)+(MonteCarlo!$B$9+(MonteCarlo!$B$7^2)/2)*MonteCarlo!$B$8)/(MonteCarlo!$B$7*SQRT(MonteCarlo!$B$8)))-(MonteCarlo!$B$7*SQRT(MonteCarlo!$B$8)),TRUE),$A4*EXP(-MonteCarlo!$B$9*MonteCarlo!$B$8)*_xlfn.NORM.S.DIST(-(((LN(O$1/$A4)+(MonteCarlo!$B$9+(MonteCarlo!$B$7^2)/2)*MonteCarlo!$B$8)/(MonteCarlo!$B$7*SQRT(MonteCarlo!$B$8)))-(MonteCarlo!$B$7*SQRT(MonteCarlo!$B$8))),TRUE)-O$1*_xlfn.NORM.S.DIST(-((LN(O$1/$A4)+(MonteCarlo!$B$9+(MonteCarlo!$B$7^2)/2)*MonteCarlo!$B$8)/(MonteCarlo!$B$7*SQRT(MonteCarlo!$B$8))),TRUE)),"")</f>
        <v/>
      </c>
      <c r="P4" t="str">
        <f ca="1">IFERROR(IF(OR(MonteCarlo!$B$4="C",MonteCarlo!$B$4="c"),P$1*_xlfn.NORM.S.DIST((LN(P$1/$A4)+(MonteCarlo!$B$9+(MonteCarlo!$B$7^2)/2)*MonteCarlo!$B$8)/(MonteCarlo!$B$7*SQRT(MonteCarlo!$B$8)),TRUE)-$A4*EXP(-MonteCarlo!$B$9*MonteCarlo!$B$8)*_xlfn.NORM.S.DIST(((LN(P$1/$A4)+(MonteCarlo!$B$9+(MonteCarlo!$B$7^2)/2)*MonteCarlo!$B$8)/(MonteCarlo!$B$7*SQRT(MonteCarlo!$B$8)))-(MonteCarlo!$B$7*SQRT(MonteCarlo!$B$8)),TRUE),$A4*EXP(-MonteCarlo!$B$9*MonteCarlo!$B$8)*_xlfn.NORM.S.DIST(-(((LN(P$1/$A4)+(MonteCarlo!$B$9+(MonteCarlo!$B$7^2)/2)*MonteCarlo!$B$8)/(MonteCarlo!$B$7*SQRT(MonteCarlo!$B$8)))-(MonteCarlo!$B$7*SQRT(MonteCarlo!$B$8))),TRUE)-P$1*_xlfn.NORM.S.DIST(-((LN(P$1/$A4)+(MonteCarlo!$B$9+(MonteCarlo!$B$7^2)/2)*MonteCarlo!$B$8)/(MonteCarlo!$B$7*SQRT(MonteCarlo!$B$8))),TRUE)),"")</f>
        <v/>
      </c>
      <c r="Q4" t="str">
        <f ca="1">IFERROR(IF(OR(MonteCarlo!$B$4="C",MonteCarlo!$B$4="c"),Q$1*_xlfn.NORM.S.DIST((LN(Q$1/$A4)+(MonteCarlo!$B$9+(MonteCarlo!$B$7^2)/2)*MonteCarlo!$B$8)/(MonteCarlo!$B$7*SQRT(MonteCarlo!$B$8)),TRUE)-$A4*EXP(-MonteCarlo!$B$9*MonteCarlo!$B$8)*_xlfn.NORM.S.DIST(((LN(Q$1/$A4)+(MonteCarlo!$B$9+(MonteCarlo!$B$7^2)/2)*MonteCarlo!$B$8)/(MonteCarlo!$B$7*SQRT(MonteCarlo!$B$8)))-(MonteCarlo!$B$7*SQRT(MonteCarlo!$B$8)),TRUE),$A4*EXP(-MonteCarlo!$B$9*MonteCarlo!$B$8)*_xlfn.NORM.S.DIST(-(((LN(Q$1/$A4)+(MonteCarlo!$B$9+(MonteCarlo!$B$7^2)/2)*MonteCarlo!$B$8)/(MonteCarlo!$B$7*SQRT(MonteCarlo!$B$8)))-(MonteCarlo!$B$7*SQRT(MonteCarlo!$B$8))),TRUE)-Q$1*_xlfn.NORM.S.DIST(-((LN(Q$1/$A4)+(MonteCarlo!$B$9+(MonteCarlo!$B$7^2)/2)*MonteCarlo!$B$8)/(MonteCarlo!$B$7*SQRT(MonteCarlo!$B$8))),TRUE)),"")</f>
        <v/>
      </c>
      <c r="R4" t="str">
        <f ca="1">IFERROR(IF(OR(MonteCarlo!$B$4="C",MonteCarlo!$B$4="c"),R$1*_xlfn.NORM.S.DIST((LN(R$1/$A4)+(MonteCarlo!$B$9+(MonteCarlo!$B$7^2)/2)*MonteCarlo!$B$8)/(MonteCarlo!$B$7*SQRT(MonteCarlo!$B$8)),TRUE)-$A4*EXP(-MonteCarlo!$B$9*MonteCarlo!$B$8)*_xlfn.NORM.S.DIST(((LN(R$1/$A4)+(MonteCarlo!$B$9+(MonteCarlo!$B$7^2)/2)*MonteCarlo!$B$8)/(MonteCarlo!$B$7*SQRT(MonteCarlo!$B$8)))-(MonteCarlo!$B$7*SQRT(MonteCarlo!$B$8)),TRUE),$A4*EXP(-MonteCarlo!$B$9*MonteCarlo!$B$8)*_xlfn.NORM.S.DIST(-(((LN(R$1/$A4)+(MonteCarlo!$B$9+(MonteCarlo!$B$7^2)/2)*MonteCarlo!$B$8)/(MonteCarlo!$B$7*SQRT(MonteCarlo!$B$8)))-(MonteCarlo!$B$7*SQRT(MonteCarlo!$B$8))),TRUE)-R$1*_xlfn.NORM.S.DIST(-((LN(R$1/$A4)+(MonteCarlo!$B$9+(MonteCarlo!$B$7^2)/2)*MonteCarlo!$B$8)/(MonteCarlo!$B$7*SQRT(MonteCarlo!$B$8))),TRUE)),"")</f>
        <v/>
      </c>
      <c r="S4" t="str">
        <f ca="1">IFERROR(IF(OR(MonteCarlo!$B$4="C",MonteCarlo!$B$4="c"),S$1*_xlfn.NORM.S.DIST((LN(S$1/$A4)+(MonteCarlo!$B$9+(MonteCarlo!$B$7^2)/2)*MonteCarlo!$B$8)/(MonteCarlo!$B$7*SQRT(MonteCarlo!$B$8)),TRUE)-$A4*EXP(-MonteCarlo!$B$9*MonteCarlo!$B$8)*_xlfn.NORM.S.DIST(((LN(S$1/$A4)+(MonteCarlo!$B$9+(MonteCarlo!$B$7^2)/2)*MonteCarlo!$B$8)/(MonteCarlo!$B$7*SQRT(MonteCarlo!$B$8)))-(MonteCarlo!$B$7*SQRT(MonteCarlo!$B$8)),TRUE),$A4*EXP(-MonteCarlo!$B$9*MonteCarlo!$B$8)*_xlfn.NORM.S.DIST(-(((LN(S$1/$A4)+(MonteCarlo!$B$9+(MonteCarlo!$B$7^2)/2)*MonteCarlo!$B$8)/(MonteCarlo!$B$7*SQRT(MonteCarlo!$B$8)))-(MonteCarlo!$B$7*SQRT(MonteCarlo!$B$8))),TRUE)-S$1*_xlfn.NORM.S.DIST(-((LN(S$1/$A4)+(MonteCarlo!$B$9+(MonteCarlo!$B$7^2)/2)*MonteCarlo!$B$8)/(MonteCarlo!$B$7*SQRT(MonteCarlo!$B$8))),TRUE)),"")</f>
        <v/>
      </c>
      <c r="T4" t="str">
        <f ca="1">IFERROR(IF(OR(MonteCarlo!$B$4="C",MonteCarlo!$B$4="c"),T$1*_xlfn.NORM.S.DIST((LN(T$1/$A4)+(MonteCarlo!$B$9+(MonteCarlo!$B$7^2)/2)*MonteCarlo!$B$8)/(MonteCarlo!$B$7*SQRT(MonteCarlo!$B$8)),TRUE)-$A4*EXP(-MonteCarlo!$B$9*MonteCarlo!$B$8)*_xlfn.NORM.S.DIST(((LN(T$1/$A4)+(MonteCarlo!$B$9+(MonteCarlo!$B$7^2)/2)*MonteCarlo!$B$8)/(MonteCarlo!$B$7*SQRT(MonteCarlo!$B$8)))-(MonteCarlo!$B$7*SQRT(MonteCarlo!$B$8)),TRUE),$A4*EXP(-MonteCarlo!$B$9*MonteCarlo!$B$8)*_xlfn.NORM.S.DIST(-(((LN(T$1/$A4)+(MonteCarlo!$B$9+(MonteCarlo!$B$7^2)/2)*MonteCarlo!$B$8)/(MonteCarlo!$B$7*SQRT(MonteCarlo!$B$8)))-(MonteCarlo!$B$7*SQRT(MonteCarlo!$B$8))),TRUE)-T$1*_xlfn.NORM.S.DIST(-((LN(T$1/$A4)+(MonteCarlo!$B$9+(MonteCarlo!$B$7^2)/2)*MonteCarlo!$B$8)/(MonteCarlo!$B$7*SQRT(MonteCarlo!$B$8))),TRUE)),"")</f>
        <v/>
      </c>
      <c r="U4" t="str">
        <f ca="1">IFERROR(IF(OR(MonteCarlo!$B$4="C",MonteCarlo!$B$4="c"),U$1*_xlfn.NORM.S.DIST((LN(U$1/$A4)+(MonteCarlo!$B$9+(MonteCarlo!$B$7^2)/2)*MonteCarlo!$B$8)/(MonteCarlo!$B$7*SQRT(MonteCarlo!$B$8)),TRUE)-$A4*EXP(-MonteCarlo!$B$9*MonteCarlo!$B$8)*_xlfn.NORM.S.DIST(((LN(U$1/$A4)+(MonteCarlo!$B$9+(MonteCarlo!$B$7^2)/2)*MonteCarlo!$B$8)/(MonteCarlo!$B$7*SQRT(MonteCarlo!$B$8)))-(MonteCarlo!$B$7*SQRT(MonteCarlo!$B$8)),TRUE),$A4*EXP(-MonteCarlo!$B$9*MonteCarlo!$B$8)*_xlfn.NORM.S.DIST(-(((LN(U$1/$A4)+(MonteCarlo!$B$9+(MonteCarlo!$B$7^2)/2)*MonteCarlo!$B$8)/(MonteCarlo!$B$7*SQRT(MonteCarlo!$B$8)))-(MonteCarlo!$B$7*SQRT(MonteCarlo!$B$8))),TRUE)-U$1*_xlfn.NORM.S.DIST(-((LN(U$1/$A4)+(MonteCarlo!$B$9+(MonteCarlo!$B$7^2)/2)*MonteCarlo!$B$8)/(MonteCarlo!$B$7*SQRT(MonteCarlo!$B$8))),TRUE)),"")</f>
        <v/>
      </c>
      <c r="V4" t="str">
        <f ca="1">IFERROR(IF(OR(MonteCarlo!$B$4="C",MonteCarlo!$B$4="c"),V$1*_xlfn.NORM.S.DIST((LN(V$1/$A4)+(MonteCarlo!$B$9+(MonteCarlo!$B$7^2)/2)*MonteCarlo!$B$8)/(MonteCarlo!$B$7*SQRT(MonteCarlo!$B$8)),TRUE)-$A4*EXP(-MonteCarlo!$B$9*MonteCarlo!$B$8)*_xlfn.NORM.S.DIST(((LN(V$1/$A4)+(MonteCarlo!$B$9+(MonteCarlo!$B$7^2)/2)*MonteCarlo!$B$8)/(MonteCarlo!$B$7*SQRT(MonteCarlo!$B$8)))-(MonteCarlo!$B$7*SQRT(MonteCarlo!$B$8)),TRUE),$A4*EXP(-MonteCarlo!$B$9*MonteCarlo!$B$8)*_xlfn.NORM.S.DIST(-(((LN(V$1/$A4)+(MonteCarlo!$B$9+(MonteCarlo!$B$7^2)/2)*MonteCarlo!$B$8)/(MonteCarlo!$B$7*SQRT(MonteCarlo!$B$8)))-(MonteCarlo!$B$7*SQRT(MonteCarlo!$B$8))),TRUE)-V$1*_xlfn.NORM.S.DIST(-((LN(V$1/$A4)+(MonteCarlo!$B$9+(MonteCarlo!$B$7^2)/2)*MonteCarlo!$B$8)/(MonteCarlo!$B$7*SQRT(MonteCarlo!$B$8))),TRUE)),"")</f>
        <v/>
      </c>
      <c r="W4" t="str">
        <f ca="1">IFERROR(IF(OR(MonteCarlo!$B$4="C",MonteCarlo!$B$4="c"),W$1*_xlfn.NORM.S.DIST((LN(W$1/$A4)+(MonteCarlo!$B$9+(MonteCarlo!$B$7^2)/2)*MonteCarlo!$B$8)/(MonteCarlo!$B$7*SQRT(MonteCarlo!$B$8)),TRUE)-$A4*EXP(-MonteCarlo!$B$9*MonteCarlo!$B$8)*_xlfn.NORM.S.DIST(((LN(W$1/$A4)+(MonteCarlo!$B$9+(MonteCarlo!$B$7^2)/2)*MonteCarlo!$B$8)/(MonteCarlo!$B$7*SQRT(MonteCarlo!$B$8)))-(MonteCarlo!$B$7*SQRT(MonteCarlo!$B$8)),TRUE),$A4*EXP(-MonteCarlo!$B$9*MonteCarlo!$B$8)*_xlfn.NORM.S.DIST(-(((LN(W$1/$A4)+(MonteCarlo!$B$9+(MonteCarlo!$B$7^2)/2)*MonteCarlo!$B$8)/(MonteCarlo!$B$7*SQRT(MonteCarlo!$B$8)))-(MonteCarlo!$B$7*SQRT(MonteCarlo!$B$8))),TRUE)-W$1*_xlfn.NORM.S.DIST(-((LN(W$1/$A4)+(MonteCarlo!$B$9+(MonteCarlo!$B$7^2)/2)*MonteCarlo!$B$8)/(MonteCarlo!$B$7*SQRT(MonteCarlo!$B$8))),TRUE)),"")</f>
        <v/>
      </c>
      <c r="X4" t="str">
        <f ca="1">IFERROR(IF(OR(MonteCarlo!$B$4="C",MonteCarlo!$B$4="c"),X$1*_xlfn.NORM.S.DIST((LN(X$1/$A4)+(MonteCarlo!$B$9+(MonteCarlo!$B$7^2)/2)*MonteCarlo!$B$8)/(MonteCarlo!$B$7*SQRT(MonteCarlo!$B$8)),TRUE)-$A4*EXP(-MonteCarlo!$B$9*MonteCarlo!$B$8)*_xlfn.NORM.S.DIST(((LN(X$1/$A4)+(MonteCarlo!$B$9+(MonteCarlo!$B$7^2)/2)*MonteCarlo!$B$8)/(MonteCarlo!$B$7*SQRT(MonteCarlo!$B$8)))-(MonteCarlo!$B$7*SQRT(MonteCarlo!$B$8)),TRUE),$A4*EXP(-MonteCarlo!$B$9*MonteCarlo!$B$8)*_xlfn.NORM.S.DIST(-(((LN(X$1/$A4)+(MonteCarlo!$B$9+(MonteCarlo!$B$7^2)/2)*MonteCarlo!$B$8)/(MonteCarlo!$B$7*SQRT(MonteCarlo!$B$8)))-(MonteCarlo!$B$7*SQRT(MonteCarlo!$B$8))),TRUE)-X$1*_xlfn.NORM.S.DIST(-((LN(X$1/$A4)+(MonteCarlo!$B$9+(MonteCarlo!$B$7^2)/2)*MonteCarlo!$B$8)/(MonteCarlo!$B$7*SQRT(MonteCarlo!$B$8))),TRUE)),"")</f>
        <v/>
      </c>
      <c r="Y4" t="str">
        <f ca="1">IFERROR(IF(OR(MonteCarlo!$B$4="C",MonteCarlo!$B$4="c"),Y$1*_xlfn.NORM.S.DIST((LN(Y$1/$A4)+(MonteCarlo!$B$9+(MonteCarlo!$B$7^2)/2)*MonteCarlo!$B$8)/(MonteCarlo!$B$7*SQRT(MonteCarlo!$B$8)),TRUE)-$A4*EXP(-MonteCarlo!$B$9*MonteCarlo!$B$8)*_xlfn.NORM.S.DIST(((LN(Y$1/$A4)+(MonteCarlo!$B$9+(MonteCarlo!$B$7^2)/2)*MonteCarlo!$B$8)/(MonteCarlo!$B$7*SQRT(MonteCarlo!$B$8)))-(MonteCarlo!$B$7*SQRT(MonteCarlo!$B$8)),TRUE),$A4*EXP(-MonteCarlo!$B$9*MonteCarlo!$B$8)*_xlfn.NORM.S.DIST(-(((LN(Y$1/$A4)+(MonteCarlo!$B$9+(MonteCarlo!$B$7^2)/2)*MonteCarlo!$B$8)/(MonteCarlo!$B$7*SQRT(MonteCarlo!$B$8)))-(MonteCarlo!$B$7*SQRT(MonteCarlo!$B$8))),TRUE)-Y$1*_xlfn.NORM.S.DIST(-((LN(Y$1/$A4)+(MonteCarlo!$B$9+(MonteCarlo!$B$7^2)/2)*MonteCarlo!$B$8)/(MonteCarlo!$B$7*SQRT(MonteCarlo!$B$8))),TRUE)),"")</f>
        <v/>
      </c>
      <c r="Z4" t="str">
        <f ca="1">IFERROR(IF(OR(MonteCarlo!$B$4="C",MonteCarlo!$B$4="c"),Z$1*_xlfn.NORM.S.DIST((LN(Z$1/$A4)+(MonteCarlo!$B$9+(MonteCarlo!$B$7^2)/2)*MonteCarlo!$B$8)/(MonteCarlo!$B$7*SQRT(MonteCarlo!$B$8)),TRUE)-$A4*EXP(-MonteCarlo!$B$9*MonteCarlo!$B$8)*_xlfn.NORM.S.DIST(((LN(Z$1/$A4)+(MonteCarlo!$B$9+(MonteCarlo!$B$7^2)/2)*MonteCarlo!$B$8)/(MonteCarlo!$B$7*SQRT(MonteCarlo!$B$8)))-(MonteCarlo!$B$7*SQRT(MonteCarlo!$B$8)),TRUE),$A4*EXP(-MonteCarlo!$B$9*MonteCarlo!$B$8)*_xlfn.NORM.S.DIST(-(((LN(Z$1/$A4)+(MonteCarlo!$B$9+(MonteCarlo!$B$7^2)/2)*MonteCarlo!$B$8)/(MonteCarlo!$B$7*SQRT(MonteCarlo!$B$8)))-(MonteCarlo!$B$7*SQRT(MonteCarlo!$B$8))),TRUE)-Z$1*_xlfn.NORM.S.DIST(-((LN(Z$1/$A4)+(MonteCarlo!$B$9+(MonteCarlo!$B$7^2)/2)*MonteCarlo!$B$8)/(MonteCarlo!$B$7*SQRT(MonteCarlo!$B$8))),TRUE)),"")</f>
        <v/>
      </c>
      <c r="AA4" t="str">
        <f ca="1">IFERROR(IF(OR(MonteCarlo!$B$4="C",MonteCarlo!$B$4="c"),AA$1*_xlfn.NORM.S.DIST((LN(AA$1/$A4)+(MonteCarlo!$B$9+(MonteCarlo!$B$7^2)/2)*MonteCarlo!$B$8)/(MonteCarlo!$B$7*SQRT(MonteCarlo!$B$8)),TRUE)-$A4*EXP(-MonteCarlo!$B$9*MonteCarlo!$B$8)*_xlfn.NORM.S.DIST(((LN(AA$1/$A4)+(MonteCarlo!$B$9+(MonteCarlo!$B$7^2)/2)*MonteCarlo!$B$8)/(MonteCarlo!$B$7*SQRT(MonteCarlo!$B$8)))-(MonteCarlo!$B$7*SQRT(MonteCarlo!$B$8)),TRUE),$A4*EXP(-MonteCarlo!$B$9*MonteCarlo!$B$8)*_xlfn.NORM.S.DIST(-(((LN(AA$1/$A4)+(MonteCarlo!$B$9+(MonteCarlo!$B$7^2)/2)*MonteCarlo!$B$8)/(MonteCarlo!$B$7*SQRT(MonteCarlo!$B$8)))-(MonteCarlo!$B$7*SQRT(MonteCarlo!$B$8))),TRUE)-AA$1*_xlfn.NORM.S.DIST(-((LN(AA$1/$A4)+(MonteCarlo!$B$9+(MonteCarlo!$B$7^2)/2)*MonteCarlo!$B$8)/(MonteCarlo!$B$7*SQRT(MonteCarlo!$B$8))),TRUE)),"")</f>
        <v/>
      </c>
      <c r="AB4" t="str">
        <f ca="1">IFERROR(IF(OR(MonteCarlo!$B$4="C",MonteCarlo!$B$4="c"),AB$1*_xlfn.NORM.S.DIST((LN(AB$1/$A4)+(MonteCarlo!$B$9+(MonteCarlo!$B$7^2)/2)*MonteCarlo!$B$8)/(MonteCarlo!$B$7*SQRT(MonteCarlo!$B$8)),TRUE)-$A4*EXP(-MonteCarlo!$B$9*MonteCarlo!$B$8)*_xlfn.NORM.S.DIST(((LN(AB$1/$A4)+(MonteCarlo!$B$9+(MonteCarlo!$B$7^2)/2)*MonteCarlo!$B$8)/(MonteCarlo!$B$7*SQRT(MonteCarlo!$B$8)))-(MonteCarlo!$B$7*SQRT(MonteCarlo!$B$8)),TRUE),$A4*EXP(-MonteCarlo!$B$9*MonteCarlo!$B$8)*_xlfn.NORM.S.DIST(-(((LN(AB$1/$A4)+(MonteCarlo!$B$9+(MonteCarlo!$B$7^2)/2)*MonteCarlo!$B$8)/(MonteCarlo!$B$7*SQRT(MonteCarlo!$B$8)))-(MonteCarlo!$B$7*SQRT(MonteCarlo!$B$8))),TRUE)-AB$1*_xlfn.NORM.S.DIST(-((LN(AB$1/$A4)+(MonteCarlo!$B$9+(MonteCarlo!$B$7^2)/2)*MonteCarlo!$B$8)/(MonteCarlo!$B$7*SQRT(MonteCarlo!$B$8))),TRUE)),"")</f>
        <v/>
      </c>
      <c r="AC4" t="str">
        <f ca="1">IFERROR(IF(OR(MonteCarlo!$B$4="C",MonteCarlo!$B$4="c"),AC$1*_xlfn.NORM.S.DIST((LN(AC$1/$A4)+(MonteCarlo!$B$9+(MonteCarlo!$B$7^2)/2)*MonteCarlo!$B$8)/(MonteCarlo!$B$7*SQRT(MonteCarlo!$B$8)),TRUE)-$A4*EXP(-MonteCarlo!$B$9*MonteCarlo!$B$8)*_xlfn.NORM.S.DIST(((LN(AC$1/$A4)+(MonteCarlo!$B$9+(MonteCarlo!$B$7^2)/2)*MonteCarlo!$B$8)/(MonteCarlo!$B$7*SQRT(MonteCarlo!$B$8)))-(MonteCarlo!$B$7*SQRT(MonteCarlo!$B$8)),TRUE),$A4*EXP(-MonteCarlo!$B$9*MonteCarlo!$B$8)*_xlfn.NORM.S.DIST(-(((LN(AC$1/$A4)+(MonteCarlo!$B$9+(MonteCarlo!$B$7^2)/2)*MonteCarlo!$B$8)/(MonteCarlo!$B$7*SQRT(MonteCarlo!$B$8)))-(MonteCarlo!$B$7*SQRT(MonteCarlo!$B$8))),TRUE)-AC$1*_xlfn.NORM.S.DIST(-((LN(AC$1/$A4)+(MonteCarlo!$B$9+(MonteCarlo!$B$7^2)/2)*MonteCarlo!$B$8)/(MonteCarlo!$B$7*SQRT(MonteCarlo!$B$8))),TRUE)),"")</f>
        <v/>
      </c>
      <c r="AD4" t="str">
        <f ca="1">IFERROR(IF(OR(MonteCarlo!$B$4="C",MonteCarlo!$B$4="c"),AD$1*_xlfn.NORM.S.DIST((LN(AD$1/$A4)+(MonteCarlo!$B$9+(MonteCarlo!$B$7^2)/2)*MonteCarlo!$B$8)/(MonteCarlo!$B$7*SQRT(MonteCarlo!$B$8)),TRUE)-$A4*EXP(-MonteCarlo!$B$9*MonteCarlo!$B$8)*_xlfn.NORM.S.DIST(((LN(AD$1/$A4)+(MonteCarlo!$B$9+(MonteCarlo!$B$7^2)/2)*MonteCarlo!$B$8)/(MonteCarlo!$B$7*SQRT(MonteCarlo!$B$8)))-(MonteCarlo!$B$7*SQRT(MonteCarlo!$B$8)),TRUE),$A4*EXP(-MonteCarlo!$B$9*MonteCarlo!$B$8)*_xlfn.NORM.S.DIST(-(((LN(AD$1/$A4)+(MonteCarlo!$B$9+(MonteCarlo!$B$7^2)/2)*MonteCarlo!$B$8)/(MonteCarlo!$B$7*SQRT(MonteCarlo!$B$8)))-(MonteCarlo!$B$7*SQRT(MonteCarlo!$B$8))),TRUE)-AD$1*_xlfn.NORM.S.DIST(-((LN(AD$1/$A4)+(MonteCarlo!$B$9+(MonteCarlo!$B$7^2)/2)*MonteCarlo!$B$8)/(MonteCarlo!$B$7*SQRT(MonteCarlo!$B$8))),TRUE)),"")</f>
        <v/>
      </c>
      <c r="AE4" t="str">
        <f ca="1">IFERROR(IF(OR(MonteCarlo!$B$4="C",MonteCarlo!$B$4="c"),AE$1*_xlfn.NORM.S.DIST((LN(AE$1/$A4)+(MonteCarlo!$B$9+(MonteCarlo!$B$7^2)/2)*MonteCarlo!$B$8)/(MonteCarlo!$B$7*SQRT(MonteCarlo!$B$8)),TRUE)-$A4*EXP(-MonteCarlo!$B$9*MonteCarlo!$B$8)*_xlfn.NORM.S.DIST(((LN(AE$1/$A4)+(MonteCarlo!$B$9+(MonteCarlo!$B$7^2)/2)*MonteCarlo!$B$8)/(MonteCarlo!$B$7*SQRT(MonteCarlo!$B$8)))-(MonteCarlo!$B$7*SQRT(MonteCarlo!$B$8)),TRUE),$A4*EXP(-MonteCarlo!$B$9*MonteCarlo!$B$8)*_xlfn.NORM.S.DIST(-(((LN(AE$1/$A4)+(MonteCarlo!$B$9+(MonteCarlo!$B$7^2)/2)*MonteCarlo!$B$8)/(MonteCarlo!$B$7*SQRT(MonteCarlo!$B$8)))-(MonteCarlo!$B$7*SQRT(MonteCarlo!$B$8))),TRUE)-AE$1*_xlfn.NORM.S.DIST(-((LN(AE$1/$A4)+(MonteCarlo!$B$9+(MonteCarlo!$B$7^2)/2)*MonteCarlo!$B$8)/(MonteCarlo!$B$7*SQRT(MonteCarlo!$B$8))),TRUE)),"")</f>
        <v/>
      </c>
      <c r="AF4" t="str">
        <f ca="1">IFERROR(IF(OR(MonteCarlo!$B$4="C",MonteCarlo!$B$4="c"),AF$1*_xlfn.NORM.S.DIST((LN(AF$1/$A4)+(MonteCarlo!$B$9+(MonteCarlo!$B$7^2)/2)*MonteCarlo!$B$8)/(MonteCarlo!$B$7*SQRT(MonteCarlo!$B$8)),TRUE)-$A4*EXP(-MonteCarlo!$B$9*MonteCarlo!$B$8)*_xlfn.NORM.S.DIST(((LN(AF$1/$A4)+(MonteCarlo!$B$9+(MonteCarlo!$B$7^2)/2)*MonteCarlo!$B$8)/(MonteCarlo!$B$7*SQRT(MonteCarlo!$B$8)))-(MonteCarlo!$B$7*SQRT(MonteCarlo!$B$8)),TRUE),$A4*EXP(-MonteCarlo!$B$9*MonteCarlo!$B$8)*_xlfn.NORM.S.DIST(-(((LN(AF$1/$A4)+(MonteCarlo!$B$9+(MonteCarlo!$B$7^2)/2)*MonteCarlo!$B$8)/(MonteCarlo!$B$7*SQRT(MonteCarlo!$B$8)))-(MonteCarlo!$B$7*SQRT(MonteCarlo!$B$8))),TRUE)-AF$1*_xlfn.NORM.S.DIST(-((LN(AF$1/$A4)+(MonteCarlo!$B$9+(MonteCarlo!$B$7^2)/2)*MonteCarlo!$B$8)/(MonteCarlo!$B$7*SQRT(MonteCarlo!$B$8))),TRUE)),"")</f>
        <v/>
      </c>
    </row>
    <row r="5" spans="2:32" x14ac:dyDescent="0.25">
      <c r="B5" t="str">
        <f ca="1">IFERROR(IF(OR(MonteCarlo!$B$4="C",MonteCarlo!$B$4="c"),B$1*_xlfn.NORM.S.DIST((LN(B$1/$A5)+(MonteCarlo!$B$9+(MonteCarlo!$B$7^2)/2)*MonteCarlo!$B$8)/(MonteCarlo!$B$7*SQRT(MonteCarlo!$B$8)),TRUE)-$A5*EXP(-MonteCarlo!$B$9*MonteCarlo!$B$8)*_xlfn.NORM.S.DIST(((LN(B$1/$A5)+(MonteCarlo!$B$9+(MonteCarlo!$B$7^2)/2)*MonteCarlo!$B$8)/(MonteCarlo!$B$7*SQRT(MonteCarlo!$B$8)))-(MonteCarlo!$B$7*SQRT(MonteCarlo!$B$8)),TRUE),$A5*EXP(-MonteCarlo!$B$9*MonteCarlo!$B$8)*_xlfn.NORM.S.DIST(-(((LN(B$1/$A5)+(MonteCarlo!$B$9+(MonteCarlo!$B$7^2)/2)*MonteCarlo!$B$8)/(MonteCarlo!$B$7*SQRT(MonteCarlo!$B$8)))-(MonteCarlo!$B$7*SQRT(MonteCarlo!$B$8))),TRUE)-B$1*_xlfn.NORM.S.DIST(-((LN(B$1/$A5)+(MonteCarlo!$B$9+(MonteCarlo!$B$7^2)/2)*MonteCarlo!$B$8)/(MonteCarlo!$B$7*SQRT(MonteCarlo!$B$8))),TRUE)),"")</f>
        <v/>
      </c>
      <c r="C5" t="str">
        <f ca="1">IFERROR(IF(OR(MonteCarlo!$B$4="C",MonteCarlo!$B$4="c"),C$1*_xlfn.NORM.S.DIST((LN(C$1/$A5)+(MonteCarlo!$B$9+(MonteCarlo!$B$7^2)/2)*MonteCarlo!$B$8)/(MonteCarlo!$B$7*SQRT(MonteCarlo!$B$8)),TRUE)-$A5*EXP(-MonteCarlo!$B$9*MonteCarlo!$B$8)*_xlfn.NORM.S.DIST(((LN(C$1/$A5)+(MonteCarlo!$B$9+(MonteCarlo!$B$7^2)/2)*MonteCarlo!$B$8)/(MonteCarlo!$B$7*SQRT(MonteCarlo!$B$8)))-(MonteCarlo!$B$7*SQRT(MonteCarlo!$B$8)),TRUE),$A5*EXP(-MonteCarlo!$B$9*MonteCarlo!$B$8)*_xlfn.NORM.S.DIST(-(((LN(C$1/$A5)+(MonteCarlo!$B$9+(MonteCarlo!$B$7^2)/2)*MonteCarlo!$B$8)/(MonteCarlo!$B$7*SQRT(MonteCarlo!$B$8)))-(MonteCarlo!$B$7*SQRT(MonteCarlo!$B$8))),TRUE)-C$1*_xlfn.NORM.S.DIST(-((LN(C$1/$A5)+(MonteCarlo!$B$9+(MonteCarlo!$B$7^2)/2)*MonteCarlo!$B$8)/(MonteCarlo!$B$7*SQRT(MonteCarlo!$B$8))),TRUE)),"")</f>
        <v/>
      </c>
      <c r="D5" t="str">
        <f ca="1">IFERROR(IF(OR(MonteCarlo!$B$4="C",MonteCarlo!$B$4="c"),D$1*_xlfn.NORM.S.DIST((LN(D$1/$A5)+(MonteCarlo!$B$9+(MonteCarlo!$B$7^2)/2)*MonteCarlo!$B$8)/(MonteCarlo!$B$7*SQRT(MonteCarlo!$B$8)),TRUE)-$A5*EXP(-MonteCarlo!$B$9*MonteCarlo!$B$8)*_xlfn.NORM.S.DIST(((LN(D$1/$A5)+(MonteCarlo!$B$9+(MonteCarlo!$B$7^2)/2)*MonteCarlo!$B$8)/(MonteCarlo!$B$7*SQRT(MonteCarlo!$B$8)))-(MonteCarlo!$B$7*SQRT(MonteCarlo!$B$8)),TRUE),$A5*EXP(-MonteCarlo!$B$9*MonteCarlo!$B$8)*_xlfn.NORM.S.DIST(-(((LN(D$1/$A5)+(MonteCarlo!$B$9+(MonteCarlo!$B$7^2)/2)*MonteCarlo!$B$8)/(MonteCarlo!$B$7*SQRT(MonteCarlo!$B$8)))-(MonteCarlo!$B$7*SQRT(MonteCarlo!$B$8))),TRUE)-D$1*_xlfn.NORM.S.DIST(-((LN(D$1/$A5)+(MonteCarlo!$B$9+(MonteCarlo!$B$7^2)/2)*MonteCarlo!$B$8)/(MonteCarlo!$B$7*SQRT(MonteCarlo!$B$8))),TRUE)),"")</f>
        <v/>
      </c>
      <c r="E5" t="str">
        <f ca="1">IFERROR(IF(OR(MonteCarlo!$B$4="C",MonteCarlo!$B$4="c"),E$1*_xlfn.NORM.S.DIST((LN(E$1/$A5)+(MonteCarlo!$B$9+(MonteCarlo!$B$7^2)/2)*MonteCarlo!$B$8)/(MonteCarlo!$B$7*SQRT(MonteCarlo!$B$8)),TRUE)-$A5*EXP(-MonteCarlo!$B$9*MonteCarlo!$B$8)*_xlfn.NORM.S.DIST(((LN(E$1/$A5)+(MonteCarlo!$B$9+(MonteCarlo!$B$7^2)/2)*MonteCarlo!$B$8)/(MonteCarlo!$B$7*SQRT(MonteCarlo!$B$8)))-(MonteCarlo!$B$7*SQRT(MonteCarlo!$B$8)),TRUE),$A5*EXP(-MonteCarlo!$B$9*MonteCarlo!$B$8)*_xlfn.NORM.S.DIST(-(((LN(E$1/$A5)+(MonteCarlo!$B$9+(MonteCarlo!$B$7^2)/2)*MonteCarlo!$B$8)/(MonteCarlo!$B$7*SQRT(MonteCarlo!$B$8)))-(MonteCarlo!$B$7*SQRT(MonteCarlo!$B$8))),TRUE)-E$1*_xlfn.NORM.S.DIST(-((LN(E$1/$A5)+(MonteCarlo!$B$9+(MonteCarlo!$B$7^2)/2)*MonteCarlo!$B$8)/(MonteCarlo!$B$7*SQRT(MonteCarlo!$B$8))),TRUE)),"")</f>
        <v/>
      </c>
      <c r="F5" t="str">
        <f ca="1">IFERROR(IF(OR(MonteCarlo!$B$4="C",MonteCarlo!$B$4="c"),F$1*_xlfn.NORM.S.DIST((LN(F$1/$A5)+(MonteCarlo!$B$9+(MonteCarlo!$B$7^2)/2)*MonteCarlo!$B$8)/(MonteCarlo!$B$7*SQRT(MonteCarlo!$B$8)),TRUE)-$A5*EXP(-MonteCarlo!$B$9*MonteCarlo!$B$8)*_xlfn.NORM.S.DIST(((LN(F$1/$A5)+(MonteCarlo!$B$9+(MonteCarlo!$B$7^2)/2)*MonteCarlo!$B$8)/(MonteCarlo!$B$7*SQRT(MonteCarlo!$B$8)))-(MonteCarlo!$B$7*SQRT(MonteCarlo!$B$8)),TRUE),$A5*EXP(-MonteCarlo!$B$9*MonteCarlo!$B$8)*_xlfn.NORM.S.DIST(-(((LN(F$1/$A5)+(MonteCarlo!$B$9+(MonteCarlo!$B$7^2)/2)*MonteCarlo!$B$8)/(MonteCarlo!$B$7*SQRT(MonteCarlo!$B$8)))-(MonteCarlo!$B$7*SQRT(MonteCarlo!$B$8))),TRUE)-F$1*_xlfn.NORM.S.DIST(-((LN(F$1/$A5)+(MonteCarlo!$B$9+(MonteCarlo!$B$7^2)/2)*MonteCarlo!$B$8)/(MonteCarlo!$B$7*SQRT(MonteCarlo!$B$8))),TRUE)),"")</f>
        <v/>
      </c>
      <c r="G5" t="str">
        <f ca="1">IFERROR(IF(OR(MonteCarlo!$B$4="C",MonteCarlo!$B$4="c"),G$1*_xlfn.NORM.S.DIST((LN(G$1/$A5)+(MonteCarlo!$B$9+(MonteCarlo!$B$7^2)/2)*MonteCarlo!$B$8)/(MonteCarlo!$B$7*SQRT(MonteCarlo!$B$8)),TRUE)-$A5*EXP(-MonteCarlo!$B$9*MonteCarlo!$B$8)*_xlfn.NORM.S.DIST(((LN(G$1/$A5)+(MonteCarlo!$B$9+(MonteCarlo!$B$7^2)/2)*MonteCarlo!$B$8)/(MonteCarlo!$B$7*SQRT(MonteCarlo!$B$8)))-(MonteCarlo!$B$7*SQRT(MonteCarlo!$B$8)),TRUE),$A5*EXP(-MonteCarlo!$B$9*MonteCarlo!$B$8)*_xlfn.NORM.S.DIST(-(((LN(G$1/$A5)+(MonteCarlo!$B$9+(MonteCarlo!$B$7^2)/2)*MonteCarlo!$B$8)/(MonteCarlo!$B$7*SQRT(MonteCarlo!$B$8)))-(MonteCarlo!$B$7*SQRT(MonteCarlo!$B$8))),TRUE)-G$1*_xlfn.NORM.S.DIST(-((LN(G$1/$A5)+(MonteCarlo!$B$9+(MonteCarlo!$B$7^2)/2)*MonteCarlo!$B$8)/(MonteCarlo!$B$7*SQRT(MonteCarlo!$B$8))),TRUE)),"")</f>
        <v/>
      </c>
      <c r="H5" t="str">
        <f ca="1">IFERROR(IF(OR(MonteCarlo!$B$4="C",MonteCarlo!$B$4="c"),H$1*_xlfn.NORM.S.DIST((LN(H$1/$A5)+(MonteCarlo!$B$9+(MonteCarlo!$B$7^2)/2)*MonteCarlo!$B$8)/(MonteCarlo!$B$7*SQRT(MonteCarlo!$B$8)),TRUE)-$A5*EXP(-MonteCarlo!$B$9*MonteCarlo!$B$8)*_xlfn.NORM.S.DIST(((LN(H$1/$A5)+(MonteCarlo!$B$9+(MonteCarlo!$B$7^2)/2)*MonteCarlo!$B$8)/(MonteCarlo!$B$7*SQRT(MonteCarlo!$B$8)))-(MonteCarlo!$B$7*SQRT(MonteCarlo!$B$8)),TRUE),$A5*EXP(-MonteCarlo!$B$9*MonteCarlo!$B$8)*_xlfn.NORM.S.DIST(-(((LN(H$1/$A5)+(MonteCarlo!$B$9+(MonteCarlo!$B$7^2)/2)*MonteCarlo!$B$8)/(MonteCarlo!$B$7*SQRT(MonteCarlo!$B$8)))-(MonteCarlo!$B$7*SQRT(MonteCarlo!$B$8))),TRUE)-H$1*_xlfn.NORM.S.DIST(-((LN(H$1/$A5)+(MonteCarlo!$B$9+(MonteCarlo!$B$7^2)/2)*MonteCarlo!$B$8)/(MonteCarlo!$B$7*SQRT(MonteCarlo!$B$8))),TRUE)),"")</f>
        <v/>
      </c>
      <c r="I5" t="str">
        <f ca="1">IFERROR(IF(OR(MonteCarlo!$B$4="C",MonteCarlo!$B$4="c"),I$1*_xlfn.NORM.S.DIST((LN(I$1/$A5)+(MonteCarlo!$B$9+(MonteCarlo!$B$7^2)/2)*MonteCarlo!$B$8)/(MonteCarlo!$B$7*SQRT(MonteCarlo!$B$8)),TRUE)-$A5*EXP(-MonteCarlo!$B$9*MonteCarlo!$B$8)*_xlfn.NORM.S.DIST(((LN(I$1/$A5)+(MonteCarlo!$B$9+(MonteCarlo!$B$7^2)/2)*MonteCarlo!$B$8)/(MonteCarlo!$B$7*SQRT(MonteCarlo!$B$8)))-(MonteCarlo!$B$7*SQRT(MonteCarlo!$B$8)),TRUE),$A5*EXP(-MonteCarlo!$B$9*MonteCarlo!$B$8)*_xlfn.NORM.S.DIST(-(((LN(I$1/$A5)+(MonteCarlo!$B$9+(MonteCarlo!$B$7^2)/2)*MonteCarlo!$B$8)/(MonteCarlo!$B$7*SQRT(MonteCarlo!$B$8)))-(MonteCarlo!$B$7*SQRT(MonteCarlo!$B$8))),TRUE)-I$1*_xlfn.NORM.S.DIST(-((LN(I$1/$A5)+(MonteCarlo!$B$9+(MonteCarlo!$B$7^2)/2)*MonteCarlo!$B$8)/(MonteCarlo!$B$7*SQRT(MonteCarlo!$B$8))),TRUE)),"")</f>
        <v/>
      </c>
      <c r="J5" t="str">
        <f ca="1">IFERROR(IF(OR(MonteCarlo!$B$4="C",MonteCarlo!$B$4="c"),J$1*_xlfn.NORM.S.DIST((LN(J$1/$A5)+(MonteCarlo!$B$9+(MonteCarlo!$B$7^2)/2)*MonteCarlo!$B$8)/(MonteCarlo!$B$7*SQRT(MonteCarlo!$B$8)),TRUE)-$A5*EXP(-MonteCarlo!$B$9*MonteCarlo!$B$8)*_xlfn.NORM.S.DIST(((LN(J$1/$A5)+(MonteCarlo!$B$9+(MonteCarlo!$B$7^2)/2)*MonteCarlo!$B$8)/(MonteCarlo!$B$7*SQRT(MonteCarlo!$B$8)))-(MonteCarlo!$B$7*SQRT(MonteCarlo!$B$8)),TRUE),$A5*EXP(-MonteCarlo!$B$9*MonteCarlo!$B$8)*_xlfn.NORM.S.DIST(-(((LN(J$1/$A5)+(MonteCarlo!$B$9+(MonteCarlo!$B$7^2)/2)*MonteCarlo!$B$8)/(MonteCarlo!$B$7*SQRT(MonteCarlo!$B$8)))-(MonteCarlo!$B$7*SQRT(MonteCarlo!$B$8))),TRUE)-J$1*_xlfn.NORM.S.DIST(-((LN(J$1/$A5)+(MonteCarlo!$B$9+(MonteCarlo!$B$7^2)/2)*MonteCarlo!$B$8)/(MonteCarlo!$B$7*SQRT(MonteCarlo!$B$8))),TRUE)),"")</f>
        <v/>
      </c>
      <c r="K5" t="str">
        <f ca="1">IFERROR(IF(OR(MonteCarlo!$B$4="C",MonteCarlo!$B$4="c"),K$1*_xlfn.NORM.S.DIST((LN(K$1/$A5)+(MonteCarlo!$B$9+(MonteCarlo!$B$7^2)/2)*MonteCarlo!$B$8)/(MonteCarlo!$B$7*SQRT(MonteCarlo!$B$8)),TRUE)-$A5*EXP(-MonteCarlo!$B$9*MonteCarlo!$B$8)*_xlfn.NORM.S.DIST(((LN(K$1/$A5)+(MonteCarlo!$B$9+(MonteCarlo!$B$7^2)/2)*MonteCarlo!$B$8)/(MonteCarlo!$B$7*SQRT(MonteCarlo!$B$8)))-(MonteCarlo!$B$7*SQRT(MonteCarlo!$B$8)),TRUE),$A5*EXP(-MonteCarlo!$B$9*MonteCarlo!$B$8)*_xlfn.NORM.S.DIST(-(((LN(K$1/$A5)+(MonteCarlo!$B$9+(MonteCarlo!$B$7^2)/2)*MonteCarlo!$B$8)/(MonteCarlo!$B$7*SQRT(MonteCarlo!$B$8)))-(MonteCarlo!$B$7*SQRT(MonteCarlo!$B$8))),TRUE)-K$1*_xlfn.NORM.S.DIST(-((LN(K$1/$A5)+(MonteCarlo!$B$9+(MonteCarlo!$B$7^2)/2)*MonteCarlo!$B$8)/(MonteCarlo!$B$7*SQRT(MonteCarlo!$B$8))),TRUE)),"")</f>
        <v/>
      </c>
      <c r="L5" t="str">
        <f ca="1">IFERROR(IF(OR(MonteCarlo!$B$4="C",MonteCarlo!$B$4="c"),L$1*_xlfn.NORM.S.DIST((LN(L$1/$A5)+(MonteCarlo!$B$9+(MonteCarlo!$B$7^2)/2)*MonteCarlo!$B$8)/(MonteCarlo!$B$7*SQRT(MonteCarlo!$B$8)),TRUE)-$A5*EXP(-MonteCarlo!$B$9*MonteCarlo!$B$8)*_xlfn.NORM.S.DIST(((LN(L$1/$A5)+(MonteCarlo!$B$9+(MonteCarlo!$B$7^2)/2)*MonteCarlo!$B$8)/(MonteCarlo!$B$7*SQRT(MonteCarlo!$B$8)))-(MonteCarlo!$B$7*SQRT(MonteCarlo!$B$8)),TRUE),$A5*EXP(-MonteCarlo!$B$9*MonteCarlo!$B$8)*_xlfn.NORM.S.DIST(-(((LN(L$1/$A5)+(MonteCarlo!$B$9+(MonteCarlo!$B$7^2)/2)*MonteCarlo!$B$8)/(MonteCarlo!$B$7*SQRT(MonteCarlo!$B$8)))-(MonteCarlo!$B$7*SQRT(MonteCarlo!$B$8))),TRUE)-L$1*_xlfn.NORM.S.DIST(-((LN(L$1/$A5)+(MonteCarlo!$B$9+(MonteCarlo!$B$7^2)/2)*MonteCarlo!$B$8)/(MonteCarlo!$B$7*SQRT(MonteCarlo!$B$8))),TRUE)),"")</f>
        <v/>
      </c>
      <c r="M5" t="str">
        <f ca="1">IFERROR(IF(OR(MonteCarlo!$B$4="C",MonteCarlo!$B$4="c"),M$1*_xlfn.NORM.S.DIST((LN(M$1/$A5)+(MonteCarlo!$B$9+(MonteCarlo!$B$7^2)/2)*MonteCarlo!$B$8)/(MonteCarlo!$B$7*SQRT(MonteCarlo!$B$8)),TRUE)-$A5*EXP(-MonteCarlo!$B$9*MonteCarlo!$B$8)*_xlfn.NORM.S.DIST(((LN(M$1/$A5)+(MonteCarlo!$B$9+(MonteCarlo!$B$7^2)/2)*MonteCarlo!$B$8)/(MonteCarlo!$B$7*SQRT(MonteCarlo!$B$8)))-(MonteCarlo!$B$7*SQRT(MonteCarlo!$B$8)),TRUE),$A5*EXP(-MonteCarlo!$B$9*MonteCarlo!$B$8)*_xlfn.NORM.S.DIST(-(((LN(M$1/$A5)+(MonteCarlo!$B$9+(MonteCarlo!$B$7^2)/2)*MonteCarlo!$B$8)/(MonteCarlo!$B$7*SQRT(MonteCarlo!$B$8)))-(MonteCarlo!$B$7*SQRT(MonteCarlo!$B$8))),TRUE)-M$1*_xlfn.NORM.S.DIST(-((LN(M$1/$A5)+(MonteCarlo!$B$9+(MonteCarlo!$B$7^2)/2)*MonteCarlo!$B$8)/(MonteCarlo!$B$7*SQRT(MonteCarlo!$B$8))),TRUE)),"")</f>
        <v/>
      </c>
      <c r="N5" t="str">
        <f ca="1">IFERROR(IF(OR(MonteCarlo!$B$4="C",MonteCarlo!$B$4="c"),N$1*_xlfn.NORM.S.DIST((LN(N$1/$A5)+(MonteCarlo!$B$9+(MonteCarlo!$B$7^2)/2)*MonteCarlo!$B$8)/(MonteCarlo!$B$7*SQRT(MonteCarlo!$B$8)),TRUE)-$A5*EXP(-MonteCarlo!$B$9*MonteCarlo!$B$8)*_xlfn.NORM.S.DIST(((LN(N$1/$A5)+(MonteCarlo!$B$9+(MonteCarlo!$B$7^2)/2)*MonteCarlo!$B$8)/(MonteCarlo!$B$7*SQRT(MonteCarlo!$B$8)))-(MonteCarlo!$B$7*SQRT(MonteCarlo!$B$8)),TRUE),$A5*EXP(-MonteCarlo!$B$9*MonteCarlo!$B$8)*_xlfn.NORM.S.DIST(-(((LN(N$1/$A5)+(MonteCarlo!$B$9+(MonteCarlo!$B$7^2)/2)*MonteCarlo!$B$8)/(MonteCarlo!$B$7*SQRT(MonteCarlo!$B$8)))-(MonteCarlo!$B$7*SQRT(MonteCarlo!$B$8))),TRUE)-N$1*_xlfn.NORM.S.DIST(-((LN(N$1/$A5)+(MonteCarlo!$B$9+(MonteCarlo!$B$7^2)/2)*MonteCarlo!$B$8)/(MonteCarlo!$B$7*SQRT(MonteCarlo!$B$8))),TRUE)),"")</f>
        <v/>
      </c>
      <c r="O5" t="str">
        <f ca="1">IFERROR(IF(OR(MonteCarlo!$B$4="C",MonteCarlo!$B$4="c"),O$1*_xlfn.NORM.S.DIST((LN(O$1/$A5)+(MonteCarlo!$B$9+(MonteCarlo!$B$7^2)/2)*MonteCarlo!$B$8)/(MonteCarlo!$B$7*SQRT(MonteCarlo!$B$8)),TRUE)-$A5*EXP(-MonteCarlo!$B$9*MonteCarlo!$B$8)*_xlfn.NORM.S.DIST(((LN(O$1/$A5)+(MonteCarlo!$B$9+(MonteCarlo!$B$7^2)/2)*MonteCarlo!$B$8)/(MonteCarlo!$B$7*SQRT(MonteCarlo!$B$8)))-(MonteCarlo!$B$7*SQRT(MonteCarlo!$B$8)),TRUE),$A5*EXP(-MonteCarlo!$B$9*MonteCarlo!$B$8)*_xlfn.NORM.S.DIST(-(((LN(O$1/$A5)+(MonteCarlo!$B$9+(MonteCarlo!$B$7^2)/2)*MonteCarlo!$B$8)/(MonteCarlo!$B$7*SQRT(MonteCarlo!$B$8)))-(MonteCarlo!$B$7*SQRT(MonteCarlo!$B$8))),TRUE)-O$1*_xlfn.NORM.S.DIST(-((LN(O$1/$A5)+(MonteCarlo!$B$9+(MonteCarlo!$B$7^2)/2)*MonteCarlo!$B$8)/(MonteCarlo!$B$7*SQRT(MonteCarlo!$B$8))),TRUE)),"")</f>
        <v/>
      </c>
      <c r="P5" t="str">
        <f ca="1">IFERROR(IF(OR(MonteCarlo!$B$4="C",MonteCarlo!$B$4="c"),P$1*_xlfn.NORM.S.DIST((LN(P$1/$A5)+(MonteCarlo!$B$9+(MonteCarlo!$B$7^2)/2)*MonteCarlo!$B$8)/(MonteCarlo!$B$7*SQRT(MonteCarlo!$B$8)),TRUE)-$A5*EXP(-MonteCarlo!$B$9*MonteCarlo!$B$8)*_xlfn.NORM.S.DIST(((LN(P$1/$A5)+(MonteCarlo!$B$9+(MonteCarlo!$B$7^2)/2)*MonteCarlo!$B$8)/(MonteCarlo!$B$7*SQRT(MonteCarlo!$B$8)))-(MonteCarlo!$B$7*SQRT(MonteCarlo!$B$8)),TRUE),$A5*EXP(-MonteCarlo!$B$9*MonteCarlo!$B$8)*_xlfn.NORM.S.DIST(-(((LN(P$1/$A5)+(MonteCarlo!$B$9+(MonteCarlo!$B$7^2)/2)*MonteCarlo!$B$8)/(MonteCarlo!$B$7*SQRT(MonteCarlo!$B$8)))-(MonteCarlo!$B$7*SQRT(MonteCarlo!$B$8))),TRUE)-P$1*_xlfn.NORM.S.DIST(-((LN(P$1/$A5)+(MonteCarlo!$B$9+(MonteCarlo!$B$7^2)/2)*MonteCarlo!$B$8)/(MonteCarlo!$B$7*SQRT(MonteCarlo!$B$8))),TRUE)),"")</f>
        <v/>
      </c>
      <c r="Q5" t="str">
        <f ca="1">IFERROR(IF(OR(MonteCarlo!$B$4="C",MonteCarlo!$B$4="c"),Q$1*_xlfn.NORM.S.DIST((LN(Q$1/$A5)+(MonteCarlo!$B$9+(MonteCarlo!$B$7^2)/2)*MonteCarlo!$B$8)/(MonteCarlo!$B$7*SQRT(MonteCarlo!$B$8)),TRUE)-$A5*EXP(-MonteCarlo!$B$9*MonteCarlo!$B$8)*_xlfn.NORM.S.DIST(((LN(Q$1/$A5)+(MonteCarlo!$B$9+(MonteCarlo!$B$7^2)/2)*MonteCarlo!$B$8)/(MonteCarlo!$B$7*SQRT(MonteCarlo!$B$8)))-(MonteCarlo!$B$7*SQRT(MonteCarlo!$B$8)),TRUE),$A5*EXP(-MonteCarlo!$B$9*MonteCarlo!$B$8)*_xlfn.NORM.S.DIST(-(((LN(Q$1/$A5)+(MonteCarlo!$B$9+(MonteCarlo!$B$7^2)/2)*MonteCarlo!$B$8)/(MonteCarlo!$B$7*SQRT(MonteCarlo!$B$8)))-(MonteCarlo!$B$7*SQRT(MonteCarlo!$B$8))),TRUE)-Q$1*_xlfn.NORM.S.DIST(-((LN(Q$1/$A5)+(MonteCarlo!$B$9+(MonteCarlo!$B$7^2)/2)*MonteCarlo!$B$8)/(MonteCarlo!$B$7*SQRT(MonteCarlo!$B$8))),TRUE)),"")</f>
        <v/>
      </c>
      <c r="R5" t="str">
        <f ca="1">IFERROR(IF(OR(MonteCarlo!$B$4="C",MonteCarlo!$B$4="c"),R$1*_xlfn.NORM.S.DIST((LN(R$1/$A5)+(MonteCarlo!$B$9+(MonteCarlo!$B$7^2)/2)*MonteCarlo!$B$8)/(MonteCarlo!$B$7*SQRT(MonteCarlo!$B$8)),TRUE)-$A5*EXP(-MonteCarlo!$B$9*MonteCarlo!$B$8)*_xlfn.NORM.S.DIST(((LN(R$1/$A5)+(MonteCarlo!$B$9+(MonteCarlo!$B$7^2)/2)*MonteCarlo!$B$8)/(MonteCarlo!$B$7*SQRT(MonteCarlo!$B$8)))-(MonteCarlo!$B$7*SQRT(MonteCarlo!$B$8)),TRUE),$A5*EXP(-MonteCarlo!$B$9*MonteCarlo!$B$8)*_xlfn.NORM.S.DIST(-(((LN(R$1/$A5)+(MonteCarlo!$B$9+(MonteCarlo!$B$7^2)/2)*MonteCarlo!$B$8)/(MonteCarlo!$B$7*SQRT(MonteCarlo!$B$8)))-(MonteCarlo!$B$7*SQRT(MonteCarlo!$B$8))),TRUE)-R$1*_xlfn.NORM.S.DIST(-((LN(R$1/$A5)+(MonteCarlo!$B$9+(MonteCarlo!$B$7^2)/2)*MonteCarlo!$B$8)/(MonteCarlo!$B$7*SQRT(MonteCarlo!$B$8))),TRUE)),"")</f>
        <v/>
      </c>
      <c r="S5" t="str">
        <f ca="1">IFERROR(IF(OR(MonteCarlo!$B$4="C",MonteCarlo!$B$4="c"),S$1*_xlfn.NORM.S.DIST((LN(S$1/$A5)+(MonteCarlo!$B$9+(MonteCarlo!$B$7^2)/2)*MonteCarlo!$B$8)/(MonteCarlo!$B$7*SQRT(MonteCarlo!$B$8)),TRUE)-$A5*EXP(-MonteCarlo!$B$9*MonteCarlo!$B$8)*_xlfn.NORM.S.DIST(((LN(S$1/$A5)+(MonteCarlo!$B$9+(MonteCarlo!$B$7^2)/2)*MonteCarlo!$B$8)/(MonteCarlo!$B$7*SQRT(MonteCarlo!$B$8)))-(MonteCarlo!$B$7*SQRT(MonteCarlo!$B$8)),TRUE),$A5*EXP(-MonteCarlo!$B$9*MonteCarlo!$B$8)*_xlfn.NORM.S.DIST(-(((LN(S$1/$A5)+(MonteCarlo!$B$9+(MonteCarlo!$B$7^2)/2)*MonteCarlo!$B$8)/(MonteCarlo!$B$7*SQRT(MonteCarlo!$B$8)))-(MonteCarlo!$B$7*SQRT(MonteCarlo!$B$8))),TRUE)-S$1*_xlfn.NORM.S.DIST(-((LN(S$1/$A5)+(MonteCarlo!$B$9+(MonteCarlo!$B$7^2)/2)*MonteCarlo!$B$8)/(MonteCarlo!$B$7*SQRT(MonteCarlo!$B$8))),TRUE)),"")</f>
        <v/>
      </c>
      <c r="T5" t="str">
        <f ca="1">IFERROR(IF(OR(MonteCarlo!$B$4="C",MonteCarlo!$B$4="c"),T$1*_xlfn.NORM.S.DIST((LN(T$1/$A5)+(MonteCarlo!$B$9+(MonteCarlo!$B$7^2)/2)*MonteCarlo!$B$8)/(MonteCarlo!$B$7*SQRT(MonteCarlo!$B$8)),TRUE)-$A5*EXP(-MonteCarlo!$B$9*MonteCarlo!$B$8)*_xlfn.NORM.S.DIST(((LN(T$1/$A5)+(MonteCarlo!$B$9+(MonteCarlo!$B$7^2)/2)*MonteCarlo!$B$8)/(MonteCarlo!$B$7*SQRT(MonteCarlo!$B$8)))-(MonteCarlo!$B$7*SQRT(MonteCarlo!$B$8)),TRUE),$A5*EXP(-MonteCarlo!$B$9*MonteCarlo!$B$8)*_xlfn.NORM.S.DIST(-(((LN(T$1/$A5)+(MonteCarlo!$B$9+(MonteCarlo!$B$7^2)/2)*MonteCarlo!$B$8)/(MonteCarlo!$B$7*SQRT(MonteCarlo!$B$8)))-(MonteCarlo!$B$7*SQRT(MonteCarlo!$B$8))),TRUE)-T$1*_xlfn.NORM.S.DIST(-((LN(T$1/$A5)+(MonteCarlo!$B$9+(MonteCarlo!$B$7^2)/2)*MonteCarlo!$B$8)/(MonteCarlo!$B$7*SQRT(MonteCarlo!$B$8))),TRUE)),"")</f>
        <v/>
      </c>
      <c r="U5" t="str">
        <f ca="1">IFERROR(IF(OR(MonteCarlo!$B$4="C",MonteCarlo!$B$4="c"),U$1*_xlfn.NORM.S.DIST((LN(U$1/$A5)+(MonteCarlo!$B$9+(MonteCarlo!$B$7^2)/2)*MonteCarlo!$B$8)/(MonteCarlo!$B$7*SQRT(MonteCarlo!$B$8)),TRUE)-$A5*EXP(-MonteCarlo!$B$9*MonteCarlo!$B$8)*_xlfn.NORM.S.DIST(((LN(U$1/$A5)+(MonteCarlo!$B$9+(MonteCarlo!$B$7^2)/2)*MonteCarlo!$B$8)/(MonteCarlo!$B$7*SQRT(MonteCarlo!$B$8)))-(MonteCarlo!$B$7*SQRT(MonteCarlo!$B$8)),TRUE),$A5*EXP(-MonteCarlo!$B$9*MonteCarlo!$B$8)*_xlfn.NORM.S.DIST(-(((LN(U$1/$A5)+(MonteCarlo!$B$9+(MonteCarlo!$B$7^2)/2)*MonteCarlo!$B$8)/(MonteCarlo!$B$7*SQRT(MonteCarlo!$B$8)))-(MonteCarlo!$B$7*SQRT(MonteCarlo!$B$8))),TRUE)-U$1*_xlfn.NORM.S.DIST(-((LN(U$1/$A5)+(MonteCarlo!$B$9+(MonteCarlo!$B$7^2)/2)*MonteCarlo!$B$8)/(MonteCarlo!$B$7*SQRT(MonteCarlo!$B$8))),TRUE)),"")</f>
        <v/>
      </c>
      <c r="V5" t="str">
        <f ca="1">IFERROR(IF(OR(MonteCarlo!$B$4="C",MonteCarlo!$B$4="c"),V$1*_xlfn.NORM.S.DIST((LN(V$1/$A5)+(MonteCarlo!$B$9+(MonteCarlo!$B$7^2)/2)*MonteCarlo!$B$8)/(MonteCarlo!$B$7*SQRT(MonteCarlo!$B$8)),TRUE)-$A5*EXP(-MonteCarlo!$B$9*MonteCarlo!$B$8)*_xlfn.NORM.S.DIST(((LN(V$1/$A5)+(MonteCarlo!$B$9+(MonteCarlo!$B$7^2)/2)*MonteCarlo!$B$8)/(MonteCarlo!$B$7*SQRT(MonteCarlo!$B$8)))-(MonteCarlo!$B$7*SQRT(MonteCarlo!$B$8)),TRUE),$A5*EXP(-MonteCarlo!$B$9*MonteCarlo!$B$8)*_xlfn.NORM.S.DIST(-(((LN(V$1/$A5)+(MonteCarlo!$B$9+(MonteCarlo!$B$7^2)/2)*MonteCarlo!$B$8)/(MonteCarlo!$B$7*SQRT(MonteCarlo!$B$8)))-(MonteCarlo!$B$7*SQRT(MonteCarlo!$B$8))),TRUE)-V$1*_xlfn.NORM.S.DIST(-((LN(V$1/$A5)+(MonteCarlo!$B$9+(MonteCarlo!$B$7^2)/2)*MonteCarlo!$B$8)/(MonteCarlo!$B$7*SQRT(MonteCarlo!$B$8))),TRUE)),"")</f>
        <v/>
      </c>
      <c r="W5" t="str">
        <f ca="1">IFERROR(IF(OR(MonteCarlo!$B$4="C",MonteCarlo!$B$4="c"),W$1*_xlfn.NORM.S.DIST((LN(W$1/$A5)+(MonteCarlo!$B$9+(MonteCarlo!$B$7^2)/2)*MonteCarlo!$B$8)/(MonteCarlo!$B$7*SQRT(MonteCarlo!$B$8)),TRUE)-$A5*EXP(-MonteCarlo!$B$9*MonteCarlo!$B$8)*_xlfn.NORM.S.DIST(((LN(W$1/$A5)+(MonteCarlo!$B$9+(MonteCarlo!$B$7^2)/2)*MonteCarlo!$B$8)/(MonteCarlo!$B$7*SQRT(MonteCarlo!$B$8)))-(MonteCarlo!$B$7*SQRT(MonteCarlo!$B$8)),TRUE),$A5*EXP(-MonteCarlo!$B$9*MonteCarlo!$B$8)*_xlfn.NORM.S.DIST(-(((LN(W$1/$A5)+(MonteCarlo!$B$9+(MonteCarlo!$B$7^2)/2)*MonteCarlo!$B$8)/(MonteCarlo!$B$7*SQRT(MonteCarlo!$B$8)))-(MonteCarlo!$B$7*SQRT(MonteCarlo!$B$8))),TRUE)-W$1*_xlfn.NORM.S.DIST(-((LN(W$1/$A5)+(MonteCarlo!$B$9+(MonteCarlo!$B$7^2)/2)*MonteCarlo!$B$8)/(MonteCarlo!$B$7*SQRT(MonteCarlo!$B$8))),TRUE)),"")</f>
        <v/>
      </c>
      <c r="X5" t="str">
        <f ca="1">IFERROR(IF(OR(MonteCarlo!$B$4="C",MonteCarlo!$B$4="c"),X$1*_xlfn.NORM.S.DIST((LN(X$1/$A5)+(MonteCarlo!$B$9+(MonteCarlo!$B$7^2)/2)*MonteCarlo!$B$8)/(MonteCarlo!$B$7*SQRT(MonteCarlo!$B$8)),TRUE)-$A5*EXP(-MonteCarlo!$B$9*MonteCarlo!$B$8)*_xlfn.NORM.S.DIST(((LN(X$1/$A5)+(MonteCarlo!$B$9+(MonteCarlo!$B$7^2)/2)*MonteCarlo!$B$8)/(MonteCarlo!$B$7*SQRT(MonteCarlo!$B$8)))-(MonteCarlo!$B$7*SQRT(MonteCarlo!$B$8)),TRUE),$A5*EXP(-MonteCarlo!$B$9*MonteCarlo!$B$8)*_xlfn.NORM.S.DIST(-(((LN(X$1/$A5)+(MonteCarlo!$B$9+(MonteCarlo!$B$7^2)/2)*MonteCarlo!$B$8)/(MonteCarlo!$B$7*SQRT(MonteCarlo!$B$8)))-(MonteCarlo!$B$7*SQRT(MonteCarlo!$B$8))),TRUE)-X$1*_xlfn.NORM.S.DIST(-((LN(X$1/$A5)+(MonteCarlo!$B$9+(MonteCarlo!$B$7^2)/2)*MonteCarlo!$B$8)/(MonteCarlo!$B$7*SQRT(MonteCarlo!$B$8))),TRUE)),"")</f>
        <v/>
      </c>
      <c r="Y5" t="str">
        <f ca="1">IFERROR(IF(OR(MonteCarlo!$B$4="C",MonteCarlo!$B$4="c"),Y$1*_xlfn.NORM.S.DIST((LN(Y$1/$A5)+(MonteCarlo!$B$9+(MonteCarlo!$B$7^2)/2)*MonteCarlo!$B$8)/(MonteCarlo!$B$7*SQRT(MonteCarlo!$B$8)),TRUE)-$A5*EXP(-MonteCarlo!$B$9*MonteCarlo!$B$8)*_xlfn.NORM.S.DIST(((LN(Y$1/$A5)+(MonteCarlo!$B$9+(MonteCarlo!$B$7^2)/2)*MonteCarlo!$B$8)/(MonteCarlo!$B$7*SQRT(MonteCarlo!$B$8)))-(MonteCarlo!$B$7*SQRT(MonteCarlo!$B$8)),TRUE),$A5*EXP(-MonteCarlo!$B$9*MonteCarlo!$B$8)*_xlfn.NORM.S.DIST(-(((LN(Y$1/$A5)+(MonteCarlo!$B$9+(MonteCarlo!$B$7^2)/2)*MonteCarlo!$B$8)/(MonteCarlo!$B$7*SQRT(MonteCarlo!$B$8)))-(MonteCarlo!$B$7*SQRT(MonteCarlo!$B$8))),TRUE)-Y$1*_xlfn.NORM.S.DIST(-((LN(Y$1/$A5)+(MonteCarlo!$B$9+(MonteCarlo!$B$7^2)/2)*MonteCarlo!$B$8)/(MonteCarlo!$B$7*SQRT(MonteCarlo!$B$8))),TRUE)),"")</f>
        <v/>
      </c>
      <c r="Z5" t="str">
        <f ca="1">IFERROR(IF(OR(MonteCarlo!$B$4="C",MonteCarlo!$B$4="c"),Z$1*_xlfn.NORM.S.DIST((LN(Z$1/$A5)+(MonteCarlo!$B$9+(MonteCarlo!$B$7^2)/2)*MonteCarlo!$B$8)/(MonteCarlo!$B$7*SQRT(MonteCarlo!$B$8)),TRUE)-$A5*EXP(-MonteCarlo!$B$9*MonteCarlo!$B$8)*_xlfn.NORM.S.DIST(((LN(Z$1/$A5)+(MonteCarlo!$B$9+(MonteCarlo!$B$7^2)/2)*MonteCarlo!$B$8)/(MonteCarlo!$B$7*SQRT(MonteCarlo!$B$8)))-(MonteCarlo!$B$7*SQRT(MonteCarlo!$B$8)),TRUE),$A5*EXP(-MonteCarlo!$B$9*MonteCarlo!$B$8)*_xlfn.NORM.S.DIST(-(((LN(Z$1/$A5)+(MonteCarlo!$B$9+(MonteCarlo!$B$7^2)/2)*MonteCarlo!$B$8)/(MonteCarlo!$B$7*SQRT(MonteCarlo!$B$8)))-(MonteCarlo!$B$7*SQRT(MonteCarlo!$B$8))),TRUE)-Z$1*_xlfn.NORM.S.DIST(-((LN(Z$1/$A5)+(MonteCarlo!$B$9+(MonteCarlo!$B$7^2)/2)*MonteCarlo!$B$8)/(MonteCarlo!$B$7*SQRT(MonteCarlo!$B$8))),TRUE)),"")</f>
        <v/>
      </c>
      <c r="AA5" t="str">
        <f ca="1">IFERROR(IF(OR(MonteCarlo!$B$4="C",MonteCarlo!$B$4="c"),AA$1*_xlfn.NORM.S.DIST((LN(AA$1/$A5)+(MonteCarlo!$B$9+(MonteCarlo!$B$7^2)/2)*MonteCarlo!$B$8)/(MonteCarlo!$B$7*SQRT(MonteCarlo!$B$8)),TRUE)-$A5*EXP(-MonteCarlo!$B$9*MonteCarlo!$B$8)*_xlfn.NORM.S.DIST(((LN(AA$1/$A5)+(MonteCarlo!$B$9+(MonteCarlo!$B$7^2)/2)*MonteCarlo!$B$8)/(MonteCarlo!$B$7*SQRT(MonteCarlo!$B$8)))-(MonteCarlo!$B$7*SQRT(MonteCarlo!$B$8)),TRUE),$A5*EXP(-MonteCarlo!$B$9*MonteCarlo!$B$8)*_xlfn.NORM.S.DIST(-(((LN(AA$1/$A5)+(MonteCarlo!$B$9+(MonteCarlo!$B$7^2)/2)*MonteCarlo!$B$8)/(MonteCarlo!$B$7*SQRT(MonteCarlo!$B$8)))-(MonteCarlo!$B$7*SQRT(MonteCarlo!$B$8))),TRUE)-AA$1*_xlfn.NORM.S.DIST(-((LN(AA$1/$A5)+(MonteCarlo!$B$9+(MonteCarlo!$B$7^2)/2)*MonteCarlo!$B$8)/(MonteCarlo!$B$7*SQRT(MonteCarlo!$B$8))),TRUE)),"")</f>
        <v/>
      </c>
      <c r="AB5" t="str">
        <f ca="1">IFERROR(IF(OR(MonteCarlo!$B$4="C",MonteCarlo!$B$4="c"),AB$1*_xlfn.NORM.S.DIST((LN(AB$1/$A5)+(MonteCarlo!$B$9+(MonteCarlo!$B$7^2)/2)*MonteCarlo!$B$8)/(MonteCarlo!$B$7*SQRT(MonteCarlo!$B$8)),TRUE)-$A5*EXP(-MonteCarlo!$B$9*MonteCarlo!$B$8)*_xlfn.NORM.S.DIST(((LN(AB$1/$A5)+(MonteCarlo!$B$9+(MonteCarlo!$B$7^2)/2)*MonteCarlo!$B$8)/(MonteCarlo!$B$7*SQRT(MonteCarlo!$B$8)))-(MonteCarlo!$B$7*SQRT(MonteCarlo!$B$8)),TRUE),$A5*EXP(-MonteCarlo!$B$9*MonteCarlo!$B$8)*_xlfn.NORM.S.DIST(-(((LN(AB$1/$A5)+(MonteCarlo!$B$9+(MonteCarlo!$B$7^2)/2)*MonteCarlo!$B$8)/(MonteCarlo!$B$7*SQRT(MonteCarlo!$B$8)))-(MonteCarlo!$B$7*SQRT(MonteCarlo!$B$8))),TRUE)-AB$1*_xlfn.NORM.S.DIST(-((LN(AB$1/$A5)+(MonteCarlo!$B$9+(MonteCarlo!$B$7^2)/2)*MonteCarlo!$B$8)/(MonteCarlo!$B$7*SQRT(MonteCarlo!$B$8))),TRUE)),"")</f>
        <v/>
      </c>
      <c r="AC5" t="str">
        <f ca="1">IFERROR(IF(OR(MonteCarlo!$B$4="C",MonteCarlo!$B$4="c"),AC$1*_xlfn.NORM.S.DIST((LN(AC$1/$A5)+(MonteCarlo!$B$9+(MonteCarlo!$B$7^2)/2)*MonteCarlo!$B$8)/(MonteCarlo!$B$7*SQRT(MonteCarlo!$B$8)),TRUE)-$A5*EXP(-MonteCarlo!$B$9*MonteCarlo!$B$8)*_xlfn.NORM.S.DIST(((LN(AC$1/$A5)+(MonteCarlo!$B$9+(MonteCarlo!$B$7^2)/2)*MonteCarlo!$B$8)/(MonteCarlo!$B$7*SQRT(MonteCarlo!$B$8)))-(MonteCarlo!$B$7*SQRT(MonteCarlo!$B$8)),TRUE),$A5*EXP(-MonteCarlo!$B$9*MonteCarlo!$B$8)*_xlfn.NORM.S.DIST(-(((LN(AC$1/$A5)+(MonteCarlo!$B$9+(MonteCarlo!$B$7^2)/2)*MonteCarlo!$B$8)/(MonteCarlo!$B$7*SQRT(MonteCarlo!$B$8)))-(MonteCarlo!$B$7*SQRT(MonteCarlo!$B$8))),TRUE)-AC$1*_xlfn.NORM.S.DIST(-((LN(AC$1/$A5)+(MonteCarlo!$B$9+(MonteCarlo!$B$7^2)/2)*MonteCarlo!$B$8)/(MonteCarlo!$B$7*SQRT(MonteCarlo!$B$8))),TRUE)),"")</f>
        <v/>
      </c>
      <c r="AD5" t="str">
        <f ca="1">IFERROR(IF(OR(MonteCarlo!$B$4="C",MonteCarlo!$B$4="c"),AD$1*_xlfn.NORM.S.DIST((LN(AD$1/$A5)+(MonteCarlo!$B$9+(MonteCarlo!$B$7^2)/2)*MonteCarlo!$B$8)/(MonteCarlo!$B$7*SQRT(MonteCarlo!$B$8)),TRUE)-$A5*EXP(-MonteCarlo!$B$9*MonteCarlo!$B$8)*_xlfn.NORM.S.DIST(((LN(AD$1/$A5)+(MonteCarlo!$B$9+(MonteCarlo!$B$7^2)/2)*MonteCarlo!$B$8)/(MonteCarlo!$B$7*SQRT(MonteCarlo!$B$8)))-(MonteCarlo!$B$7*SQRT(MonteCarlo!$B$8)),TRUE),$A5*EXP(-MonteCarlo!$B$9*MonteCarlo!$B$8)*_xlfn.NORM.S.DIST(-(((LN(AD$1/$A5)+(MonteCarlo!$B$9+(MonteCarlo!$B$7^2)/2)*MonteCarlo!$B$8)/(MonteCarlo!$B$7*SQRT(MonteCarlo!$B$8)))-(MonteCarlo!$B$7*SQRT(MonteCarlo!$B$8))),TRUE)-AD$1*_xlfn.NORM.S.DIST(-((LN(AD$1/$A5)+(MonteCarlo!$B$9+(MonteCarlo!$B$7^2)/2)*MonteCarlo!$B$8)/(MonteCarlo!$B$7*SQRT(MonteCarlo!$B$8))),TRUE)),"")</f>
        <v/>
      </c>
      <c r="AE5" t="str">
        <f ca="1">IFERROR(IF(OR(MonteCarlo!$B$4="C",MonteCarlo!$B$4="c"),AE$1*_xlfn.NORM.S.DIST((LN(AE$1/$A5)+(MonteCarlo!$B$9+(MonteCarlo!$B$7^2)/2)*MonteCarlo!$B$8)/(MonteCarlo!$B$7*SQRT(MonteCarlo!$B$8)),TRUE)-$A5*EXP(-MonteCarlo!$B$9*MonteCarlo!$B$8)*_xlfn.NORM.S.DIST(((LN(AE$1/$A5)+(MonteCarlo!$B$9+(MonteCarlo!$B$7^2)/2)*MonteCarlo!$B$8)/(MonteCarlo!$B$7*SQRT(MonteCarlo!$B$8)))-(MonteCarlo!$B$7*SQRT(MonteCarlo!$B$8)),TRUE),$A5*EXP(-MonteCarlo!$B$9*MonteCarlo!$B$8)*_xlfn.NORM.S.DIST(-(((LN(AE$1/$A5)+(MonteCarlo!$B$9+(MonteCarlo!$B$7^2)/2)*MonteCarlo!$B$8)/(MonteCarlo!$B$7*SQRT(MonteCarlo!$B$8)))-(MonteCarlo!$B$7*SQRT(MonteCarlo!$B$8))),TRUE)-AE$1*_xlfn.NORM.S.DIST(-((LN(AE$1/$A5)+(MonteCarlo!$B$9+(MonteCarlo!$B$7^2)/2)*MonteCarlo!$B$8)/(MonteCarlo!$B$7*SQRT(MonteCarlo!$B$8))),TRUE)),"")</f>
        <v/>
      </c>
      <c r="AF5" t="str">
        <f ca="1">IFERROR(IF(OR(MonteCarlo!$B$4="C",MonteCarlo!$B$4="c"),AF$1*_xlfn.NORM.S.DIST((LN(AF$1/$A5)+(MonteCarlo!$B$9+(MonteCarlo!$B$7^2)/2)*MonteCarlo!$B$8)/(MonteCarlo!$B$7*SQRT(MonteCarlo!$B$8)),TRUE)-$A5*EXP(-MonteCarlo!$B$9*MonteCarlo!$B$8)*_xlfn.NORM.S.DIST(((LN(AF$1/$A5)+(MonteCarlo!$B$9+(MonteCarlo!$B$7^2)/2)*MonteCarlo!$B$8)/(MonteCarlo!$B$7*SQRT(MonteCarlo!$B$8)))-(MonteCarlo!$B$7*SQRT(MonteCarlo!$B$8)),TRUE),$A5*EXP(-MonteCarlo!$B$9*MonteCarlo!$B$8)*_xlfn.NORM.S.DIST(-(((LN(AF$1/$A5)+(MonteCarlo!$B$9+(MonteCarlo!$B$7^2)/2)*MonteCarlo!$B$8)/(MonteCarlo!$B$7*SQRT(MonteCarlo!$B$8)))-(MonteCarlo!$B$7*SQRT(MonteCarlo!$B$8))),TRUE)-AF$1*_xlfn.NORM.S.DIST(-((LN(AF$1/$A5)+(MonteCarlo!$B$9+(MonteCarlo!$B$7^2)/2)*MonteCarlo!$B$8)/(MonteCarlo!$B$7*SQRT(MonteCarlo!$B$8))),TRUE)),"")</f>
        <v/>
      </c>
    </row>
    <row r="6" spans="2:32" x14ac:dyDescent="0.25">
      <c r="B6" t="str">
        <f ca="1">IFERROR(IF(OR(MonteCarlo!$B$4="C",MonteCarlo!$B$4="c"),B$1*_xlfn.NORM.S.DIST((LN(B$1/$A6)+(MonteCarlo!$B$9+(MonteCarlo!$B$7^2)/2)*MonteCarlo!$B$8)/(MonteCarlo!$B$7*SQRT(MonteCarlo!$B$8)),TRUE)-$A6*EXP(-MonteCarlo!$B$9*MonteCarlo!$B$8)*_xlfn.NORM.S.DIST(((LN(B$1/$A6)+(MonteCarlo!$B$9+(MonteCarlo!$B$7^2)/2)*MonteCarlo!$B$8)/(MonteCarlo!$B$7*SQRT(MonteCarlo!$B$8)))-(MonteCarlo!$B$7*SQRT(MonteCarlo!$B$8)),TRUE),$A6*EXP(-MonteCarlo!$B$9*MonteCarlo!$B$8)*_xlfn.NORM.S.DIST(-(((LN(B$1/$A6)+(MonteCarlo!$B$9+(MonteCarlo!$B$7^2)/2)*MonteCarlo!$B$8)/(MonteCarlo!$B$7*SQRT(MonteCarlo!$B$8)))-(MonteCarlo!$B$7*SQRT(MonteCarlo!$B$8))),TRUE)-B$1*_xlfn.NORM.S.DIST(-((LN(B$1/$A6)+(MonteCarlo!$B$9+(MonteCarlo!$B$7^2)/2)*MonteCarlo!$B$8)/(MonteCarlo!$B$7*SQRT(MonteCarlo!$B$8))),TRUE)),"")</f>
        <v/>
      </c>
      <c r="C6" t="str">
        <f ca="1">IFERROR(IF(OR(MonteCarlo!$B$4="C",MonteCarlo!$B$4="c"),C$1*_xlfn.NORM.S.DIST((LN(C$1/$A6)+(MonteCarlo!$B$9+(MonteCarlo!$B$7^2)/2)*MonteCarlo!$B$8)/(MonteCarlo!$B$7*SQRT(MonteCarlo!$B$8)),TRUE)-$A6*EXP(-MonteCarlo!$B$9*MonteCarlo!$B$8)*_xlfn.NORM.S.DIST(((LN(C$1/$A6)+(MonteCarlo!$B$9+(MonteCarlo!$B$7^2)/2)*MonteCarlo!$B$8)/(MonteCarlo!$B$7*SQRT(MonteCarlo!$B$8)))-(MonteCarlo!$B$7*SQRT(MonteCarlo!$B$8)),TRUE),$A6*EXP(-MonteCarlo!$B$9*MonteCarlo!$B$8)*_xlfn.NORM.S.DIST(-(((LN(C$1/$A6)+(MonteCarlo!$B$9+(MonteCarlo!$B$7^2)/2)*MonteCarlo!$B$8)/(MonteCarlo!$B$7*SQRT(MonteCarlo!$B$8)))-(MonteCarlo!$B$7*SQRT(MonteCarlo!$B$8))),TRUE)-C$1*_xlfn.NORM.S.DIST(-((LN(C$1/$A6)+(MonteCarlo!$B$9+(MonteCarlo!$B$7^2)/2)*MonteCarlo!$B$8)/(MonteCarlo!$B$7*SQRT(MonteCarlo!$B$8))),TRUE)),"")</f>
        <v/>
      </c>
      <c r="D6" t="str">
        <f ca="1">IFERROR(IF(OR(MonteCarlo!$B$4="C",MonteCarlo!$B$4="c"),D$1*_xlfn.NORM.S.DIST((LN(D$1/$A6)+(MonteCarlo!$B$9+(MonteCarlo!$B$7^2)/2)*MonteCarlo!$B$8)/(MonteCarlo!$B$7*SQRT(MonteCarlo!$B$8)),TRUE)-$A6*EXP(-MonteCarlo!$B$9*MonteCarlo!$B$8)*_xlfn.NORM.S.DIST(((LN(D$1/$A6)+(MonteCarlo!$B$9+(MonteCarlo!$B$7^2)/2)*MonteCarlo!$B$8)/(MonteCarlo!$B$7*SQRT(MonteCarlo!$B$8)))-(MonteCarlo!$B$7*SQRT(MonteCarlo!$B$8)),TRUE),$A6*EXP(-MonteCarlo!$B$9*MonteCarlo!$B$8)*_xlfn.NORM.S.DIST(-(((LN(D$1/$A6)+(MonteCarlo!$B$9+(MonteCarlo!$B$7^2)/2)*MonteCarlo!$B$8)/(MonteCarlo!$B$7*SQRT(MonteCarlo!$B$8)))-(MonteCarlo!$B$7*SQRT(MonteCarlo!$B$8))),TRUE)-D$1*_xlfn.NORM.S.DIST(-((LN(D$1/$A6)+(MonteCarlo!$B$9+(MonteCarlo!$B$7^2)/2)*MonteCarlo!$B$8)/(MonteCarlo!$B$7*SQRT(MonteCarlo!$B$8))),TRUE)),"")</f>
        <v/>
      </c>
      <c r="E6" t="str">
        <f ca="1">IFERROR(IF(OR(MonteCarlo!$B$4="C",MonteCarlo!$B$4="c"),E$1*_xlfn.NORM.S.DIST((LN(E$1/$A6)+(MonteCarlo!$B$9+(MonteCarlo!$B$7^2)/2)*MonteCarlo!$B$8)/(MonteCarlo!$B$7*SQRT(MonteCarlo!$B$8)),TRUE)-$A6*EXP(-MonteCarlo!$B$9*MonteCarlo!$B$8)*_xlfn.NORM.S.DIST(((LN(E$1/$A6)+(MonteCarlo!$B$9+(MonteCarlo!$B$7^2)/2)*MonteCarlo!$B$8)/(MonteCarlo!$B$7*SQRT(MonteCarlo!$B$8)))-(MonteCarlo!$B$7*SQRT(MonteCarlo!$B$8)),TRUE),$A6*EXP(-MonteCarlo!$B$9*MonteCarlo!$B$8)*_xlfn.NORM.S.DIST(-(((LN(E$1/$A6)+(MonteCarlo!$B$9+(MonteCarlo!$B$7^2)/2)*MonteCarlo!$B$8)/(MonteCarlo!$B$7*SQRT(MonteCarlo!$B$8)))-(MonteCarlo!$B$7*SQRT(MonteCarlo!$B$8))),TRUE)-E$1*_xlfn.NORM.S.DIST(-((LN(E$1/$A6)+(MonteCarlo!$B$9+(MonteCarlo!$B$7^2)/2)*MonteCarlo!$B$8)/(MonteCarlo!$B$7*SQRT(MonteCarlo!$B$8))),TRUE)),"")</f>
        <v/>
      </c>
      <c r="F6" t="str">
        <f ca="1">IFERROR(IF(OR(MonteCarlo!$B$4="C",MonteCarlo!$B$4="c"),F$1*_xlfn.NORM.S.DIST((LN(F$1/$A6)+(MonteCarlo!$B$9+(MonteCarlo!$B$7^2)/2)*MonteCarlo!$B$8)/(MonteCarlo!$B$7*SQRT(MonteCarlo!$B$8)),TRUE)-$A6*EXP(-MonteCarlo!$B$9*MonteCarlo!$B$8)*_xlfn.NORM.S.DIST(((LN(F$1/$A6)+(MonteCarlo!$B$9+(MonteCarlo!$B$7^2)/2)*MonteCarlo!$B$8)/(MonteCarlo!$B$7*SQRT(MonteCarlo!$B$8)))-(MonteCarlo!$B$7*SQRT(MonteCarlo!$B$8)),TRUE),$A6*EXP(-MonteCarlo!$B$9*MonteCarlo!$B$8)*_xlfn.NORM.S.DIST(-(((LN(F$1/$A6)+(MonteCarlo!$B$9+(MonteCarlo!$B$7^2)/2)*MonteCarlo!$B$8)/(MonteCarlo!$B$7*SQRT(MonteCarlo!$B$8)))-(MonteCarlo!$B$7*SQRT(MonteCarlo!$B$8))),TRUE)-F$1*_xlfn.NORM.S.DIST(-((LN(F$1/$A6)+(MonteCarlo!$B$9+(MonteCarlo!$B$7^2)/2)*MonteCarlo!$B$8)/(MonteCarlo!$B$7*SQRT(MonteCarlo!$B$8))),TRUE)),"")</f>
        <v/>
      </c>
      <c r="G6" t="str">
        <f ca="1">IFERROR(IF(OR(MonteCarlo!$B$4="C",MonteCarlo!$B$4="c"),G$1*_xlfn.NORM.S.DIST((LN(G$1/$A6)+(MonteCarlo!$B$9+(MonteCarlo!$B$7^2)/2)*MonteCarlo!$B$8)/(MonteCarlo!$B$7*SQRT(MonteCarlo!$B$8)),TRUE)-$A6*EXP(-MonteCarlo!$B$9*MonteCarlo!$B$8)*_xlfn.NORM.S.DIST(((LN(G$1/$A6)+(MonteCarlo!$B$9+(MonteCarlo!$B$7^2)/2)*MonteCarlo!$B$8)/(MonteCarlo!$B$7*SQRT(MonteCarlo!$B$8)))-(MonteCarlo!$B$7*SQRT(MonteCarlo!$B$8)),TRUE),$A6*EXP(-MonteCarlo!$B$9*MonteCarlo!$B$8)*_xlfn.NORM.S.DIST(-(((LN(G$1/$A6)+(MonteCarlo!$B$9+(MonteCarlo!$B$7^2)/2)*MonteCarlo!$B$8)/(MonteCarlo!$B$7*SQRT(MonteCarlo!$B$8)))-(MonteCarlo!$B$7*SQRT(MonteCarlo!$B$8))),TRUE)-G$1*_xlfn.NORM.S.DIST(-((LN(G$1/$A6)+(MonteCarlo!$B$9+(MonteCarlo!$B$7^2)/2)*MonteCarlo!$B$8)/(MonteCarlo!$B$7*SQRT(MonteCarlo!$B$8))),TRUE)),"")</f>
        <v/>
      </c>
      <c r="H6" t="str">
        <f ca="1">IFERROR(IF(OR(MonteCarlo!$B$4="C",MonteCarlo!$B$4="c"),H$1*_xlfn.NORM.S.DIST((LN(H$1/$A6)+(MonteCarlo!$B$9+(MonteCarlo!$B$7^2)/2)*MonteCarlo!$B$8)/(MonteCarlo!$B$7*SQRT(MonteCarlo!$B$8)),TRUE)-$A6*EXP(-MonteCarlo!$B$9*MonteCarlo!$B$8)*_xlfn.NORM.S.DIST(((LN(H$1/$A6)+(MonteCarlo!$B$9+(MonteCarlo!$B$7^2)/2)*MonteCarlo!$B$8)/(MonteCarlo!$B$7*SQRT(MonteCarlo!$B$8)))-(MonteCarlo!$B$7*SQRT(MonteCarlo!$B$8)),TRUE),$A6*EXP(-MonteCarlo!$B$9*MonteCarlo!$B$8)*_xlfn.NORM.S.DIST(-(((LN(H$1/$A6)+(MonteCarlo!$B$9+(MonteCarlo!$B$7^2)/2)*MonteCarlo!$B$8)/(MonteCarlo!$B$7*SQRT(MonteCarlo!$B$8)))-(MonteCarlo!$B$7*SQRT(MonteCarlo!$B$8))),TRUE)-H$1*_xlfn.NORM.S.DIST(-((LN(H$1/$A6)+(MonteCarlo!$B$9+(MonteCarlo!$B$7^2)/2)*MonteCarlo!$B$8)/(MonteCarlo!$B$7*SQRT(MonteCarlo!$B$8))),TRUE)),"")</f>
        <v/>
      </c>
      <c r="I6" t="str">
        <f ca="1">IFERROR(IF(OR(MonteCarlo!$B$4="C",MonteCarlo!$B$4="c"),I$1*_xlfn.NORM.S.DIST((LN(I$1/$A6)+(MonteCarlo!$B$9+(MonteCarlo!$B$7^2)/2)*MonteCarlo!$B$8)/(MonteCarlo!$B$7*SQRT(MonteCarlo!$B$8)),TRUE)-$A6*EXP(-MonteCarlo!$B$9*MonteCarlo!$B$8)*_xlfn.NORM.S.DIST(((LN(I$1/$A6)+(MonteCarlo!$B$9+(MonteCarlo!$B$7^2)/2)*MonteCarlo!$B$8)/(MonteCarlo!$B$7*SQRT(MonteCarlo!$B$8)))-(MonteCarlo!$B$7*SQRT(MonteCarlo!$B$8)),TRUE),$A6*EXP(-MonteCarlo!$B$9*MonteCarlo!$B$8)*_xlfn.NORM.S.DIST(-(((LN(I$1/$A6)+(MonteCarlo!$B$9+(MonteCarlo!$B$7^2)/2)*MonteCarlo!$B$8)/(MonteCarlo!$B$7*SQRT(MonteCarlo!$B$8)))-(MonteCarlo!$B$7*SQRT(MonteCarlo!$B$8))),TRUE)-I$1*_xlfn.NORM.S.DIST(-((LN(I$1/$A6)+(MonteCarlo!$B$9+(MonteCarlo!$B$7^2)/2)*MonteCarlo!$B$8)/(MonteCarlo!$B$7*SQRT(MonteCarlo!$B$8))),TRUE)),"")</f>
        <v/>
      </c>
      <c r="J6" t="str">
        <f ca="1">IFERROR(IF(OR(MonteCarlo!$B$4="C",MonteCarlo!$B$4="c"),J$1*_xlfn.NORM.S.DIST((LN(J$1/$A6)+(MonteCarlo!$B$9+(MonteCarlo!$B$7^2)/2)*MonteCarlo!$B$8)/(MonteCarlo!$B$7*SQRT(MonteCarlo!$B$8)),TRUE)-$A6*EXP(-MonteCarlo!$B$9*MonteCarlo!$B$8)*_xlfn.NORM.S.DIST(((LN(J$1/$A6)+(MonteCarlo!$B$9+(MonteCarlo!$B$7^2)/2)*MonteCarlo!$B$8)/(MonteCarlo!$B$7*SQRT(MonteCarlo!$B$8)))-(MonteCarlo!$B$7*SQRT(MonteCarlo!$B$8)),TRUE),$A6*EXP(-MonteCarlo!$B$9*MonteCarlo!$B$8)*_xlfn.NORM.S.DIST(-(((LN(J$1/$A6)+(MonteCarlo!$B$9+(MonteCarlo!$B$7^2)/2)*MonteCarlo!$B$8)/(MonteCarlo!$B$7*SQRT(MonteCarlo!$B$8)))-(MonteCarlo!$B$7*SQRT(MonteCarlo!$B$8))),TRUE)-J$1*_xlfn.NORM.S.DIST(-((LN(J$1/$A6)+(MonteCarlo!$B$9+(MonteCarlo!$B$7^2)/2)*MonteCarlo!$B$8)/(MonteCarlo!$B$7*SQRT(MonteCarlo!$B$8))),TRUE)),"")</f>
        <v/>
      </c>
      <c r="K6" t="str">
        <f ca="1">IFERROR(IF(OR(MonteCarlo!$B$4="C",MonteCarlo!$B$4="c"),K$1*_xlfn.NORM.S.DIST((LN(K$1/$A6)+(MonteCarlo!$B$9+(MonteCarlo!$B$7^2)/2)*MonteCarlo!$B$8)/(MonteCarlo!$B$7*SQRT(MonteCarlo!$B$8)),TRUE)-$A6*EXP(-MonteCarlo!$B$9*MonteCarlo!$B$8)*_xlfn.NORM.S.DIST(((LN(K$1/$A6)+(MonteCarlo!$B$9+(MonteCarlo!$B$7^2)/2)*MonteCarlo!$B$8)/(MonteCarlo!$B$7*SQRT(MonteCarlo!$B$8)))-(MonteCarlo!$B$7*SQRT(MonteCarlo!$B$8)),TRUE),$A6*EXP(-MonteCarlo!$B$9*MonteCarlo!$B$8)*_xlfn.NORM.S.DIST(-(((LN(K$1/$A6)+(MonteCarlo!$B$9+(MonteCarlo!$B$7^2)/2)*MonteCarlo!$B$8)/(MonteCarlo!$B$7*SQRT(MonteCarlo!$B$8)))-(MonteCarlo!$B$7*SQRT(MonteCarlo!$B$8))),TRUE)-K$1*_xlfn.NORM.S.DIST(-((LN(K$1/$A6)+(MonteCarlo!$B$9+(MonteCarlo!$B$7^2)/2)*MonteCarlo!$B$8)/(MonteCarlo!$B$7*SQRT(MonteCarlo!$B$8))),TRUE)),"")</f>
        <v/>
      </c>
      <c r="L6" t="str">
        <f ca="1">IFERROR(IF(OR(MonteCarlo!$B$4="C",MonteCarlo!$B$4="c"),L$1*_xlfn.NORM.S.DIST((LN(L$1/$A6)+(MonteCarlo!$B$9+(MonteCarlo!$B$7^2)/2)*MonteCarlo!$B$8)/(MonteCarlo!$B$7*SQRT(MonteCarlo!$B$8)),TRUE)-$A6*EXP(-MonteCarlo!$B$9*MonteCarlo!$B$8)*_xlfn.NORM.S.DIST(((LN(L$1/$A6)+(MonteCarlo!$B$9+(MonteCarlo!$B$7^2)/2)*MonteCarlo!$B$8)/(MonteCarlo!$B$7*SQRT(MonteCarlo!$B$8)))-(MonteCarlo!$B$7*SQRT(MonteCarlo!$B$8)),TRUE),$A6*EXP(-MonteCarlo!$B$9*MonteCarlo!$B$8)*_xlfn.NORM.S.DIST(-(((LN(L$1/$A6)+(MonteCarlo!$B$9+(MonteCarlo!$B$7^2)/2)*MonteCarlo!$B$8)/(MonteCarlo!$B$7*SQRT(MonteCarlo!$B$8)))-(MonteCarlo!$B$7*SQRT(MonteCarlo!$B$8))),TRUE)-L$1*_xlfn.NORM.S.DIST(-((LN(L$1/$A6)+(MonteCarlo!$B$9+(MonteCarlo!$B$7^2)/2)*MonteCarlo!$B$8)/(MonteCarlo!$B$7*SQRT(MonteCarlo!$B$8))),TRUE)),"")</f>
        <v/>
      </c>
      <c r="M6" t="str">
        <f ca="1">IFERROR(IF(OR(MonteCarlo!$B$4="C",MonteCarlo!$B$4="c"),M$1*_xlfn.NORM.S.DIST((LN(M$1/$A6)+(MonteCarlo!$B$9+(MonteCarlo!$B$7^2)/2)*MonteCarlo!$B$8)/(MonteCarlo!$B$7*SQRT(MonteCarlo!$B$8)),TRUE)-$A6*EXP(-MonteCarlo!$B$9*MonteCarlo!$B$8)*_xlfn.NORM.S.DIST(((LN(M$1/$A6)+(MonteCarlo!$B$9+(MonteCarlo!$B$7^2)/2)*MonteCarlo!$B$8)/(MonteCarlo!$B$7*SQRT(MonteCarlo!$B$8)))-(MonteCarlo!$B$7*SQRT(MonteCarlo!$B$8)),TRUE),$A6*EXP(-MonteCarlo!$B$9*MonteCarlo!$B$8)*_xlfn.NORM.S.DIST(-(((LN(M$1/$A6)+(MonteCarlo!$B$9+(MonteCarlo!$B$7^2)/2)*MonteCarlo!$B$8)/(MonteCarlo!$B$7*SQRT(MonteCarlo!$B$8)))-(MonteCarlo!$B$7*SQRT(MonteCarlo!$B$8))),TRUE)-M$1*_xlfn.NORM.S.DIST(-((LN(M$1/$A6)+(MonteCarlo!$B$9+(MonteCarlo!$B$7^2)/2)*MonteCarlo!$B$8)/(MonteCarlo!$B$7*SQRT(MonteCarlo!$B$8))),TRUE)),"")</f>
        <v/>
      </c>
      <c r="N6" t="str">
        <f ca="1">IFERROR(IF(OR(MonteCarlo!$B$4="C",MonteCarlo!$B$4="c"),N$1*_xlfn.NORM.S.DIST((LN(N$1/$A6)+(MonteCarlo!$B$9+(MonteCarlo!$B$7^2)/2)*MonteCarlo!$B$8)/(MonteCarlo!$B$7*SQRT(MonteCarlo!$B$8)),TRUE)-$A6*EXP(-MonteCarlo!$B$9*MonteCarlo!$B$8)*_xlfn.NORM.S.DIST(((LN(N$1/$A6)+(MonteCarlo!$B$9+(MonteCarlo!$B$7^2)/2)*MonteCarlo!$B$8)/(MonteCarlo!$B$7*SQRT(MonteCarlo!$B$8)))-(MonteCarlo!$B$7*SQRT(MonteCarlo!$B$8)),TRUE),$A6*EXP(-MonteCarlo!$B$9*MonteCarlo!$B$8)*_xlfn.NORM.S.DIST(-(((LN(N$1/$A6)+(MonteCarlo!$B$9+(MonteCarlo!$B$7^2)/2)*MonteCarlo!$B$8)/(MonteCarlo!$B$7*SQRT(MonteCarlo!$B$8)))-(MonteCarlo!$B$7*SQRT(MonteCarlo!$B$8))),TRUE)-N$1*_xlfn.NORM.S.DIST(-((LN(N$1/$A6)+(MonteCarlo!$B$9+(MonteCarlo!$B$7^2)/2)*MonteCarlo!$B$8)/(MonteCarlo!$B$7*SQRT(MonteCarlo!$B$8))),TRUE)),"")</f>
        <v/>
      </c>
      <c r="O6" t="str">
        <f ca="1">IFERROR(IF(OR(MonteCarlo!$B$4="C",MonteCarlo!$B$4="c"),O$1*_xlfn.NORM.S.DIST((LN(O$1/$A6)+(MonteCarlo!$B$9+(MonteCarlo!$B$7^2)/2)*MonteCarlo!$B$8)/(MonteCarlo!$B$7*SQRT(MonteCarlo!$B$8)),TRUE)-$A6*EXP(-MonteCarlo!$B$9*MonteCarlo!$B$8)*_xlfn.NORM.S.DIST(((LN(O$1/$A6)+(MonteCarlo!$B$9+(MonteCarlo!$B$7^2)/2)*MonteCarlo!$B$8)/(MonteCarlo!$B$7*SQRT(MonteCarlo!$B$8)))-(MonteCarlo!$B$7*SQRT(MonteCarlo!$B$8)),TRUE),$A6*EXP(-MonteCarlo!$B$9*MonteCarlo!$B$8)*_xlfn.NORM.S.DIST(-(((LN(O$1/$A6)+(MonteCarlo!$B$9+(MonteCarlo!$B$7^2)/2)*MonteCarlo!$B$8)/(MonteCarlo!$B$7*SQRT(MonteCarlo!$B$8)))-(MonteCarlo!$B$7*SQRT(MonteCarlo!$B$8))),TRUE)-O$1*_xlfn.NORM.S.DIST(-((LN(O$1/$A6)+(MonteCarlo!$B$9+(MonteCarlo!$B$7^2)/2)*MonteCarlo!$B$8)/(MonteCarlo!$B$7*SQRT(MonteCarlo!$B$8))),TRUE)),"")</f>
        <v/>
      </c>
      <c r="P6" t="str">
        <f ca="1">IFERROR(IF(OR(MonteCarlo!$B$4="C",MonteCarlo!$B$4="c"),P$1*_xlfn.NORM.S.DIST((LN(P$1/$A6)+(MonteCarlo!$B$9+(MonteCarlo!$B$7^2)/2)*MonteCarlo!$B$8)/(MonteCarlo!$B$7*SQRT(MonteCarlo!$B$8)),TRUE)-$A6*EXP(-MonteCarlo!$B$9*MonteCarlo!$B$8)*_xlfn.NORM.S.DIST(((LN(P$1/$A6)+(MonteCarlo!$B$9+(MonteCarlo!$B$7^2)/2)*MonteCarlo!$B$8)/(MonteCarlo!$B$7*SQRT(MonteCarlo!$B$8)))-(MonteCarlo!$B$7*SQRT(MonteCarlo!$B$8)),TRUE),$A6*EXP(-MonteCarlo!$B$9*MonteCarlo!$B$8)*_xlfn.NORM.S.DIST(-(((LN(P$1/$A6)+(MonteCarlo!$B$9+(MonteCarlo!$B$7^2)/2)*MonteCarlo!$B$8)/(MonteCarlo!$B$7*SQRT(MonteCarlo!$B$8)))-(MonteCarlo!$B$7*SQRT(MonteCarlo!$B$8))),TRUE)-P$1*_xlfn.NORM.S.DIST(-((LN(P$1/$A6)+(MonteCarlo!$B$9+(MonteCarlo!$B$7^2)/2)*MonteCarlo!$B$8)/(MonteCarlo!$B$7*SQRT(MonteCarlo!$B$8))),TRUE)),"")</f>
        <v/>
      </c>
      <c r="Q6" t="str">
        <f ca="1">IFERROR(IF(OR(MonteCarlo!$B$4="C",MonteCarlo!$B$4="c"),Q$1*_xlfn.NORM.S.DIST((LN(Q$1/$A6)+(MonteCarlo!$B$9+(MonteCarlo!$B$7^2)/2)*MonteCarlo!$B$8)/(MonteCarlo!$B$7*SQRT(MonteCarlo!$B$8)),TRUE)-$A6*EXP(-MonteCarlo!$B$9*MonteCarlo!$B$8)*_xlfn.NORM.S.DIST(((LN(Q$1/$A6)+(MonteCarlo!$B$9+(MonteCarlo!$B$7^2)/2)*MonteCarlo!$B$8)/(MonteCarlo!$B$7*SQRT(MonteCarlo!$B$8)))-(MonteCarlo!$B$7*SQRT(MonteCarlo!$B$8)),TRUE),$A6*EXP(-MonteCarlo!$B$9*MonteCarlo!$B$8)*_xlfn.NORM.S.DIST(-(((LN(Q$1/$A6)+(MonteCarlo!$B$9+(MonteCarlo!$B$7^2)/2)*MonteCarlo!$B$8)/(MonteCarlo!$B$7*SQRT(MonteCarlo!$B$8)))-(MonteCarlo!$B$7*SQRT(MonteCarlo!$B$8))),TRUE)-Q$1*_xlfn.NORM.S.DIST(-((LN(Q$1/$A6)+(MonteCarlo!$B$9+(MonteCarlo!$B$7^2)/2)*MonteCarlo!$B$8)/(MonteCarlo!$B$7*SQRT(MonteCarlo!$B$8))),TRUE)),"")</f>
        <v/>
      </c>
      <c r="R6" t="str">
        <f ca="1">IFERROR(IF(OR(MonteCarlo!$B$4="C",MonteCarlo!$B$4="c"),R$1*_xlfn.NORM.S.DIST((LN(R$1/$A6)+(MonteCarlo!$B$9+(MonteCarlo!$B$7^2)/2)*MonteCarlo!$B$8)/(MonteCarlo!$B$7*SQRT(MonteCarlo!$B$8)),TRUE)-$A6*EXP(-MonteCarlo!$B$9*MonteCarlo!$B$8)*_xlfn.NORM.S.DIST(((LN(R$1/$A6)+(MonteCarlo!$B$9+(MonteCarlo!$B$7^2)/2)*MonteCarlo!$B$8)/(MonteCarlo!$B$7*SQRT(MonteCarlo!$B$8)))-(MonteCarlo!$B$7*SQRT(MonteCarlo!$B$8)),TRUE),$A6*EXP(-MonteCarlo!$B$9*MonteCarlo!$B$8)*_xlfn.NORM.S.DIST(-(((LN(R$1/$A6)+(MonteCarlo!$B$9+(MonteCarlo!$B$7^2)/2)*MonteCarlo!$B$8)/(MonteCarlo!$B$7*SQRT(MonteCarlo!$B$8)))-(MonteCarlo!$B$7*SQRT(MonteCarlo!$B$8))),TRUE)-R$1*_xlfn.NORM.S.DIST(-((LN(R$1/$A6)+(MonteCarlo!$B$9+(MonteCarlo!$B$7^2)/2)*MonteCarlo!$B$8)/(MonteCarlo!$B$7*SQRT(MonteCarlo!$B$8))),TRUE)),"")</f>
        <v/>
      </c>
      <c r="S6" t="str">
        <f ca="1">IFERROR(IF(OR(MonteCarlo!$B$4="C",MonteCarlo!$B$4="c"),S$1*_xlfn.NORM.S.DIST((LN(S$1/$A6)+(MonteCarlo!$B$9+(MonteCarlo!$B$7^2)/2)*MonteCarlo!$B$8)/(MonteCarlo!$B$7*SQRT(MonteCarlo!$B$8)),TRUE)-$A6*EXP(-MonteCarlo!$B$9*MonteCarlo!$B$8)*_xlfn.NORM.S.DIST(((LN(S$1/$A6)+(MonteCarlo!$B$9+(MonteCarlo!$B$7^2)/2)*MonteCarlo!$B$8)/(MonteCarlo!$B$7*SQRT(MonteCarlo!$B$8)))-(MonteCarlo!$B$7*SQRT(MonteCarlo!$B$8)),TRUE),$A6*EXP(-MonteCarlo!$B$9*MonteCarlo!$B$8)*_xlfn.NORM.S.DIST(-(((LN(S$1/$A6)+(MonteCarlo!$B$9+(MonteCarlo!$B$7^2)/2)*MonteCarlo!$B$8)/(MonteCarlo!$B$7*SQRT(MonteCarlo!$B$8)))-(MonteCarlo!$B$7*SQRT(MonteCarlo!$B$8))),TRUE)-S$1*_xlfn.NORM.S.DIST(-((LN(S$1/$A6)+(MonteCarlo!$B$9+(MonteCarlo!$B$7^2)/2)*MonteCarlo!$B$8)/(MonteCarlo!$B$7*SQRT(MonteCarlo!$B$8))),TRUE)),"")</f>
        <v/>
      </c>
      <c r="T6" t="str">
        <f ca="1">IFERROR(IF(OR(MonteCarlo!$B$4="C",MonteCarlo!$B$4="c"),T$1*_xlfn.NORM.S.DIST((LN(T$1/$A6)+(MonteCarlo!$B$9+(MonteCarlo!$B$7^2)/2)*MonteCarlo!$B$8)/(MonteCarlo!$B$7*SQRT(MonteCarlo!$B$8)),TRUE)-$A6*EXP(-MonteCarlo!$B$9*MonteCarlo!$B$8)*_xlfn.NORM.S.DIST(((LN(T$1/$A6)+(MonteCarlo!$B$9+(MonteCarlo!$B$7^2)/2)*MonteCarlo!$B$8)/(MonteCarlo!$B$7*SQRT(MonteCarlo!$B$8)))-(MonteCarlo!$B$7*SQRT(MonteCarlo!$B$8)),TRUE),$A6*EXP(-MonteCarlo!$B$9*MonteCarlo!$B$8)*_xlfn.NORM.S.DIST(-(((LN(T$1/$A6)+(MonteCarlo!$B$9+(MonteCarlo!$B$7^2)/2)*MonteCarlo!$B$8)/(MonteCarlo!$B$7*SQRT(MonteCarlo!$B$8)))-(MonteCarlo!$B$7*SQRT(MonteCarlo!$B$8))),TRUE)-T$1*_xlfn.NORM.S.DIST(-((LN(T$1/$A6)+(MonteCarlo!$B$9+(MonteCarlo!$B$7^2)/2)*MonteCarlo!$B$8)/(MonteCarlo!$B$7*SQRT(MonteCarlo!$B$8))),TRUE)),"")</f>
        <v/>
      </c>
      <c r="U6" t="str">
        <f ca="1">IFERROR(IF(OR(MonteCarlo!$B$4="C",MonteCarlo!$B$4="c"),U$1*_xlfn.NORM.S.DIST((LN(U$1/$A6)+(MonteCarlo!$B$9+(MonteCarlo!$B$7^2)/2)*MonteCarlo!$B$8)/(MonteCarlo!$B$7*SQRT(MonteCarlo!$B$8)),TRUE)-$A6*EXP(-MonteCarlo!$B$9*MonteCarlo!$B$8)*_xlfn.NORM.S.DIST(((LN(U$1/$A6)+(MonteCarlo!$B$9+(MonteCarlo!$B$7^2)/2)*MonteCarlo!$B$8)/(MonteCarlo!$B$7*SQRT(MonteCarlo!$B$8)))-(MonteCarlo!$B$7*SQRT(MonteCarlo!$B$8)),TRUE),$A6*EXP(-MonteCarlo!$B$9*MonteCarlo!$B$8)*_xlfn.NORM.S.DIST(-(((LN(U$1/$A6)+(MonteCarlo!$B$9+(MonteCarlo!$B$7^2)/2)*MonteCarlo!$B$8)/(MonteCarlo!$B$7*SQRT(MonteCarlo!$B$8)))-(MonteCarlo!$B$7*SQRT(MonteCarlo!$B$8))),TRUE)-U$1*_xlfn.NORM.S.DIST(-((LN(U$1/$A6)+(MonteCarlo!$B$9+(MonteCarlo!$B$7^2)/2)*MonteCarlo!$B$8)/(MonteCarlo!$B$7*SQRT(MonteCarlo!$B$8))),TRUE)),"")</f>
        <v/>
      </c>
      <c r="V6" t="str">
        <f ca="1">IFERROR(IF(OR(MonteCarlo!$B$4="C",MonteCarlo!$B$4="c"),V$1*_xlfn.NORM.S.DIST((LN(V$1/$A6)+(MonteCarlo!$B$9+(MonteCarlo!$B$7^2)/2)*MonteCarlo!$B$8)/(MonteCarlo!$B$7*SQRT(MonteCarlo!$B$8)),TRUE)-$A6*EXP(-MonteCarlo!$B$9*MonteCarlo!$B$8)*_xlfn.NORM.S.DIST(((LN(V$1/$A6)+(MonteCarlo!$B$9+(MonteCarlo!$B$7^2)/2)*MonteCarlo!$B$8)/(MonteCarlo!$B$7*SQRT(MonteCarlo!$B$8)))-(MonteCarlo!$B$7*SQRT(MonteCarlo!$B$8)),TRUE),$A6*EXP(-MonteCarlo!$B$9*MonteCarlo!$B$8)*_xlfn.NORM.S.DIST(-(((LN(V$1/$A6)+(MonteCarlo!$B$9+(MonteCarlo!$B$7^2)/2)*MonteCarlo!$B$8)/(MonteCarlo!$B$7*SQRT(MonteCarlo!$B$8)))-(MonteCarlo!$B$7*SQRT(MonteCarlo!$B$8))),TRUE)-V$1*_xlfn.NORM.S.DIST(-((LN(V$1/$A6)+(MonteCarlo!$B$9+(MonteCarlo!$B$7^2)/2)*MonteCarlo!$B$8)/(MonteCarlo!$B$7*SQRT(MonteCarlo!$B$8))),TRUE)),"")</f>
        <v/>
      </c>
      <c r="W6" t="str">
        <f ca="1">IFERROR(IF(OR(MonteCarlo!$B$4="C",MonteCarlo!$B$4="c"),W$1*_xlfn.NORM.S.DIST((LN(W$1/$A6)+(MonteCarlo!$B$9+(MonteCarlo!$B$7^2)/2)*MonteCarlo!$B$8)/(MonteCarlo!$B$7*SQRT(MonteCarlo!$B$8)),TRUE)-$A6*EXP(-MonteCarlo!$B$9*MonteCarlo!$B$8)*_xlfn.NORM.S.DIST(((LN(W$1/$A6)+(MonteCarlo!$B$9+(MonteCarlo!$B$7^2)/2)*MonteCarlo!$B$8)/(MonteCarlo!$B$7*SQRT(MonteCarlo!$B$8)))-(MonteCarlo!$B$7*SQRT(MonteCarlo!$B$8)),TRUE),$A6*EXP(-MonteCarlo!$B$9*MonteCarlo!$B$8)*_xlfn.NORM.S.DIST(-(((LN(W$1/$A6)+(MonteCarlo!$B$9+(MonteCarlo!$B$7^2)/2)*MonteCarlo!$B$8)/(MonteCarlo!$B$7*SQRT(MonteCarlo!$B$8)))-(MonteCarlo!$B$7*SQRT(MonteCarlo!$B$8))),TRUE)-W$1*_xlfn.NORM.S.DIST(-((LN(W$1/$A6)+(MonteCarlo!$B$9+(MonteCarlo!$B$7^2)/2)*MonteCarlo!$B$8)/(MonteCarlo!$B$7*SQRT(MonteCarlo!$B$8))),TRUE)),"")</f>
        <v/>
      </c>
      <c r="X6" t="str">
        <f ca="1">IFERROR(IF(OR(MonteCarlo!$B$4="C",MonteCarlo!$B$4="c"),X$1*_xlfn.NORM.S.DIST((LN(X$1/$A6)+(MonteCarlo!$B$9+(MonteCarlo!$B$7^2)/2)*MonteCarlo!$B$8)/(MonteCarlo!$B$7*SQRT(MonteCarlo!$B$8)),TRUE)-$A6*EXP(-MonteCarlo!$B$9*MonteCarlo!$B$8)*_xlfn.NORM.S.DIST(((LN(X$1/$A6)+(MonteCarlo!$B$9+(MonteCarlo!$B$7^2)/2)*MonteCarlo!$B$8)/(MonteCarlo!$B$7*SQRT(MonteCarlo!$B$8)))-(MonteCarlo!$B$7*SQRT(MonteCarlo!$B$8)),TRUE),$A6*EXP(-MonteCarlo!$B$9*MonteCarlo!$B$8)*_xlfn.NORM.S.DIST(-(((LN(X$1/$A6)+(MonteCarlo!$B$9+(MonteCarlo!$B$7^2)/2)*MonteCarlo!$B$8)/(MonteCarlo!$B$7*SQRT(MonteCarlo!$B$8)))-(MonteCarlo!$B$7*SQRT(MonteCarlo!$B$8))),TRUE)-X$1*_xlfn.NORM.S.DIST(-((LN(X$1/$A6)+(MonteCarlo!$B$9+(MonteCarlo!$B$7^2)/2)*MonteCarlo!$B$8)/(MonteCarlo!$B$7*SQRT(MonteCarlo!$B$8))),TRUE)),"")</f>
        <v/>
      </c>
      <c r="Y6" t="str">
        <f ca="1">IFERROR(IF(OR(MonteCarlo!$B$4="C",MonteCarlo!$B$4="c"),Y$1*_xlfn.NORM.S.DIST((LN(Y$1/$A6)+(MonteCarlo!$B$9+(MonteCarlo!$B$7^2)/2)*MonteCarlo!$B$8)/(MonteCarlo!$B$7*SQRT(MonteCarlo!$B$8)),TRUE)-$A6*EXP(-MonteCarlo!$B$9*MonteCarlo!$B$8)*_xlfn.NORM.S.DIST(((LN(Y$1/$A6)+(MonteCarlo!$B$9+(MonteCarlo!$B$7^2)/2)*MonteCarlo!$B$8)/(MonteCarlo!$B$7*SQRT(MonteCarlo!$B$8)))-(MonteCarlo!$B$7*SQRT(MonteCarlo!$B$8)),TRUE),$A6*EXP(-MonteCarlo!$B$9*MonteCarlo!$B$8)*_xlfn.NORM.S.DIST(-(((LN(Y$1/$A6)+(MonteCarlo!$B$9+(MonteCarlo!$B$7^2)/2)*MonteCarlo!$B$8)/(MonteCarlo!$B$7*SQRT(MonteCarlo!$B$8)))-(MonteCarlo!$B$7*SQRT(MonteCarlo!$B$8))),TRUE)-Y$1*_xlfn.NORM.S.DIST(-((LN(Y$1/$A6)+(MonteCarlo!$B$9+(MonteCarlo!$B$7^2)/2)*MonteCarlo!$B$8)/(MonteCarlo!$B$7*SQRT(MonteCarlo!$B$8))),TRUE)),"")</f>
        <v/>
      </c>
      <c r="Z6" t="str">
        <f ca="1">IFERROR(IF(OR(MonteCarlo!$B$4="C",MonteCarlo!$B$4="c"),Z$1*_xlfn.NORM.S.DIST((LN(Z$1/$A6)+(MonteCarlo!$B$9+(MonteCarlo!$B$7^2)/2)*MonteCarlo!$B$8)/(MonteCarlo!$B$7*SQRT(MonteCarlo!$B$8)),TRUE)-$A6*EXP(-MonteCarlo!$B$9*MonteCarlo!$B$8)*_xlfn.NORM.S.DIST(((LN(Z$1/$A6)+(MonteCarlo!$B$9+(MonteCarlo!$B$7^2)/2)*MonteCarlo!$B$8)/(MonteCarlo!$B$7*SQRT(MonteCarlo!$B$8)))-(MonteCarlo!$B$7*SQRT(MonteCarlo!$B$8)),TRUE),$A6*EXP(-MonteCarlo!$B$9*MonteCarlo!$B$8)*_xlfn.NORM.S.DIST(-(((LN(Z$1/$A6)+(MonteCarlo!$B$9+(MonteCarlo!$B$7^2)/2)*MonteCarlo!$B$8)/(MonteCarlo!$B$7*SQRT(MonteCarlo!$B$8)))-(MonteCarlo!$B$7*SQRT(MonteCarlo!$B$8))),TRUE)-Z$1*_xlfn.NORM.S.DIST(-((LN(Z$1/$A6)+(MonteCarlo!$B$9+(MonteCarlo!$B$7^2)/2)*MonteCarlo!$B$8)/(MonteCarlo!$B$7*SQRT(MonteCarlo!$B$8))),TRUE)),"")</f>
        <v/>
      </c>
      <c r="AA6" t="str">
        <f ca="1">IFERROR(IF(OR(MonteCarlo!$B$4="C",MonteCarlo!$B$4="c"),AA$1*_xlfn.NORM.S.DIST((LN(AA$1/$A6)+(MonteCarlo!$B$9+(MonteCarlo!$B$7^2)/2)*MonteCarlo!$B$8)/(MonteCarlo!$B$7*SQRT(MonteCarlo!$B$8)),TRUE)-$A6*EXP(-MonteCarlo!$B$9*MonteCarlo!$B$8)*_xlfn.NORM.S.DIST(((LN(AA$1/$A6)+(MonteCarlo!$B$9+(MonteCarlo!$B$7^2)/2)*MonteCarlo!$B$8)/(MonteCarlo!$B$7*SQRT(MonteCarlo!$B$8)))-(MonteCarlo!$B$7*SQRT(MonteCarlo!$B$8)),TRUE),$A6*EXP(-MonteCarlo!$B$9*MonteCarlo!$B$8)*_xlfn.NORM.S.DIST(-(((LN(AA$1/$A6)+(MonteCarlo!$B$9+(MonteCarlo!$B$7^2)/2)*MonteCarlo!$B$8)/(MonteCarlo!$B$7*SQRT(MonteCarlo!$B$8)))-(MonteCarlo!$B$7*SQRT(MonteCarlo!$B$8))),TRUE)-AA$1*_xlfn.NORM.S.DIST(-((LN(AA$1/$A6)+(MonteCarlo!$B$9+(MonteCarlo!$B$7^2)/2)*MonteCarlo!$B$8)/(MonteCarlo!$B$7*SQRT(MonteCarlo!$B$8))),TRUE)),"")</f>
        <v/>
      </c>
      <c r="AB6" t="str">
        <f ca="1">IFERROR(IF(OR(MonteCarlo!$B$4="C",MonteCarlo!$B$4="c"),AB$1*_xlfn.NORM.S.DIST((LN(AB$1/$A6)+(MonteCarlo!$B$9+(MonteCarlo!$B$7^2)/2)*MonteCarlo!$B$8)/(MonteCarlo!$B$7*SQRT(MonteCarlo!$B$8)),TRUE)-$A6*EXP(-MonteCarlo!$B$9*MonteCarlo!$B$8)*_xlfn.NORM.S.DIST(((LN(AB$1/$A6)+(MonteCarlo!$B$9+(MonteCarlo!$B$7^2)/2)*MonteCarlo!$B$8)/(MonteCarlo!$B$7*SQRT(MonteCarlo!$B$8)))-(MonteCarlo!$B$7*SQRT(MonteCarlo!$B$8)),TRUE),$A6*EXP(-MonteCarlo!$B$9*MonteCarlo!$B$8)*_xlfn.NORM.S.DIST(-(((LN(AB$1/$A6)+(MonteCarlo!$B$9+(MonteCarlo!$B$7^2)/2)*MonteCarlo!$B$8)/(MonteCarlo!$B$7*SQRT(MonteCarlo!$B$8)))-(MonteCarlo!$B$7*SQRT(MonteCarlo!$B$8))),TRUE)-AB$1*_xlfn.NORM.S.DIST(-((LN(AB$1/$A6)+(MonteCarlo!$B$9+(MonteCarlo!$B$7^2)/2)*MonteCarlo!$B$8)/(MonteCarlo!$B$7*SQRT(MonteCarlo!$B$8))),TRUE)),"")</f>
        <v/>
      </c>
      <c r="AC6" t="str">
        <f ca="1">IFERROR(IF(OR(MonteCarlo!$B$4="C",MonteCarlo!$B$4="c"),AC$1*_xlfn.NORM.S.DIST((LN(AC$1/$A6)+(MonteCarlo!$B$9+(MonteCarlo!$B$7^2)/2)*MonteCarlo!$B$8)/(MonteCarlo!$B$7*SQRT(MonteCarlo!$B$8)),TRUE)-$A6*EXP(-MonteCarlo!$B$9*MonteCarlo!$B$8)*_xlfn.NORM.S.DIST(((LN(AC$1/$A6)+(MonteCarlo!$B$9+(MonteCarlo!$B$7^2)/2)*MonteCarlo!$B$8)/(MonteCarlo!$B$7*SQRT(MonteCarlo!$B$8)))-(MonteCarlo!$B$7*SQRT(MonteCarlo!$B$8)),TRUE),$A6*EXP(-MonteCarlo!$B$9*MonteCarlo!$B$8)*_xlfn.NORM.S.DIST(-(((LN(AC$1/$A6)+(MonteCarlo!$B$9+(MonteCarlo!$B$7^2)/2)*MonteCarlo!$B$8)/(MonteCarlo!$B$7*SQRT(MonteCarlo!$B$8)))-(MonteCarlo!$B$7*SQRT(MonteCarlo!$B$8))),TRUE)-AC$1*_xlfn.NORM.S.DIST(-((LN(AC$1/$A6)+(MonteCarlo!$B$9+(MonteCarlo!$B$7^2)/2)*MonteCarlo!$B$8)/(MonteCarlo!$B$7*SQRT(MonteCarlo!$B$8))),TRUE)),"")</f>
        <v/>
      </c>
      <c r="AD6" t="str">
        <f ca="1">IFERROR(IF(OR(MonteCarlo!$B$4="C",MonteCarlo!$B$4="c"),AD$1*_xlfn.NORM.S.DIST((LN(AD$1/$A6)+(MonteCarlo!$B$9+(MonteCarlo!$B$7^2)/2)*MonteCarlo!$B$8)/(MonteCarlo!$B$7*SQRT(MonteCarlo!$B$8)),TRUE)-$A6*EXP(-MonteCarlo!$B$9*MonteCarlo!$B$8)*_xlfn.NORM.S.DIST(((LN(AD$1/$A6)+(MonteCarlo!$B$9+(MonteCarlo!$B$7^2)/2)*MonteCarlo!$B$8)/(MonteCarlo!$B$7*SQRT(MonteCarlo!$B$8)))-(MonteCarlo!$B$7*SQRT(MonteCarlo!$B$8)),TRUE),$A6*EXP(-MonteCarlo!$B$9*MonteCarlo!$B$8)*_xlfn.NORM.S.DIST(-(((LN(AD$1/$A6)+(MonteCarlo!$B$9+(MonteCarlo!$B$7^2)/2)*MonteCarlo!$B$8)/(MonteCarlo!$B$7*SQRT(MonteCarlo!$B$8)))-(MonteCarlo!$B$7*SQRT(MonteCarlo!$B$8))),TRUE)-AD$1*_xlfn.NORM.S.DIST(-((LN(AD$1/$A6)+(MonteCarlo!$B$9+(MonteCarlo!$B$7^2)/2)*MonteCarlo!$B$8)/(MonteCarlo!$B$7*SQRT(MonteCarlo!$B$8))),TRUE)),"")</f>
        <v/>
      </c>
      <c r="AE6" t="str">
        <f ca="1">IFERROR(IF(OR(MonteCarlo!$B$4="C",MonteCarlo!$B$4="c"),AE$1*_xlfn.NORM.S.DIST((LN(AE$1/$A6)+(MonteCarlo!$B$9+(MonteCarlo!$B$7^2)/2)*MonteCarlo!$B$8)/(MonteCarlo!$B$7*SQRT(MonteCarlo!$B$8)),TRUE)-$A6*EXP(-MonteCarlo!$B$9*MonteCarlo!$B$8)*_xlfn.NORM.S.DIST(((LN(AE$1/$A6)+(MonteCarlo!$B$9+(MonteCarlo!$B$7^2)/2)*MonteCarlo!$B$8)/(MonteCarlo!$B$7*SQRT(MonteCarlo!$B$8)))-(MonteCarlo!$B$7*SQRT(MonteCarlo!$B$8)),TRUE),$A6*EXP(-MonteCarlo!$B$9*MonteCarlo!$B$8)*_xlfn.NORM.S.DIST(-(((LN(AE$1/$A6)+(MonteCarlo!$B$9+(MonteCarlo!$B$7^2)/2)*MonteCarlo!$B$8)/(MonteCarlo!$B$7*SQRT(MonteCarlo!$B$8)))-(MonteCarlo!$B$7*SQRT(MonteCarlo!$B$8))),TRUE)-AE$1*_xlfn.NORM.S.DIST(-((LN(AE$1/$A6)+(MonteCarlo!$B$9+(MonteCarlo!$B$7^2)/2)*MonteCarlo!$B$8)/(MonteCarlo!$B$7*SQRT(MonteCarlo!$B$8))),TRUE)),"")</f>
        <v/>
      </c>
      <c r="AF6" t="str">
        <f ca="1">IFERROR(IF(OR(MonteCarlo!$B$4="C",MonteCarlo!$B$4="c"),AF$1*_xlfn.NORM.S.DIST((LN(AF$1/$A6)+(MonteCarlo!$B$9+(MonteCarlo!$B$7^2)/2)*MonteCarlo!$B$8)/(MonteCarlo!$B$7*SQRT(MonteCarlo!$B$8)),TRUE)-$A6*EXP(-MonteCarlo!$B$9*MonteCarlo!$B$8)*_xlfn.NORM.S.DIST(((LN(AF$1/$A6)+(MonteCarlo!$B$9+(MonteCarlo!$B$7^2)/2)*MonteCarlo!$B$8)/(MonteCarlo!$B$7*SQRT(MonteCarlo!$B$8)))-(MonteCarlo!$B$7*SQRT(MonteCarlo!$B$8)),TRUE),$A6*EXP(-MonteCarlo!$B$9*MonteCarlo!$B$8)*_xlfn.NORM.S.DIST(-(((LN(AF$1/$A6)+(MonteCarlo!$B$9+(MonteCarlo!$B$7^2)/2)*MonteCarlo!$B$8)/(MonteCarlo!$B$7*SQRT(MonteCarlo!$B$8)))-(MonteCarlo!$B$7*SQRT(MonteCarlo!$B$8))),TRUE)-AF$1*_xlfn.NORM.S.DIST(-((LN(AF$1/$A6)+(MonteCarlo!$B$9+(MonteCarlo!$B$7^2)/2)*MonteCarlo!$B$8)/(MonteCarlo!$B$7*SQRT(MonteCarlo!$B$8))),TRUE)),"")</f>
        <v/>
      </c>
    </row>
    <row r="7" spans="2:32" x14ac:dyDescent="0.25">
      <c r="B7" t="str">
        <f ca="1">IFERROR(IF(OR(MonteCarlo!$B$4="C",MonteCarlo!$B$4="c"),B$1*_xlfn.NORM.S.DIST((LN(B$1/$A7)+(MonteCarlo!$B$9+(MonteCarlo!$B$7^2)/2)*MonteCarlo!$B$8)/(MonteCarlo!$B$7*SQRT(MonteCarlo!$B$8)),TRUE)-$A7*EXP(-MonteCarlo!$B$9*MonteCarlo!$B$8)*_xlfn.NORM.S.DIST(((LN(B$1/$A7)+(MonteCarlo!$B$9+(MonteCarlo!$B$7^2)/2)*MonteCarlo!$B$8)/(MonteCarlo!$B$7*SQRT(MonteCarlo!$B$8)))-(MonteCarlo!$B$7*SQRT(MonteCarlo!$B$8)),TRUE),$A7*EXP(-MonteCarlo!$B$9*MonteCarlo!$B$8)*_xlfn.NORM.S.DIST(-(((LN(B$1/$A7)+(MonteCarlo!$B$9+(MonteCarlo!$B$7^2)/2)*MonteCarlo!$B$8)/(MonteCarlo!$B$7*SQRT(MonteCarlo!$B$8)))-(MonteCarlo!$B$7*SQRT(MonteCarlo!$B$8))),TRUE)-B$1*_xlfn.NORM.S.DIST(-((LN(B$1/$A7)+(MonteCarlo!$B$9+(MonteCarlo!$B$7^2)/2)*MonteCarlo!$B$8)/(MonteCarlo!$B$7*SQRT(MonteCarlo!$B$8))),TRUE)),"")</f>
        <v/>
      </c>
      <c r="C7" t="str">
        <f ca="1">IFERROR(IF(OR(MonteCarlo!$B$4="C",MonteCarlo!$B$4="c"),C$1*_xlfn.NORM.S.DIST((LN(C$1/$A7)+(MonteCarlo!$B$9+(MonteCarlo!$B$7^2)/2)*MonteCarlo!$B$8)/(MonteCarlo!$B$7*SQRT(MonteCarlo!$B$8)),TRUE)-$A7*EXP(-MonteCarlo!$B$9*MonteCarlo!$B$8)*_xlfn.NORM.S.DIST(((LN(C$1/$A7)+(MonteCarlo!$B$9+(MonteCarlo!$B$7^2)/2)*MonteCarlo!$B$8)/(MonteCarlo!$B$7*SQRT(MonteCarlo!$B$8)))-(MonteCarlo!$B$7*SQRT(MonteCarlo!$B$8)),TRUE),$A7*EXP(-MonteCarlo!$B$9*MonteCarlo!$B$8)*_xlfn.NORM.S.DIST(-(((LN(C$1/$A7)+(MonteCarlo!$B$9+(MonteCarlo!$B$7^2)/2)*MonteCarlo!$B$8)/(MonteCarlo!$B$7*SQRT(MonteCarlo!$B$8)))-(MonteCarlo!$B$7*SQRT(MonteCarlo!$B$8))),TRUE)-C$1*_xlfn.NORM.S.DIST(-((LN(C$1/$A7)+(MonteCarlo!$B$9+(MonteCarlo!$B$7^2)/2)*MonteCarlo!$B$8)/(MonteCarlo!$B$7*SQRT(MonteCarlo!$B$8))),TRUE)),"")</f>
        <v/>
      </c>
      <c r="D7" t="str">
        <f ca="1">IFERROR(IF(OR(MonteCarlo!$B$4="C",MonteCarlo!$B$4="c"),D$1*_xlfn.NORM.S.DIST((LN(D$1/$A7)+(MonteCarlo!$B$9+(MonteCarlo!$B$7^2)/2)*MonteCarlo!$B$8)/(MonteCarlo!$B$7*SQRT(MonteCarlo!$B$8)),TRUE)-$A7*EXP(-MonteCarlo!$B$9*MonteCarlo!$B$8)*_xlfn.NORM.S.DIST(((LN(D$1/$A7)+(MonteCarlo!$B$9+(MonteCarlo!$B$7^2)/2)*MonteCarlo!$B$8)/(MonteCarlo!$B$7*SQRT(MonteCarlo!$B$8)))-(MonteCarlo!$B$7*SQRT(MonteCarlo!$B$8)),TRUE),$A7*EXP(-MonteCarlo!$B$9*MonteCarlo!$B$8)*_xlfn.NORM.S.DIST(-(((LN(D$1/$A7)+(MonteCarlo!$B$9+(MonteCarlo!$B$7^2)/2)*MonteCarlo!$B$8)/(MonteCarlo!$B$7*SQRT(MonteCarlo!$B$8)))-(MonteCarlo!$B$7*SQRT(MonteCarlo!$B$8))),TRUE)-D$1*_xlfn.NORM.S.DIST(-((LN(D$1/$A7)+(MonteCarlo!$B$9+(MonteCarlo!$B$7^2)/2)*MonteCarlo!$B$8)/(MonteCarlo!$B$7*SQRT(MonteCarlo!$B$8))),TRUE)),"")</f>
        <v/>
      </c>
      <c r="E7" t="str">
        <f ca="1">IFERROR(IF(OR(MonteCarlo!$B$4="C",MonteCarlo!$B$4="c"),E$1*_xlfn.NORM.S.DIST((LN(E$1/$A7)+(MonteCarlo!$B$9+(MonteCarlo!$B$7^2)/2)*MonteCarlo!$B$8)/(MonteCarlo!$B$7*SQRT(MonteCarlo!$B$8)),TRUE)-$A7*EXP(-MonteCarlo!$B$9*MonteCarlo!$B$8)*_xlfn.NORM.S.DIST(((LN(E$1/$A7)+(MonteCarlo!$B$9+(MonteCarlo!$B$7^2)/2)*MonteCarlo!$B$8)/(MonteCarlo!$B$7*SQRT(MonteCarlo!$B$8)))-(MonteCarlo!$B$7*SQRT(MonteCarlo!$B$8)),TRUE),$A7*EXP(-MonteCarlo!$B$9*MonteCarlo!$B$8)*_xlfn.NORM.S.DIST(-(((LN(E$1/$A7)+(MonteCarlo!$B$9+(MonteCarlo!$B$7^2)/2)*MonteCarlo!$B$8)/(MonteCarlo!$B$7*SQRT(MonteCarlo!$B$8)))-(MonteCarlo!$B$7*SQRT(MonteCarlo!$B$8))),TRUE)-E$1*_xlfn.NORM.S.DIST(-((LN(E$1/$A7)+(MonteCarlo!$B$9+(MonteCarlo!$B$7^2)/2)*MonteCarlo!$B$8)/(MonteCarlo!$B$7*SQRT(MonteCarlo!$B$8))),TRUE)),"")</f>
        <v/>
      </c>
      <c r="F7" t="str">
        <f ca="1">IFERROR(IF(OR(MonteCarlo!$B$4="C",MonteCarlo!$B$4="c"),F$1*_xlfn.NORM.S.DIST((LN(F$1/$A7)+(MonteCarlo!$B$9+(MonteCarlo!$B$7^2)/2)*MonteCarlo!$B$8)/(MonteCarlo!$B$7*SQRT(MonteCarlo!$B$8)),TRUE)-$A7*EXP(-MonteCarlo!$B$9*MonteCarlo!$B$8)*_xlfn.NORM.S.DIST(((LN(F$1/$A7)+(MonteCarlo!$B$9+(MonteCarlo!$B$7^2)/2)*MonteCarlo!$B$8)/(MonteCarlo!$B$7*SQRT(MonteCarlo!$B$8)))-(MonteCarlo!$B$7*SQRT(MonteCarlo!$B$8)),TRUE),$A7*EXP(-MonteCarlo!$B$9*MonteCarlo!$B$8)*_xlfn.NORM.S.DIST(-(((LN(F$1/$A7)+(MonteCarlo!$B$9+(MonteCarlo!$B$7^2)/2)*MonteCarlo!$B$8)/(MonteCarlo!$B$7*SQRT(MonteCarlo!$B$8)))-(MonteCarlo!$B$7*SQRT(MonteCarlo!$B$8))),TRUE)-F$1*_xlfn.NORM.S.DIST(-((LN(F$1/$A7)+(MonteCarlo!$B$9+(MonteCarlo!$B$7^2)/2)*MonteCarlo!$B$8)/(MonteCarlo!$B$7*SQRT(MonteCarlo!$B$8))),TRUE)),"")</f>
        <v/>
      </c>
      <c r="G7" t="str">
        <f ca="1">IFERROR(IF(OR(MonteCarlo!$B$4="C",MonteCarlo!$B$4="c"),G$1*_xlfn.NORM.S.DIST((LN(G$1/$A7)+(MonteCarlo!$B$9+(MonteCarlo!$B$7^2)/2)*MonteCarlo!$B$8)/(MonteCarlo!$B$7*SQRT(MonteCarlo!$B$8)),TRUE)-$A7*EXP(-MonteCarlo!$B$9*MonteCarlo!$B$8)*_xlfn.NORM.S.DIST(((LN(G$1/$A7)+(MonteCarlo!$B$9+(MonteCarlo!$B$7^2)/2)*MonteCarlo!$B$8)/(MonteCarlo!$B$7*SQRT(MonteCarlo!$B$8)))-(MonteCarlo!$B$7*SQRT(MonteCarlo!$B$8)),TRUE),$A7*EXP(-MonteCarlo!$B$9*MonteCarlo!$B$8)*_xlfn.NORM.S.DIST(-(((LN(G$1/$A7)+(MonteCarlo!$B$9+(MonteCarlo!$B$7^2)/2)*MonteCarlo!$B$8)/(MonteCarlo!$B$7*SQRT(MonteCarlo!$B$8)))-(MonteCarlo!$B$7*SQRT(MonteCarlo!$B$8))),TRUE)-G$1*_xlfn.NORM.S.DIST(-((LN(G$1/$A7)+(MonteCarlo!$B$9+(MonteCarlo!$B$7^2)/2)*MonteCarlo!$B$8)/(MonteCarlo!$B$7*SQRT(MonteCarlo!$B$8))),TRUE)),"")</f>
        <v/>
      </c>
      <c r="H7" t="str">
        <f ca="1">IFERROR(IF(OR(MonteCarlo!$B$4="C",MonteCarlo!$B$4="c"),H$1*_xlfn.NORM.S.DIST((LN(H$1/$A7)+(MonteCarlo!$B$9+(MonteCarlo!$B$7^2)/2)*MonteCarlo!$B$8)/(MonteCarlo!$B$7*SQRT(MonteCarlo!$B$8)),TRUE)-$A7*EXP(-MonteCarlo!$B$9*MonteCarlo!$B$8)*_xlfn.NORM.S.DIST(((LN(H$1/$A7)+(MonteCarlo!$B$9+(MonteCarlo!$B$7^2)/2)*MonteCarlo!$B$8)/(MonteCarlo!$B$7*SQRT(MonteCarlo!$B$8)))-(MonteCarlo!$B$7*SQRT(MonteCarlo!$B$8)),TRUE),$A7*EXP(-MonteCarlo!$B$9*MonteCarlo!$B$8)*_xlfn.NORM.S.DIST(-(((LN(H$1/$A7)+(MonteCarlo!$B$9+(MonteCarlo!$B$7^2)/2)*MonteCarlo!$B$8)/(MonteCarlo!$B$7*SQRT(MonteCarlo!$B$8)))-(MonteCarlo!$B$7*SQRT(MonteCarlo!$B$8))),TRUE)-H$1*_xlfn.NORM.S.DIST(-((LN(H$1/$A7)+(MonteCarlo!$B$9+(MonteCarlo!$B$7^2)/2)*MonteCarlo!$B$8)/(MonteCarlo!$B$7*SQRT(MonteCarlo!$B$8))),TRUE)),"")</f>
        <v/>
      </c>
      <c r="I7" t="str">
        <f ca="1">IFERROR(IF(OR(MonteCarlo!$B$4="C",MonteCarlo!$B$4="c"),I$1*_xlfn.NORM.S.DIST((LN(I$1/$A7)+(MonteCarlo!$B$9+(MonteCarlo!$B$7^2)/2)*MonteCarlo!$B$8)/(MonteCarlo!$B$7*SQRT(MonteCarlo!$B$8)),TRUE)-$A7*EXP(-MonteCarlo!$B$9*MonteCarlo!$B$8)*_xlfn.NORM.S.DIST(((LN(I$1/$A7)+(MonteCarlo!$B$9+(MonteCarlo!$B$7^2)/2)*MonteCarlo!$B$8)/(MonteCarlo!$B$7*SQRT(MonteCarlo!$B$8)))-(MonteCarlo!$B$7*SQRT(MonteCarlo!$B$8)),TRUE),$A7*EXP(-MonteCarlo!$B$9*MonteCarlo!$B$8)*_xlfn.NORM.S.DIST(-(((LN(I$1/$A7)+(MonteCarlo!$B$9+(MonteCarlo!$B$7^2)/2)*MonteCarlo!$B$8)/(MonteCarlo!$B$7*SQRT(MonteCarlo!$B$8)))-(MonteCarlo!$B$7*SQRT(MonteCarlo!$B$8))),TRUE)-I$1*_xlfn.NORM.S.DIST(-((LN(I$1/$A7)+(MonteCarlo!$B$9+(MonteCarlo!$B$7^2)/2)*MonteCarlo!$B$8)/(MonteCarlo!$B$7*SQRT(MonteCarlo!$B$8))),TRUE)),"")</f>
        <v/>
      </c>
      <c r="J7" t="str">
        <f ca="1">IFERROR(IF(OR(MonteCarlo!$B$4="C",MonteCarlo!$B$4="c"),J$1*_xlfn.NORM.S.DIST((LN(J$1/$A7)+(MonteCarlo!$B$9+(MonteCarlo!$B$7^2)/2)*MonteCarlo!$B$8)/(MonteCarlo!$B$7*SQRT(MonteCarlo!$B$8)),TRUE)-$A7*EXP(-MonteCarlo!$B$9*MonteCarlo!$B$8)*_xlfn.NORM.S.DIST(((LN(J$1/$A7)+(MonteCarlo!$B$9+(MonteCarlo!$B$7^2)/2)*MonteCarlo!$B$8)/(MonteCarlo!$B$7*SQRT(MonteCarlo!$B$8)))-(MonteCarlo!$B$7*SQRT(MonteCarlo!$B$8)),TRUE),$A7*EXP(-MonteCarlo!$B$9*MonteCarlo!$B$8)*_xlfn.NORM.S.DIST(-(((LN(J$1/$A7)+(MonteCarlo!$B$9+(MonteCarlo!$B$7^2)/2)*MonteCarlo!$B$8)/(MonteCarlo!$B$7*SQRT(MonteCarlo!$B$8)))-(MonteCarlo!$B$7*SQRT(MonteCarlo!$B$8))),TRUE)-J$1*_xlfn.NORM.S.DIST(-((LN(J$1/$A7)+(MonteCarlo!$B$9+(MonteCarlo!$B$7^2)/2)*MonteCarlo!$B$8)/(MonteCarlo!$B$7*SQRT(MonteCarlo!$B$8))),TRUE)),"")</f>
        <v/>
      </c>
      <c r="K7" t="str">
        <f ca="1">IFERROR(IF(OR(MonteCarlo!$B$4="C",MonteCarlo!$B$4="c"),K$1*_xlfn.NORM.S.DIST((LN(K$1/$A7)+(MonteCarlo!$B$9+(MonteCarlo!$B$7^2)/2)*MonteCarlo!$B$8)/(MonteCarlo!$B$7*SQRT(MonteCarlo!$B$8)),TRUE)-$A7*EXP(-MonteCarlo!$B$9*MonteCarlo!$B$8)*_xlfn.NORM.S.DIST(((LN(K$1/$A7)+(MonteCarlo!$B$9+(MonteCarlo!$B$7^2)/2)*MonteCarlo!$B$8)/(MonteCarlo!$B$7*SQRT(MonteCarlo!$B$8)))-(MonteCarlo!$B$7*SQRT(MonteCarlo!$B$8)),TRUE),$A7*EXP(-MonteCarlo!$B$9*MonteCarlo!$B$8)*_xlfn.NORM.S.DIST(-(((LN(K$1/$A7)+(MonteCarlo!$B$9+(MonteCarlo!$B$7^2)/2)*MonteCarlo!$B$8)/(MonteCarlo!$B$7*SQRT(MonteCarlo!$B$8)))-(MonteCarlo!$B$7*SQRT(MonteCarlo!$B$8))),TRUE)-K$1*_xlfn.NORM.S.DIST(-((LN(K$1/$A7)+(MonteCarlo!$B$9+(MonteCarlo!$B$7^2)/2)*MonteCarlo!$B$8)/(MonteCarlo!$B$7*SQRT(MonteCarlo!$B$8))),TRUE)),"")</f>
        <v/>
      </c>
      <c r="L7" t="str">
        <f ca="1">IFERROR(IF(OR(MonteCarlo!$B$4="C",MonteCarlo!$B$4="c"),L$1*_xlfn.NORM.S.DIST((LN(L$1/$A7)+(MonteCarlo!$B$9+(MonteCarlo!$B$7^2)/2)*MonteCarlo!$B$8)/(MonteCarlo!$B$7*SQRT(MonteCarlo!$B$8)),TRUE)-$A7*EXP(-MonteCarlo!$B$9*MonteCarlo!$B$8)*_xlfn.NORM.S.DIST(((LN(L$1/$A7)+(MonteCarlo!$B$9+(MonteCarlo!$B$7^2)/2)*MonteCarlo!$B$8)/(MonteCarlo!$B$7*SQRT(MonteCarlo!$B$8)))-(MonteCarlo!$B$7*SQRT(MonteCarlo!$B$8)),TRUE),$A7*EXP(-MonteCarlo!$B$9*MonteCarlo!$B$8)*_xlfn.NORM.S.DIST(-(((LN(L$1/$A7)+(MonteCarlo!$B$9+(MonteCarlo!$B$7^2)/2)*MonteCarlo!$B$8)/(MonteCarlo!$B$7*SQRT(MonteCarlo!$B$8)))-(MonteCarlo!$B$7*SQRT(MonteCarlo!$B$8))),TRUE)-L$1*_xlfn.NORM.S.DIST(-((LN(L$1/$A7)+(MonteCarlo!$B$9+(MonteCarlo!$B$7^2)/2)*MonteCarlo!$B$8)/(MonteCarlo!$B$7*SQRT(MonteCarlo!$B$8))),TRUE)),"")</f>
        <v/>
      </c>
      <c r="M7" t="str">
        <f ca="1">IFERROR(IF(OR(MonteCarlo!$B$4="C",MonteCarlo!$B$4="c"),M$1*_xlfn.NORM.S.DIST((LN(M$1/$A7)+(MonteCarlo!$B$9+(MonteCarlo!$B$7^2)/2)*MonteCarlo!$B$8)/(MonteCarlo!$B$7*SQRT(MonteCarlo!$B$8)),TRUE)-$A7*EXP(-MonteCarlo!$B$9*MonteCarlo!$B$8)*_xlfn.NORM.S.DIST(((LN(M$1/$A7)+(MonteCarlo!$B$9+(MonteCarlo!$B$7^2)/2)*MonteCarlo!$B$8)/(MonteCarlo!$B$7*SQRT(MonteCarlo!$B$8)))-(MonteCarlo!$B$7*SQRT(MonteCarlo!$B$8)),TRUE),$A7*EXP(-MonteCarlo!$B$9*MonteCarlo!$B$8)*_xlfn.NORM.S.DIST(-(((LN(M$1/$A7)+(MonteCarlo!$B$9+(MonteCarlo!$B$7^2)/2)*MonteCarlo!$B$8)/(MonteCarlo!$B$7*SQRT(MonteCarlo!$B$8)))-(MonteCarlo!$B$7*SQRT(MonteCarlo!$B$8))),TRUE)-M$1*_xlfn.NORM.S.DIST(-((LN(M$1/$A7)+(MonteCarlo!$B$9+(MonteCarlo!$B$7^2)/2)*MonteCarlo!$B$8)/(MonteCarlo!$B$7*SQRT(MonteCarlo!$B$8))),TRUE)),"")</f>
        <v/>
      </c>
      <c r="N7" t="str">
        <f ca="1">IFERROR(IF(OR(MonteCarlo!$B$4="C",MonteCarlo!$B$4="c"),N$1*_xlfn.NORM.S.DIST((LN(N$1/$A7)+(MonteCarlo!$B$9+(MonteCarlo!$B$7^2)/2)*MonteCarlo!$B$8)/(MonteCarlo!$B$7*SQRT(MonteCarlo!$B$8)),TRUE)-$A7*EXP(-MonteCarlo!$B$9*MonteCarlo!$B$8)*_xlfn.NORM.S.DIST(((LN(N$1/$A7)+(MonteCarlo!$B$9+(MonteCarlo!$B$7^2)/2)*MonteCarlo!$B$8)/(MonteCarlo!$B$7*SQRT(MonteCarlo!$B$8)))-(MonteCarlo!$B$7*SQRT(MonteCarlo!$B$8)),TRUE),$A7*EXP(-MonteCarlo!$B$9*MonteCarlo!$B$8)*_xlfn.NORM.S.DIST(-(((LN(N$1/$A7)+(MonteCarlo!$B$9+(MonteCarlo!$B$7^2)/2)*MonteCarlo!$B$8)/(MonteCarlo!$B$7*SQRT(MonteCarlo!$B$8)))-(MonteCarlo!$B$7*SQRT(MonteCarlo!$B$8))),TRUE)-N$1*_xlfn.NORM.S.DIST(-((LN(N$1/$A7)+(MonteCarlo!$B$9+(MonteCarlo!$B$7^2)/2)*MonteCarlo!$B$8)/(MonteCarlo!$B$7*SQRT(MonteCarlo!$B$8))),TRUE)),"")</f>
        <v/>
      </c>
      <c r="O7" t="str">
        <f ca="1">IFERROR(IF(OR(MonteCarlo!$B$4="C",MonteCarlo!$B$4="c"),O$1*_xlfn.NORM.S.DIST((LN(O$1/$A7)+(MonteCarlo!$B$9+(MonteCarlo!$B$7^2)/2)*MonteCarlo!$B$8)/(MonteCarlo!$B$7*SQRT(MonteCarlo!$B$8)),TRUE)-$A7*EXP(-MonteCarlo!$B$9*MonteCarlo!$B$8)*_xlfn.NORM.S.DIST(((LN(O$1/$A7)+(MonteCarlo!$B$9+(MonteCarlo!$B$7^2)/2)*MonteCarlo!$B$8)/(MonteCarlo!$B$7*SQRT(MonteCarlo!$B$8)))-(MonteCarlo!$B$7*SQRT(MonteCarlo!$B$8)),TRUE),$A7*EXP(-MonteCarlo!$B$9*MonteCarlo!$B$8)*_xlfn.NORM.S.DIST(-(((LN(O$1/$A7)+(MonteCarlo!$B$9+(MonteCarlo!$B$7^2)/2)*MonteCarlo!$B$8)/(MonteCarlo!$B$7*SQRT(MonteCarlo!$B$8)))-(MonteCarlo!$B$7*SQRT(MonteCarlo!$B$8))),TRUE)-O$1*_xlfn.NORM.S.DIST(-((LN(O$1/$A7)+(MonteCarlo!$B$9+(MonteCarlo!$B$7^2)/2)*MonteCarlo!$B$8)/(MonteCarlo!$B$7*SQRT(MonteCarlo!$B$8))),TRUE)),"")</f>
        <v/>
      </c>
      <c r="P7" t="str">
        <f ca="1">IFERROR(IF(OR(MonteCarlo!$B$4="C",MonteCarlo!$B$4="c"),P$1*_xlfn.NORM.S.DIST((LN(P$1/$A7)+(MonteCarlo!$B$9+(MonteCarlo!$B$7^2)/2)*MonteCarlo!$B$8)/(MonteCarlo!$B$7*SQRT(MonteCarlo!$B$8)),TRUE)-$A7*EXP(-MonteCarlo!$B$9*MonteCarlo!$B$8)*_xlfn.NORM.S.DIST(((LN(P$1/$A7)+(MonteCarlo!$B$9+(MonteCarlo!$B$7^2)/2)*MonteCarlo!$B$8)/(MonteCarlo!$B$7*SQRT(MonteCarlo!$B$8)))-(MonteCarlo!$B$7*SQRT(MonteCarlo!$B$8)),TRUE),$A7*EXP(-MonteCarlo!$B$9*MonteCarlo!$B$8)*_xlfn.NORM.S.DIST(-(((LN(P$1/$A7)+(MonteCarlo!$B$9+(MonteCarlo!$B$7^2)/2)*MonteCarlo!$B$8)/(MonteCarlo!$B$7*SQRT(MonteCarlo!$B$8)))-(MonteCarlo!$B$7*SQRT(MonteCarlo!$B$8))),TRUE)-P$1*_xlfn.NORM.S.DIST(-((LN(P$1/$A7)+(MonteCarlo!$B$9+(MonteCarlo!$B$7^2)/2)*MonteCarlo!$B$8)/(MonteCarlo!$B$7*SQRT(MonteCarlo!$B$8))),TRUE)),"")</f>
        <v/>
      </c>
      <c r="Q7" t="str">
        <f ca="1">IFERROR(IF(OR(MonteCarlo!$B$4="C",MonteCarlo!$B$4="c"),Q$1*_xlfn.NORM.S.DIST((LN(Q$1/$A7)+(MonteCarlo!$B$9+(MonteCarlo!$B$7^2)/2)*MonteCarlo!$B$8)/(MonteCarlo!$B$7*SQRT(MonteCarlo!$B$8)),TRUE)-$A7*EXP(-MonteCarlo!$B$9*MonteCarlo!$B$8)*_xlfn.NORM.S.DIST(((LN(Q$1/$A7)+(MonteCarlo!$B$9+(MonteCarlo!$B$7^2)/2)*MonteCarlo!$B$8)/(MonteCarlo!$B$7*SQRT(MonteCarlo!$B$8)))-(MonteCarlo!$B$7*SQRT(MonteCarlo!$B$8)),TRUE),$A7*EXP(-MonteCarlo!$B$9*MonteCarlo!$B$8)*_xlfn.NORM.S.DIST(-(((LN(Q$1/$A7)+(MonteCarlo!$B$9+(MonteCarlo!$B$7^2)/2)*MonteCarlo!$B$8)/(MonteCarlo!$B$7*SQRT(MonteCarlo!$B$8)))-(MonteCarlo!$B$7*SQRT(MonteCarlo!$B$8))),TRUE)-Q$1*_xlfn.NORM.S.DIST(-((LN(Q$1/$A7)+(MonteCarlo!$B$9+(MonteCarlo!$B$7^2)/2)*MonteCarlo!$B$8)/(MonteCarlo!$B$7*SQRT(MonteCarlo!$B$8))),TRUE)),"")</f>
        <v/>
      </c>
      <c r="R7" t="str">
        <f ca="1">IFERROR(IF(OR(MonteCarlo!$B$4="C",MonteCarlo!$B$4="c"),R$1*_xlfn.NORM.S.DIST((LN(R$1/$A7)+(MonteCarlo!$B$9+(MonteCarlo!$B$7^2)/2)*MonteCarlo!$B$8)/(MonteCarlo!$B$7*SQRT(MonteCarlo!$B$8)),TRUE)-$A7*EXP(-MonteCarlo!$B$9*MonteCarlo!$B$8)*_xlfn.NORM.S.DIST(((LN(R$1/$A7)+(MonteCarlo!$B$9+(MonteCarlo!$B$7^2)/2)*MonteCarlo!$B$8)/(MonteCarlo!$B$7*SQRT(MonteCarlo!$B$8)))-(MonteCarlo!$B$7*SQRT(MonteCarlo!$B$8)),TRUE),$A7*EXP(-MonteCarlo!$B$9*MonteCarlo!$B$8)*_xlfn.NORM.S.DIST(-(((LN(R$1/$A7)+(MonteCarlo!$B$9+(MonteCarlo!$B$7^2)/2)*MonteCarlo!$B$8)/(MonteCarlo!$B$7*SQRT(MonteCarlo!$B$8)))-(MonteCarlo!$B$7*SQRT(MonteCarlo!$B$8))),TRUE)-R$1*_xlfn.NORM.S.DIST(-((LN(R$1/$A7)+(MonteCarlo!$B$9+(MonteCarlo!$B$7^2)/2)*MonteCarlo!$B$8)/(MonteCarlo!$B$7*SQRT(MonteCarlo!$B$8))),TRUE)),"")</f>
        <v/>
      </c>
      <c r="S7" t="str">
        <f ca="1">IFERROR(IF(OR(MonteCarlo!$B$4="C",MonteCarlo!$B$4="c"),S$1*_xlfn.NORM.S.DIST((LN(S$1/$A7)+(MonteCarlo!$B$9+(MonteCarlo!$B$7^2)/2)*MonteCarlo!$B$8)/(MonteCarlo!$B$7*SQRT(MonteCarlo!$B$8)),TRUE)-$A7*EXP(-MonteCarlo!$B$9*MonteCarlo!$B$8)*_xlfn.NORM.S.DIST(((LN(S$1/$A7)+(MonteCarlo!$B$9+(MonteCarlo!$B$7^2)/2)*MonteCarlo!$B$8)/(MonteCarlo!$B$7*SQRT(MonteCarlo!$B$8)))-(MonteCarlo!$B$7*SQRT(MonteCarlo!$B$8)),TRUE),$A7*EXP(-MonteCarlo!$B$9*MonteCarlo!$B$8)*_xlfn.NORM.S.DIST(-(((LN(S$1/$A7)+(MonteCarlo!$B$9+(MonteCarlo!$B$7^2)/2)*MonteCarlo!$B$8)/(MonteCarlo!$B$7*SQRT(MonteCarlo!$B$8)))-(MonteCarlo!$B$7*SQRT(MonteCarlo!$B$8))),TRUE)-S$1*_xlfn.NORM.S.DIST(-((LN(S$1/$A7)+(MonteCarlo!$B$9+(MonteCarlo!$B$7^2)/2)*MonteCarlo!$B$8)/(MonteCarlo!$B$7*SQRT(MonteCarlo!$B$8))),TRUE)),"")</f>
        <v/>
      </c>
      <c r="T7" t="str">
        <f ca="1">IFERROR(IF(OR(MonteCarlo!$B$4="C",MonteCarlo!$B$4="c"),T$1*_xlfn.NORM.S.DIST((LN(T$1/$A7)+(MonteCarlo!$B$9+(MonteCarlo!$B$7^2)/2)*MonteCarlo!$B$8)/(MonteCarlo!$B$7*SQRT(MonteCarlo!$B$8)),TRUE)-$A7*EXP(-MonteCarlo!$B$9*MonteCarlo!$B$8)*_xlfn.NORM.S.DIST(((LN(T$1/$A7)+(MonteCarlo!$B$9+(MonteCarlo!$B$7^2)/2)*MonteCarlo!$B$8)/(MonteCarlo!$B$7*SQRT(MonteCarlo!$B$8)))-(MonteCarlo!$B$7*SQRT(MonteCarlo!$B$8)),TRUE),$A7*EXP(-MonteCarlo!$B$9*MonteCarlo!$B$8)*_xlfn.NORM.S.DIST(-(((LN(T$1/$A7)+(MonteCarlo!$B$9+(MonteCarlo!$B$7^2)/2)*MonteCarlo!$B$8)/(MonteCarlo!$B$7*SQRT(MonteCarlo!$B$8)))-(MonteCarlo!$B$7*SQRT(MonteCarlo!$B$8))),TRUE)-T$1*_xlfn.NORM.S.DIST(-((LN(T$1/$A7)+(MonteCarlo!$B$9+(MonteCarlo!$B$7^2)/2)*MonteCarlo!$B$8)/(MonteCarlo!$B$7*SQRT(MonteCarlo!$B$8))),TRUE)),"")</f>
        <v/>
      </c>
      <c r="U7" t="str">
        <f ca="1">IFERROR(IF(OR(MonteCarlo!$B$4="C",MonteCarlo!$B$4="c"),U$1*_xlfn.NORM.S.DIST((LN(U$1/$A7)+(MonteCarlo!$B$9+(MonteCarlo!$B$7^2)/2)*MonteCarlo!$B$8)/(MonteCarlo!$B$7*SQRT(MonteCarlo!$B$8)),TRUE)-$A7*EXP(-MonteCarlo!$B$9*MonteCarlo!$B$8)*_xlfn.NORM.S.DIST(((LN(U$1/$A7)+(MonteCarlo!$B$9+(MonteCarlo!$B$7^2)/2)*MonteCarlo!$B$8)/(MonteCarlo!$B$7*SQRT(MonteCarlo!$B$8)))-(MonteCarlo!$B$7*SQRT(MonteCarlo!$B$8)),TRUE),$A7*EXP(-MonteCarlo!$B$9*MonteCarlo!$B$8)*_xlfn.NORM.S.DIST(-(((LN(U$1/$A7)+(MonteCarlo!$B$9+(MonteCarlo!$B$7^2)/2)*MonteCarlo!$B$8)/(MonteCarlo!$B$7*SQRT(MonteCarlo!$B$8)))-(MonteCarlo!$B$7*SQRT(MonteCarlo!$B$8))),TRUE)-U$1*_xlfn.NORM.S.DIST(-((LN(U$1/$A7)+(MonteCarlo!$B$9+(MonteCarlo!$B$7^2)/2)*MonteCarlo!$B$8)/(MonteCarlo!$B$7*SQRT(MonteCarlo!$B$8))),TRUE)),"")</f>
        <v/>
      </c>
      <c r="V7" t="str">
        <f ca="1">IFERROR(IF(OR(MonteCarlo!$B$4="C",MonteCarlo!$B$4="c"),V$1*_xlfn.NORM.S.DIST((LN(V$1/$A7)+(MonteCarlo!$B$9+(MonteCarlo!$B$7^2)/2)*MonteCarlo!$B$8)/(MonteCarlo!$B$7*SQRT(MonteCarlo!$B$8)),TRUE)-$A7*EXP(-MonteCarlo!$B$9*MonteCarlo!$B$8)*_xlfn.NORM.S.DIST(((LN(V$1/$A7)+(MonteCarlo!$B$9+(MonteCarlo!$B$7^2)/2)*MonteCarlo!$B$8)/(MonteCarlo!$B$7*SQRT(MonteCarlo!$B$8)))-(MonteCarlo!$B$7*SQRT(MonteCarlo!$B$8)),TRUE),$A7*EXP(-MonteCarlo!$B$9*MonteCarlo!$B$8)*_xlfn.NORM.S.DIST(-(((LN(V$1/$A7)+(MonteCarlo!$B$9+(MonteCarlo!$B$7^2)/2)*MonteCarlo!$B$8)/(MonteCarlo!$B$7*SQRT(MonteCarlo!$B$8)))-(MonteCarlo!$B$7*SQRT(MonteCarlo!$B$8))),TRUE)-V$1*_xlfn.NORM.S.DIST(-((LN(V$1/$A7)+(MonteCarlo!$B$9+(MonteCarlo!$B$7^2)/2)*MonteCarlo!$B$8)/(MonteCarlo!$B$7*SQRT(MonteCarlo!$B$8))),TRUE)),"")</f>
        <v/>
      </c>
      <c r="W7" t="str">
        <f ca="1">IFERROR(IF(OR(MonteCarlo!$B$4="C",MonteCarlo!$B$4="c"),W$1*_xlfn.NORM.S.DIST((LN(W$1/$A7)+(MonteCarlo!$B$9+(MonteCarlo!$B$7^2)/2)*MonteCarlo!$B$8)/(MonteCarlo!$B$7*SQRT(MonteCarlo!$B$8)),TRUE)-$A7*EXP(-MonteCarlo!$B$9*MonteCarlo!$B$8)*_xlfn.NORM.S.DIST(((LN(W$1/$A7)+(MonteCarlo!$B$9+(MonteCarlo!$B$7^2)/2)*MonteCarlo!$B$8)/(MonteCarlo!$B$7*SQRT(MonteCarlo!$B$8)))-(MonteCarlo!$B$7*SQRT(MonteCarlo!$B$8)),TRUE),$A7*EXP(-MonteCarlo!$B$9*MonteCarlo!$B$8)*_xlfn.NORM.S.DIST(-(((LN(W$1/$A7)+(MonteCarlo!$B$9+(MonteCarlo!$B$7^2)/2)*MonteCarlo!$B$8)/(MonteCarlo!$B$7*SQRT(MonteCarlo!$B$8)))-(MonteCarlo!$B$7*SQRT(MonteCarlo!$B$8))),TRUE)-W$1*_xlfn.NORM.S.DIST(-((LN(W$1/$A7)+(MonteCarlo!$B$9+(MonteCarlo!$B$7^2)/2)*MonteCarlo!$B$8)/(MonteCarlo!$B$7*SQRT(MonteCarlo!$B$8))),TRUE)),"")</f>
        <v/>
      </c>
      <c r="X7" t="str">
        <f ca="1">IFERROR(IF(OR(MonteCarlo!$B$4="C",MonteCarlo!$B$4="c"),X$1*_xlfn.NORM.S.DIST((LN(X$1/$A7)+(MonteCarlo!$B$9+(MonteCarlo!$B$7^2)/2)*MonteCarlo!$B$8)/(MonteCarlo!$B$7*SQRT(MonteCarlo!$B$8)),TRUE)-$A7*EXP(-MonteCarlo!$B$9*MonteCarlo!$B$8)*_xlfn.NORM.S.DIST(((LN(X$1/$A7)+(MonteCarlo!$B$9+(MonteCarlo!$B$7^2)/2)*MonteCarlo!$B$8)/(MonteCarlo!$B$7*SQRT(MonteCarlo!$B$8)))-(MonteCarlo!$B$7*SQRT(MonteCarlo!$B$8)),TRUE),$A7*EXP(-MonteCarlo!$B$9*MonteCarlo!$B$8)*_xlfn.NORM.S.DIST(-(((LN(X$1/$A7)+(MonteCarlo!$B$9+(MonteCarlo!$B$7^2)/2)*MonteCarlo!$B$8)/(MonteCarlo!$B$7*SQRT(MonteCarlo!$B$8)))-(MonteCarlo!$B$7*SQRT(MonteCarlo!$B$8))),TRUE)-X$1*_xlfn.NORM.S.DIST(-((LN(X$1/$A7)+(MonteCarlo!$B$9+(MonteCarlo!$B$7^2)/2)*MonteCarlo!$B$8)/(MonteCarlo!$B$7*SQRT(MonteCarlo!$B$8))),TRUE)),"")</f>
        <v/>
      </c>
      <c r="Y7" t="str">
        <f ca="1">IFERROR(IF(OR(MonteCarlo!$B$4="C",MonteCarlo!$B$4="c"),Y$1*_xlfn.NORM.S.DIST((LN(Y$1/$A7)+(MonteCarlo!$B$9+(MonteCarlo!$B$7^2)/2)*MonteCarlo!$B$8)/(MonteCarlo!$B$7*SQRT(MonteCarlo!$B$8)),TRUE)-$A7*EXP(-MonteCarlo!$B$9*MonteCarlo!$B$8)*_xlfn.NORM.S.DIST(((LN(Y$1/$A7)+(MonteCarlo!$B$9+(MonteCarlo!$B$7^2)/2)*MonteCarlo!$B$8)/(MonteCarlo!$B$7*SQRT(MonteCarlo!$B$8)))-(MonteCarlo!$B$7*SQRT(MonteCarlo!$B$8)),TRUE),$A7*EXP(-MonteCarlo!$B$9*MonteCarlo!$B$8)*_xlfn.NORM.S.DIST(-(((LN(Y$1/$A7)+(MonteCarlo!$B$9+(MonteCarlo!$B$7^2)/2)*MonteCarlo!$B$8)/(MonteCarlo!$B$7*SQRT(MonteCarlo!$B$8)))-(MonteCarlo!$B$7*SQRT(MonteCarlo!$B$8))),TRUE)-Y$1*_xlfn.NORM.S.DIST(-((LN(Y$1/$A7)+(MonteCarlo!$B$9+(MonteCarlo!$B$7^2)/2)*MonteCarlo!$B$8)/(MonteCarlo!$B$7*SQRT(MonteCarlo!$B$8))),TRUE)),"")</f>
        <v/>
      </c>
      <c r="Z7" t="str">
        <f ca="1">IFERROR(IF(OR(MonteCarlo!$B$4="C",MonteCarlo!$B$4="c"),Z$1*_xlfn.NORM.S.DIST((LN(Z$1/$A7)+(MonteCarlo!$B$9+(MonteCarlo!$B$7^2)/2)*MonteCarlo!$B$8)/(MonteCarlo!$B$7*SQRT(MonteCarlo!$B$8)),TRUE)-$A7*EXP(-MonteCarlo!$B$9*MonteCarlo!$B$8)*_xlfn.NORM.S.DIST(((LN(Z$1/$A7)+(MonteCarlo!$B$9+(MonteCarlo!$B$7^2)/2)*MonteCarlo!$B$8)/(MonteCarlo!$B$7*SQRT(MonteCarlo!$B$8)))-(MonteCarlo!$B$7*SQRT(MonteCarlo!$B$8)),TRUE),$A7*EXP(-MonteCarlo!$B$9*MonteCarlo!$B$8)*_xlfn.NORM.S.DIST(-(((LN(Z$1/$A7)+(MonteCarlo!$B$9+(MonteCarlo!$B$7^2)/2)*MonteCarlo!$B$8)/(MonteCarlo!$B$7*SQRT(MonteCarlo!$B$8)))-(MonteCarlo!$B$7*SQRT(MonteCarlo!$B$8))),TRUE)-Z$1*_xlfn.NORM.S.DIST(-((LN(Z$1/$A7)+(MonteCarlo!$B$9+(MonteCarlo!$B$7^2)/2)*MonteCarlo!$B$8)/(MonteCarlo!$B$7*SQRT(MonteCarlo!$B$8))),TRUE)),"")</f>
        <v/>
      </c>
      <c r="AA7" t="str">
        <f ca="1">IFERROR(IF(OR(MonteCarlo!$B$4="C",MonteCarlo!$B$4="c"),AA$1*_xlfn.NORM.S.DIST((LN(AA$1/$A7)+(MonteCarlo!$B$9+(MonteCarlo!$B$7^2)/2)*MonteCarlo!$B$8)/(MonteCarlo!$B$7*SQRT(MonteCarlo!$B$8)),TRUE)-$A7*EXP(-MonteCarlo!$B$9*MonteCarlo!$B$8)*_xlfn.NORM.S.DIST(((LN(AA$1/$A7)+(MonteCarlo!$B$9+(MonteCarlo!$B$7^2)/2)*MonteCarlo!$B$8)/(MonteCarlo!$B$7*SQRT(MonteCarlo!$B$8)))-(MonteCarlo!$B$7*SQRT(MonteCarlo!$B$8)),TRUE),$A7*EXP(-MonteCarlo!$B$9*MonteCarlo!$B$8)*_xlfn.NORM.S.DIST(-(((LN(AA$1/$A7)+(MonteCarlo!$B$9+(MonteCarlo!$B$7^2)/2)*MonteCarlo!$B$8)/(MonteCarlo!$B$7*SQRT(MonteCarlo!$B$8)))-(MonteCarlo!$B$7*SQRT(MonteCarlo!$B$8))),TRUE)-AA$1*_xlfn.NORM.S.DIST(-((LN(AA$1/$A7)+(MonteCarlo!$B$9+(MonteCarlo!$B$7^2)/2)*MonteCarlo!$B$8)/(MonteCarlo!$B$7*SQRT(MonteCarlo!$B$8))),TRUE)),"")</f>
        <v/>
      </c>
      <c r="AB7" t="str">
        <f ca="1">IFERROR(IF(OR(MonteCarlo!$B$4="C",MonteCarlo!$B$4="c"),AB$1*_xlfn.NORM.S.DIST((LN(AB$1/$A7)+(MonteCarlo!$B$9+(MonteCarlo!$B$7^2)/2)*MonteCarlo!$B$8)/(MonteCarlo!$B$7*SQRT(MonteCarlo!$B$8)),TRUE)-$A7*EXP(-MonteCarlo!$B$9*MonteCarlo!$B$8)*_xlfn.NORM.S.DIST(((LN(AB$1/$A7)+(MonteCarlo!$B$9+(MonteCarlo!$B$7^2)/2)*MonteCarlo!$B$8)/(MonteCarlo!$B$7*SQRT(MonteCarlo!$B$8)))-(MonteCarlo!$B$7*SQRT(MonteCarlo!$B$8)),TRUE),$A7*EXP(-MonteCarlo!$B$9*MonteCarlo!$B$8)*_xlfn.NORM.S.DIST(-(((LN(AB$1/$A7)+(MonteCarlo!$B$9+(MonteCarlo!$B$7^2)/2)*MonteCarlo!$B$8)/(MonteCarlo!$B$7*SQRT(MonteCarlo!$B$8)))-(MonteCarlo!$B$7*SQRT(MonteCarlo!$B$8))),TRUE)-AB$1*_xlfn.NORM.S.DIST(-((LN(AB$1/$A7)+(MonteCarlo!$B$9+(MonteCarlo!$B$7^2)/2)*MonteCarlo!$B$8)/(MonteCarlo!$B$7*SQRT(MonteCarlo!$B$8))),TRUE)),"")</f>
        <v/>
      </c>
      <c r="AC7" t="str">
        <f ca="1">IFERROR(IF(OR(MonteCarlo!$B$4="C",MonteCarlo!$B$4="c"),AC$1*_xlfn.NORM.S.DIST((LN(AC$1/$A7)+(MonteCarlo!$B$9+(MonteCarlo!$B$7^2)/2)*MonteCarlo!$B$8)/(MonteCarlo!$B$7*SQRT(MonteCarlo!$B$8)),TRUE)-$A7*EXP(-MonteCarlo!$B$9*MonteCarlo!$B$8)*_xlfn.NORM.S.DIST(((LN(AC$1/$A7)+(MonteCarlo!$B$9+(MonteCarlo!$B$7^2)/2)*MonteCarlo!$B$8)/(MonteCarlo!$B$7*SQRT(MonteCarlo!$B$8)))-(MonteCarlo!$B$7*SQRT(MonteCarlo!$B$8)),TRUE),$A7*EXP(-MonteCarlo!$B$9*MonteCarlo!$B$8)*_xlfn.NORM.S.DIST(-(((LN(AC$1/$A7)+(MonteCarlo!$B$9+(MonteCarlo!$B$7^2)/2)*MonteCarlo!$B$8)/(MonteCarlo!$B$7*SQRT(MonteCarlo!$B$8)))-(MonteCarlo!$B$7*SQRT(MonteCarlo!$B$8))),TRUE)-AC$1*_xlfn.NORM.S.DIST(-((LN(AC$1/$A7)+(MonteCarlo!$B$9+(MonteCarlo!$B$7^2)/2)*MonteCarlo!$B$8)/(MonteCarlo!$B$7*SQRT(MonteCarlo!$B$8))),TRUE)),"")</f>
        <v/>
      </c>
      <c r="AD7" t="str">
        <f ca="1">IFERROR(IF(OR(MonteCarlo!$B$4="C",MonteCarlo!$B$4="c"),AD$1*_xlfn.NORM.S.DIST((LN(AD$1/$A7)+(MonteCarlo!$B$9+(MonteCarlo!$B$7^2)/2)*MonteCarlo!$B$8)/(MonteCarlo!$B$7*SQRT(MonteCarlo!$B$8)),TRUE)-$A7*EXP(-MonteCarlo!$B$9*MonteCarlo!$B$8)*_xlfn.NORM.S.DIST(((LN(AD$1/$A7)+(MonteCarlo!$B$9+(MonteCarlo!$B$7^2)/2)*MonteCarlo!$B$8)/(MonteCarlo!$B$7*SQRT(MonteCarlo!$B$8)))-(MonteCarlo!$B$7*SQRT(MonteCarlo!$B$8)),TRUE),$A7*EXP(-MonteCarlo!$B$9*MonteCarlo!$B$8)*_xlfn.NORM.S.DIST(-(((LN(AD$1/$A7)+(MonteCarlo!$B$9+(MonteCarlo!$B$7^2)/2)*MonteCarlo!$B$8)/(MonteCarlo!$B$7*SQRT(MonteCarlo!$B$8)))-(MonteCarlo!$B$7*SQRT(MonteCarlo!$B$8))),TRUE)-AD$1*_xlfn.NORM.S.DIST(-((LN(AD$1/$A7)+(MonteCarlo!$B$9+(MonteCarlo!$B$7^2)/2)*MonteCarlo!$B$8)/(MonteCarlo!$B$7*SQRT(MonteCarlo!$B$8))),TRUE)),"")</f>
        <v/>
      </c>
      <c r="AE7" t="str">
        <f ca="1">IFERROR(IF(OR(MonteCarlo!$B$4="C",MonteCarlo!$B$4="c"),AE$1*_xlfn.NORM.S.DIST((LN(AE$1/$A7)+(MonteCarlo!$B$9+(MonteCarlo!$B$7^2)/2)*MonteCarlo!$B$8)/(MonteCarlo!$B$7*SQRT(MonteCarlo!$B$8)),TRUE)-$A7*EXP(-MonteCarlo!$B$9*MonteCarlo!$B$8)*_xlfn.NORM.S.DIST(((LN(AE$1/$A7)+(MonteCarlo!$B$9+(MonteCarlo!$B$7^2)/2)*MonteCarlo!$B$8)/(MonteCarlo!$B$7*SQRT(MonteCarlo!$B$8)))-(MonteCarlo!$B$7*SQRT(MonteCarlo!$B$8)),TRUE),$A7*EXP(-MonteCarlo!$B$9*MonteCarlo!$B$8)*_xlfn.NORM.S.DIST(-(((LN(AE$1/$A7)+(MonteCarlo!$B$9+(MonteCarlo!$B$7^2)/2)*MonteCarlo!$B$8)/(MonteCarlo!$B$7*SQRT(MonteCarlo!$B$8)))-(MonteCarlo!$B$7*SQRT(MonteCarlo!$B$8))),TRUE)-AE$1*_xlfn.NORM.S.DIST(-((LN(AE$1/$A7)+(MonteCarlo!$B$9+(MonteCarlo!$B$7^2)/2)*MonteCarlo!$B$8)/(MonteCarlo!$B$7*SQRT(MonteCarlo!$B$8))),TRUE)),"")</f>
        <v/>
      </c>
      <c r="AF7" t="str">
        <f ca="1">IFERROR(IF(OR(MonteCarlo!$B$4="C",MonteCarlo!$B$4="c"),AF$1*_xlfn.NORM.S.DIST((LN(AF$1/$A7)+(MonteCarlo!$B$9+(MonteCarlo!$B$7^2)/2)*MonteCarlo!$B$8)/(MonteCarlo!$B$7*SQRT(MonteCarlo!$B$8)),TRUE)-$A7*EXP(-MonteCarlo!$B$9*MonteCarlo!$B$8)*_xlfn.NORM.S.DIST(((LN(AF$1/$A7)+(MonteCarlo!$B$9+(MonteCarlo!$B$7^2)/2)*MonteCarlo!$B$8)/(MonteCarlo!$B$7*SQRT(MonteCarlo!$B$8)))-(MonteCarlo!$B$7*SQRT(MonteCarlo!$B$8)),TRUE),$A7*EXP(-MonteCarlo!$B$9*MonteCarlo!$B$8)*_xlfn.NORM.S.DIST(-(((LN(AF$1/$A7)+(MonteCarlo!$B$9+(MonteCarlo!$B$7^2)/2)*MonteCarlo!$B$8)/(MonteCarlo!$B$7*SQRT(MonteCarlo!$B$8)))-(MonteCarlo!$B$7*SQRT(MonteCarlo!$B$8))),TRUE)-AF$1*_xlfn.NORM.S.DIST(-((LN(AF$1/$A7)+(MonteCarlo!$B$9+(MonteCarlo!$B$7^2)/2)*MonteCarlo!$B$8)/(MonteCarlo!$B$7*SQRT(MonteCarlo!$B$8))),TRUE)),"")</f>
        <v/>
      </c>
    </row>
    <row r="8" spans="2:32" x14ac:dyDescent="0.25">
      <c r="B8" t="str">
        <f ca="1">IFERROR(IF(OR(MonteCarlo!$B$4="C",MonteCarlo!$B$4="c"),B$1*_xlfn.NORM.S.DIST((LN(B$1/$A8)+(MonteCarlo!$B$9+(MonteCarlo!$B$7^2)/2)*MonteCarlo!$B$8)/(MonteCarlo!$B$7*SQRT(MonteCarlo!$B$8)),TRUE)-$A8*EXP(-MonteCarlo!$B$9*MonteCarlo!$B$8)*_xlfn.NORM.S.DIST(((LN(B$1/$A8)+(MonteCarlo!$B$9+(MonteCarlo!$B$7^2)/2)*MonteCarlo!$B$8)/(MonteCarlo!$B$7*SQRT(MonteCarlo!$B$8)))-(MonteCarlo!$B$7*SQRT(MonteCarlo!$B$8)),TRUE),$A8*EXP(-MonteCarlo!$B$9*MonteCarlo!$B$8)*_xlfn.NORM.S.DIST(-(((LN(B$1/$A8)+(MonteCarlo!$B$9+(MonteCarlo!$B$7^2)/2)*MonteCarlo!$B$8)/(MonteCarlo!$B$7*SQRT(MonteCarlo!$B$8)))-(MonteCarlo!$B$7*SQRT(MonteCarlo!$B$8))),TRUE)-B$1*_xlfn.NORM.S.DIST(-((LN(B$1/$A8)+(MonteCarlo!$B$9+(MonteCarlo!$B$7^2)/2)*MonteCarlo!$B$8)/(MonteCarlo!$B$7*SQRT(MonteCarlo!$B$8))),TRUE)),"")</f>
        <v/>
      </c>
      <c r="C8" t="str">
        <f ca="1">IFERROR(IF(OR(MonteCarlo!$B$4="C",MonteCarlo!$B$4="c"),C$1*_xlfn.NORM.S.DIST((LN(C$1/$A8)+(MonteCarlo!$B$9+(MonteCarlo!$B$7^2)/2)*MonteCarlo!$B$8)/(MonteCarlo!$B$7*SQRT(MonteCarlo!$B$8)),TRUE)-$A8*EXP(-MonteCarlo!$B$9*MonteCarlo!$B$8)*_xlfn.NORM.S.DIST(((LN(C$1/$A8)+(MonteCarlo!$B$9+(MonteCarlo!$B$7^2)/2)*MonteCarlo!$B$8)/(MonteCarlo!$B$7*SQRT(MonteCarlo!$B$8)))-(MonteCarlo!$B$7*SQRT(MonteCarlo!$B$8)),TRUE),$A8*EXP(-MonteCarlo!$B$9*MonteCarlo!$B$8)*_xlfn.NORM.S.DIST(-(((LN(C$1/$A8)+(MonteCarlo!$B$9+(MonteCarlo!$B$7^2)/2)*MonteCarlo!$B$8)/(MonteCarlo!$B$7*SQRT(MonteCarlo!$B$8)))-(MonteCarlo!$B$7*SQRT(MonteCarlo!$B$8))),TRUE)-C$1*_xlfn.NORM.S.DIST(-((LN(C$1/$A8)+(MonteCarlo!$B$9+(MonteCarlo!$B$7^2)/2)*MonteCarlo!$B$8)/(MonteCarlo!$B$7*SQRT(MonteCarlo!$B$8))),TRUE)),"")</f>
        <v/>
      </c>
      <c r="D8" t="str">
        <f ca="1">IFERROR(IF(OR(MonteCarlo!$B$4="C",MonteCarlo!$B$4="c"),D$1*_xlfn.NORM.S.DIST((LN(D$1/$A8)+(MonteCarlo!$B$9+(MonteCarlo!$B$7^2)/2)*MonteCarlo!$B$8)/(MonteCarlo!$B$7*SQRT(MonteCarlo!$B$8)),TRUE)-$A8*EXP(-MonteCarlo!$B$9*MonteCarlo!$B$8)*_xlfn.NORM.S.DIST(((LN(D$1/$A8)+(MonteCarlo!$B$9+(MonteCarlo!$B$7^2)/2)*MonteCarlo!$B$8)/(MonteCarlo!$B$7*SQRT(MonteCarlo!$B$8)))-(MonteCarlo!$B$7*SQRT(MonteCarlo!$B$8)),TRUE),$A8*EXP(-MonteCarlo!$B$9*MonteCarlo!$B$8)*_xlfn.NORM.S.DIST(-(((LN(D$1/$A8)+(MonteCarlo!$B$9+(MonteCarlo!$B$7^2)/2)*MonteCarlo!$B$8)/(MonteCarlo!$B$7*SQRT(MonteCarlo!$B$8)))-(MonteCarlo!$B$7*SQRT(MonteCarlo!$B$8))),TRUE)-D$1*_xlfn.NORM.S.DIST(-((LN(D$1/$A8)+(MonteCarlo!$B$9+(MonteCarlo!$B$7^2)/2)*MonteCarlo!$B$8)/(MonteCarlo!$B$7*SQRT(MonteCarlo!$B$8))),TRUE)),"")</f>
        <v/>
      </c>
      <c r="E8" t="str">
        <f ca="1">IFERROR(IF(OR(MonteCarlo!$B$4="C",MonteCarlo!$B$4="c"),E$1*_xlfn.NORM.S.DIST((LN(E$1/$A8)+(MonteCarlo!$B$9+(MonteCarlo!$B$7^2)/2)*MonteCarlo!$B$8)/(MonteCarlo!$B$7*SQRT(MonteCarlo!$B$8)),TRUE)-$A8*EXP(-MonteCarlo!$B$9*MonteCarlo!$B$8)*_xlfn.NORM.S.DIST(((LN(E$1/$A8)+(MonteCarlo!$B$9+(MonteCarlo!$B$7^2)/2)*MonteCarlo!$B$8)/(MonteCarlo!$B$7*SQRT(MonteCarlo!$B$8)))-(MonteCarlo!$B$7*SQRT(MonteCarlo!$B$8)),TRUE),$A8*EXP(-MonteCarlo!$B$9*MonteCarlo!$B$8)*_xlfn.NORM.S.DIST(-(((LN(E$1/$A8)+(MonteCarlo!$B$9+(MonteCarlo!$B$7^2)/2)*MonteCarlo!$B$8)/(MonteCarlo!$B$7*SQRT(MonteCarlo!$B$8)))-(MonteCarlo!$B$7*SQRT(MonteCarlo!$B$8))),TRUE)-E$1*_xlfn.NORM.S.DIST(-((LN(E$1/$A8)+(MonteCarlo!$B$9+(MonteCarlo!$B$7^2)/2)*MonteCarlo!$B$8)/(MonteCarlo!$B$7*SQRT(MonteCarlo!$B$8))),TRUE)),"")</f>
        <v/>
      </c>
      <c r="F8" t="str">
        <f ca="1">IFERROR(IF(OR(MonteCarlo!$B$4="C",MonteCarlo!$B$4="c"),F$1*_xlfn.NORM.S.DIST((LN(F$1/$A8)+(MonteCarlo!$B$9+(MonteCarlo!$B$7^2)/2)*MonteCarlo!$B$8)/(MonteCarlo!$B$7*SQRT(MonteCarlo!$B$8)),TRUE)-$A8*EXP(-MonteCarlo!$B$9*MonteCarlo!$B$8)*_xlfn.NORM.S.DIST(((LN(F$1/$A8)+(MonteCarlo!$B$9+(MonteCarlo!$B$7^2)/2)*MonteCarlo!$B$8)/(MonteCarlo!$B$7*SQRT(MonteCarlo!$B$8)))-(MonteCarlo!$B$7*SQRT(MonteCarlo!$B$8)),TRUE),$A8*EXP(-MonteCarlo!$B$9*MonteCarlo!$B$8)*_xlfn.NORM.S.DIST(-(((LN(F$1/$A8)+(MonteCarlo!$B$9+(MonteCarlo!$B$7^2)/2)*MonteCarlo!$B$8)/(MonteCarlo!$B$7*SQRT(MonteCarlo!$B$8)))-(MonteCarlo!$B$7*SQRT(MonteCarlo!$B$8))),TRUE)-F$1*_xlfn.NORM.S.DIST(-((LN(F$1/$A8)+(MonteCarlo!$B$9+(MonteCarlo!$B$7^2)/2)*MonteCarlo!$B$8)/(MonteCarlo!$B$7*SQRT(MonteCarlo!$B$8))),TRUE)),"")</f>
        <v/>
      </c>
      <c r="G8" t="str">
        <f ca="1">IFERROR(IF(OR(MonteCarlo!$B$4="C",MonteCarlo!$B$4="c"),G$1*_xlfn.NORM.S.DIST((LN(G$1/$A8)+(MonteCarlo!$B$9+(MonteCarlo!$B$7^2)/2)*MonteCarlo!$B$8)/(MonteCarlo!$B$7*SQRT(MonteCarlo!$B$8)),TRUE)-$A8*EXP(-MonteCarlo!$B$9*MonteCarlo!$B$8)*_xlfn.NORM.S.DIST(((LN(G$1/$A8)+(MonteCarlo!$B$9+(MonteCarlo!$B$7^2)/2)*MonteCarlo!$B$8)/(MonteCarlo!$B$7*SQRT(MonteCarlo!$B$8)))-(MonteCarlo!$B$7*SQRT(MonteCarlo!$B$8)),TRUE),$A8*EXP(-MonteCarlo!$B$9*MonteCarlo!$B$8)*_xlfn.NORM.S.DIST(-(((LN(G$1/$A8)+(MonteCarlo!$B$9+(MonteCarlo!$B$7^2)/2)*MonteCarlo!$B$8)/(MonteCarlo!$B$7*SQRT(MonteCarlo!$B$8)))-(MonteCarlo!$B$7*SQRT(MonteCarlo!$B$8))),TRUE)-G$1*_xlfn.NORM.S.DIST(-((LN(G$1/$A8)+(MonteCarlo!$B$9+(MonteCarlo!$B$7^2)/2)*MonteCarlo!$B$8)/(MonteCarlo!$B$7*SQRT(MonteCarlo!$B$8))),TRUE)),"")</f>
        <v/>
      </c>
      <c r="H8" t="str">
        <f ca="1">IFERROR(IF(OR(MonteCarlo!$B$4="C",MonteCarlo!$B$4="c"),H$1*_xlfn.NORM.S.DIST((LN(H$1/$A8)+(MonteCarlo!$B$9+(MonteCarlo!$B$7^2)/2)*MonteCarlo!$B$8)/(MonteCarlo!$B$7*SQRT(MonteCarlo!$B$8)),TRUE)-$A8*EXP(-MonteCarlo!$B$9*MonteCarlo!$B$8)*_xlfn.NORM.S.DIST(((LN(H$1/$A8)+(MonteCarlo!$B$9+(MonteCarlo!$B$7^2)/2)*MonteCarlo!$B$8)/(MonteCarlo!$B$7*SQRT(MonteCarlo!$B$8)))-(MonteCarlo!$B$7*SQRT(MonteCarlo!$B$8)),TRUE),$A8*EXP(-MonteCarlo!$B$9*MonteCarlo!$B$8)*_xlfn.NORM.S.DIST(-(((LN(H$1/$A8)+(MonteCarlo!$B$9+(MonteCarlo!$B$7^2)/2)*MonteCarlo!$B$8)/(MonteCarlo!$B$7*SQRT(MonteCarlo!$B$8)))-(MonteCarlo!$B$7*SQRT(MonteCarlo!$B$8))),TRUE)-H$1*_xlfn.NORM.S.DIST(-((LN(H$1/$A8)+(MonteCarlo!$B$9+(MonteCarlo!$B$7^2)/2)*MonteCarlo!$B$8)/(MonteCarlo!$B$7*SQRT(MonteCarlo!$B$8))),TRUE)),"")</f>
        <v/>
      </c>
      <c r="I8" t="str">
        <f ca="1">IFERROR(IF(OR(MonteCarlo!$B$4="C",MonteCarlo!$B$4="c"),I$1*_xlfn.NORM.S.DIST((LN(I$1/$A8)+(MonteCarlo!$B$9+(MonteCarlo!$B$7^2)/2)*MonteCarlo!$B$8)/(MonteCarlo!$B$7*SQRT(MonteCarlo!$B$8)),TRUE)-$A8*EXP(-MonteCarlo!$B$9*MonteCarlo!$B$8)*_xlfn.NORM.S.DIST(((LN(I$1/$A8)+(MonteCarlo!$B$9+(MonteCarlo!$B$7^2)/2)*MonteCarlo!$B$8)/(MonteCarlo!$B$7*SQRT(MonteCarlo!$B$8)))-(MonteCarlo!$B$7*SQRT(MonteCarlo!$B$8)),TRUE),$A8*EXP(-MonteCarlo!$B$9*MonteCarlo!$B$8)*_xlfn.NORM.S.DIST(-(((LN(I$1/$A8)+(MonteCarlo!$B$9+(MonteCarlo!$B$7^2)/2)*MonteCarlo!$B$8)/(MonteCarlo!$B$7*SQRT(MonteCarlo!$B$8)))-(MonteCarlo!$B$7*SQRT(MonteCarlo!$B$8))),TRUE)-I$1*_xlfn.NORM.S.DIST(-((LN(I$1/$A8)+(MonteCarlo!$B$9+(MonteCarlo!$B$7^2)/2)*MonteCarlo!$B$8)/(MonteCarlo!$B$7*SQRT(MonteCarlo!$B$8))),TRUE)),"")</f>
        <v/>
      </c>
      <c r="J8" t="str">
        <f ca="1">IFERROR(IF(OR(MonteCarlo!$B$4="C",MonteCarlo!$B$4="c"),J$1*_xlfn.NORM.S.DIST((LN(J$1/$A8)+(MonteCarlo!$B$9+(MonteCarlo!$B$7^2)/2)*MonteCarlo!$B$8)/(MonteCarlo!$B$7*SQRT(MonteCarlo!$B$8)),TRUE)-$A8*EXP(-MonteCarlo!$B$9*MonteCarlo!$B$8)*_xlfn.NORM.S.DIST(((LN(J$1/$A8)+(MonteCarlo!$B$9+(MonteCarlo!$B$7^2)/2)*MonteCarlo!$B$8)/(MonteCarlo!$B$7*SQRT(MonteCarlo!$B$8)))-(MonteCarlo!$B$7*SQRT(MonteCarlo!$B$8)),TRUE),$A8*EXP(-MonteCarlo!$B$9*MonteCarlo!$B$8)*_xlfn.NORM.S.DIST(-(((LN(J$1/$A8)+(MonteCarlo!$B$9+(MonteCarlo!$B$7^2)/2)*MonteCarlo!$B$8)/(MonteCarlo!$B$7*SQRT(MonteCarlo!$B$8)))-(MonteCarlo!$B$7*SQRT(MonteCarlo!$B$8))),TRUE)-J$1*_xlfn.NORM.S.DIST(-((LN(J$1/$A8)+(MonteCarlo!$B$9+(MonteCarlo!$B$7^2)/2)*MonteCarlo!$B$8)/(MonteCarlo!$B$7*SQRT(MonteCarlo!$B$8))),TRUE)),"")</f>
        <v/>
      </c>
      <c r="K8" t="str">
        <f ca="1">IFERROR(IF(OR(MonteCarlo!$B$4="C",MonteCarlo!$B$4="c"),K$1*_xlfn.NORM.S.DIST((LN(K$1/$A8)+(MonteCarlo!$B$9+(MonteCarlo!$B$7^2)/2)*MonteCarlo!$B$8)/(MonteCarlo!$B$7*SQRT(MonteCarlo!$B$8)),TRUE)-$A8*EXP(-MonteCarlo!$B$9*MonteCarlo!$B$8)*_xlfn.NORM.S.DIST(((LN(K$1/$A8)+(MonteCarlo!$B$9+(MonteCarlo!$B$7^2)/2)*MonteCarlo!$B$8)/(MonteCarlo!$B$7*SQRT(MonteCarlo!$B$8)))-(MonteCarlo!$B$7*SQRT(MonteCarlo!$B$8)),TRUE),$A8*EXP(-MonteCarlo!$B$9*MonteCarlo!$B$8)*_xlfn.NORM.S.DIST(-(((LN(K$1/$A8)+(MonteCarlo!$B$9+(MonteCarlo!$B$7^2)/2)*MonteCarlo!$B$8)/(MonteCarlo!$B$7*SQRT(MonteCarlo!$B$8)))-(MonteCarlo!$B$7*SQRT(MonteCarlo!$B$8))),TRUE)-K$1*_xlfn.NORM.S.DIST(-((LN(K$1/$A8)+(MonteCarlo!$B$9+(MonteCarlo!$B$7^2)/2)*MonteCarlo!$B$8)/(MonteCarlo!$B$7*SQRT(MonteCarlo!$B$8))),TRUE)),"")</f>
        <v/>
      </c>
      <c r="L8" t="str">
        <f ca="1">IFERROR(IF(OR(MonteCarlo!$B$4="C",MonteCarlo!$B$4="c"),L$1*_xlfn.NORM.S.DIST((LN(L$1/$A8)+(MonteCarlo!$B$9+(MonteCarlo!$B$7^2)/2)*MonteCarlo!$B$8)/(MonteCarlo!$B$7*SQRT(MonteCarlo!$B$8)),TRUE)-$A8*EXP(-MonteCarlo!$B$9*MonteCarlo!$B$8)*_xlfn.NORM.S.DIST(((LN(L$1/$A8)+(MonteCarlo!$B$9+(MonteCarlo!$B$7^2)/2)*MonteCarlo!$B$8)/(MonteCarlo!$B$7*SQRT(MonteCarlo!$B$8)))-(MonteCarlo!$B$7*SQRT(MonteCarlo!$B$8)),TRUE),$A8*EXP(-MonteCarlo!$B$9*MonteCarlo!$B$8)*_xlfn.NORM.S.DIST(-(((LN(L$1/$A8)+(MonteCarlo!$B$9+(MonteCarlo!$B$7^2)/2)*MonteCarlo!$B$8)/(MonteCarlo!$B$7*SQRT(MonteCarlo!$B$8)))-(MonteCarlo!$B$7*SQRT(MonteCarlo!$B$8))),TRUE)-L$1*_xlfn.NORM.S.DIST(-((LN(L$1/$A8)+(MonteCarlo!$B$9+(MonteCarlo!$B$7^2)/2)*MonteCarlo!$B$8)/(MonteCarlo!$B$7*SQRT(MonteCarlo!$B$8))),TRUE)),"")</f>
        <v/>
      </c>
      <c r="M8" t="str">
        <f ca="1">IFERROR(IF(OR(MonteCarlo!$B$4="C",MonteCarlo!$B$4="c"),M$1*_xlfn.NORM.S.DIST((LN(M$1/$A8)+(MonteCarlo!$B$9+(MonteCarlo!$B$7^2)/2)*MonteCarlo!$B$8)/(MonteCarlo!$B$7*SQRT(MonteCarlo!$B$8)),TRUE)-$A8*EXP(-MonteCarlo!$B$9*MonteCarlo!$B$8)*_xlfn.NORM.S.DIST(((LN(M$1/$A8)+(MonteCarlo!$B$9+(MonteCarlo!$B$7^2)/2)*MonteCarlo!$B$8)/(MonteCarlo!$B$7*SQRT(MonteCarlo!$B$8)))-(MonteCarlo!$B$7*SQRT(MonteCarlo!$B$8)),TRUE),$A8*EXP(-MonteCarlo!$B$9*MonteCarlo!$B$8)*_xlfn.NORM.S.DIST(-(((LN(M$1/$A8)+(MonteCarlo!$B$9+(MonteCarlo!$B$7^2)/2)*MonteCarlo!$B$8)/(MonteCarlo!$B$7*SQRT(MonteCarlo!$B$8)))-(MonteCarlo!$B$7*SQRT(MonteCarlo!$B$8))),TRUE)-M$1*_xlfn.NORM.S.DIST(-((LN(M$1/$A8)+(MonteCarlo!$B$9+(MonteCarlo!$B$7^2)/2)*MonteCarlo!$B$8)/(MonteCarlo!$B$7*SQRT(MonteCarlo!$B$8))),TRUE)),"")</f>
        <v/>
      </c>
      <c r="N8" t="str">
        <f ca="1">IFERROR(IF(OR(MonteCarlo!$B$4="C",MonteCarlo!$B$4="c"),N$1*_xlfn.NORM.S.DIST((LN(N$1/$A8)+(MonteCarlo!$B$9+(MonteCarlo!$B$7^2)/2)*MonteCarlo!$B$8)/(MonteCarlo!$B$7*SQRT(MonteCarlo!$B$8)),TRUE)-$A8*EXP(-MonteCarlo!$B$9*MonteCarlo!$B$8)*_xlfn.NORM.S.DIST(((LN(N$1/$A8)+(MonteCarlo!$B$9+(MonteCarlo!$B$7^2)/2)*MonteCarlo!$B$8)/(MonteCarlo!$B$7*SQRT(MonteCarlo!$B$8)))-(MonteCarlo!$B$7*SQRT(MonteCarlo!$B$8)),TRUE),$A8*EXP(-MonteCarlo!$B$9*MonteCarlo!$B$8)*_xlfn.NORM.S.DIST(-(((LN(N$1/$A8)+(MonteCarlo!$B$9+(MonteCarlo!$B$7^2)/2)*MonteCarlo!$B$8)/(MonteCarlo!$B$7*SQRT(MonteCarlo!$B$8)))-(MonteCarlo!$B$7*SQRT(MonteCarlo!$B$8))),TRUE)-N$1*_xlfn.NORM.S.DIST(-((LN(N$1/$A8)+(MonteCarlo!$B$9+(MonteCarlo!$B$7^2)/2)*MonteCarlo!$B$8)/(MonteCarlo!$B$7*SQRT(MonteCarlo!$B$8))),TRUE)),"")</f>
        <v/>
      </c>
      <c r="O8" t="str">
        <f ca="1">IFERROR(IF(OR(MonteCarlo!$B$4="C",MonteCarlo!$B$4="c"),O$1*_xlfn.NORM.S.DIST((LN(O$1/$A8)+(MonteCarlo!$B$9+(MonteCarlo!$B$7^2)/2)*MonteCarlo!$B$8)/(MonteCarlo!$B$7*SQRT(MonteCarlo!$B$8)),TRUE)-$A8*EXP(-MonteCarlo!$B$9*MonteCarlo!$B$8)*_xlfn.NORM.S.DIST(((LN(O$1/$A8)+(MonteCarlo!$B$9+(MonteCarlo!$B$7^2)/2)*MonteCarlo!$B$8)/(MonteCarlo!$B$7*SQRT(MonteCarlo!$B$8)))-(MonteCarlo!$B$7*SQRT(MonteCarlo!$B$8)),TRUE),$A8*EXP(-MonteCarlo!$B$9*MonteCarlo!$B$8)*_xlfn.NORM.S.DIST(-(((LN(O$1/$A8)+(MonteCarlo!$B$9+(MonteCarlo!$B$7^2)/2)*MonteCarlo!$B$8)/(MonteCarlo!$B$7*SQRT(MonteCarlo!$B$8)))-(MonteCarlo!$B$7*SQRT(MonteCarlo!$B$8))),TRUE)-O$1*_xlfn.NORM.S.DIST(-((LN(O$1/$A8)+(MonteCarlo!$B$9+(MonteCarlo!$B$7^2)/2)*MonteCarlo!$B$8)/(MonteCarlo!$B$7*SQRT(MonteCarlo!$B$8))),TRUE)),"")</f>
        <v/>
      </c>
      <c r="P8" t="str">
        <f ca="1">IFERROR(IF(OR(MonteCarlo!$B$4="C",MonteCarlo!$B$4="c"),P$1*_xlfn.NORM.S.DIST((LN(P$1/$A8)+(MonteCarlo!$B$9+(MonteCarlo!$B$7^2)/2)*MonteCarlo!$B$8)/(MonteCarlo!$B$7*SQRT(MonteCarlo!$B$8)),TRUE)-$A8*EXP(-MonteCarlo!$B$9*MonteCarlo!$B$8)*_xlfn.NORM.S.DIST(((LN(P$1/$A8)+(MonteCarlo!$B$9+(MonteCarlo!$B$7^2)/2)*MonteCarlo!$B$8)/(MonteCarlo!$B$7*SQRT(MonteCarlo!$B$8)))-(MonteCarlo!$B$7*SQRT(MonteCarlo!$B$8)),TRUE),$A8*EXP(-MonteCarlo!$B$9*MonteCarlo!$B$8)*_xlfn.NORM.S.DIST(-(((LN(P$1/$A8)+(MonteCarlo!$B$9+(MonteCarlo!$B$7^2)/2)*MonteCarlo!$B$8)/(MonteCarlo!$B$7*SQRT(MonteCarlo!$B$8)))-(MonteCarlo!$B$7*SQRT(MonteCarlo!$B$8))),TRUE)-P$1*_xlfn.NORM.S.DIST(-((LN(P$1/$A8)+(MonteCarlo!$B$9+(MonteCarlo!$B$7^2)/2)*MonteCarlo!$B$8)/(MonteCarlo!$B$7*SQRT(MonteCarlo!$B$8))),TRUE)),"")</f>
        <v/>
      </c>
      <c r="Q8" t="str">
        <f ca="1">IFERROR(IF(OR(MonteCarlo!$B$4="C",MonteCarlo!$B$4="c"),Q$1*_xlfn.NORM.S.DIST((LN(Q$1/$A8)+(MonteCarlo!$B$9+(MonteCarlo!$B$7^2)/2)*MonteCarlo!$B$8)/(MonteCarlo!$B$7*SQRT(MonteCarlo!$B$8)),TRUE)-$A8*EXP(-MonteCarlo!$B$9*MonteCarlo!$B$8)*_xlfn.NORM.S.DIST(((LN(Q$1/$A8)+(MonteCarlo!$B$9+(MonteCarlo!$B$7^2)/2)*MonteCarlo!$B$8)/(MonteCarlo!$B$7*SQRT(MonteCarlo!$B$8)))-(MonteCarlo!$B$7*SQRT(MonteCarlo!$B$8)),TRUE),$A8*EXP(-MonteCarlo!$B$9*MonteCarlo!$B$8)*_xlfn.NORM.S.DIST(-(((LN(Q$1/$A8)+(MonteCarlo!$B$9+(MonteCarlo!$B$7^2)/2)*MonteCarlo!$B$8)/(MonteCarlo!$B$7*SQRT(MonteCarlo!$B$8)))-(MonteCarlo!$B$7*SQRT(MonteCarlo!$B$8))),TRUE)-Q$1*_xlfn.NORM.S.DIST(-((LN(Q$1/$A8)+(MonteCarlo!$B$9+(MonteCarlo!$B$7^2)/2)*MonteCarlo!$B$8)/(MonteCarlo!$B$7*SQRT(MonteCarlo!$B$8))),TRUE)),"")</f>
        <v/>
      </c>
      <c r="R8" t="str">
        <f ca="1">IFERROR(IF(OR(MonteCarlo!$B$4="C",MonteCarlo!$B$4="c"),R$1*_xlfn.NORM.S.DIST((LN(R$1/$A8)+(MonteCarlo!$B$9+(MonteCarlo!$B$7^2)/2)*MonteCarlo!$B$8)/(MonteCarlo!$B$7*SQRT(MonteCarlo!$B$8)),TRUE)-$A8*EXP(-MonteCarlo!$B$9*MonteCarlo!$B$8)*_xlfn.NORM.S.DIST(((LN(R$1/$A8)+(MonteCarlo!$B$9+(MonteCarlo!$B$7^2)/2)*MonteCarlo!$B$8)/(MonteCarlo!$B$7*SQRT(MonteCarlo!$B$8)))-(MonteCarlo!$B$7*SQRT(MonteCarlo!$B$8)),TRUE),$A8*EXP(-MonteCarlo!$B$9*MonteCarlo!$B$8)*_xlfn.NORM.S.DIST(-(((LN(R$1/$A8)+(MonteCarlo!$B$9+(MonteCarlo!$B$7^2)/2)*MonteCarlo!$B$8)/(MonteCarlo!$B$7*SQRT(MonteCarlo!$B$8)))-(MonteCarlo!$B$7*SQRT(MonteCarlo!$B$8))),TRUE)-R$1*_xlfn.NORM.S.DIST(-((LN(R$1/$A8)+(MonteCarlo!$B$9+(MonteCarlo!$B$7^2)/2)*MonteCarlo!$B$8)/(MonteCarlo!$B$7*SQRT(MonteCarlo!$B$8))),TRUE)),"")</f>
        <v/>
      </c>
      <c r="S8" t="str">
        <f ca="1">IFERROR(IF(OR(MonteCarlo!$B$4="C",MonteCarlo!$B$4="c"),S$1*_xlfn.NORM.S.DIST((LN(S$1/$A8)+(MonteCarlo!$B$9+(MonteCarlo!$B$7^2)/2)*MonteCarlo!$B$8)/(MonteCarlo!$B$7*SQRT(MonteCarlo!$B$8)),TRUE)-$A8*EXP(-MonteCarlo!$B$9*MonteCarlo!$B$8)*_xlfn.NORM.S.DIST(((LN(S$1/$A8)+(MonteCarlo!$B$9+(MonteCarlo!$B$7^2)/2)*MonteCarlo!$B$8)/(MonteCarlo!$B$7*SQRT(MonteCarlo!$B$8)))-(MonteCarlo!$B$7*SQRT(MonteCarlo!$B$8)),TRUE),$A8*EXP(-MonteCarlo!$B$9*MonteCarlo!$B$8)*_xlfn.NORM.S.DIST(-(((LN(S$1/$A8)+(MonteCarlo!$B$9+(MonteCarlo!$B$7^2)/2)*MonteCarlo!$B$8)/(MonteCarlo!$B$7*SQRT(MonteCarlo!$B$8)))-(MonteCarlo!$B$7*SQRT(MonteCarlo!$B$8))),TRUE)-S$1*_xlfn.NORM.S.DIST(-((LN(S$1/$A8)+(MonteCarlo!$B$9+(MonteCarlo!$B$7^2)/2)*MonteCarlo!$B$8)/(MonteCarlo!$B$7*SQRT(MonteCarlo!$B$8))),TRUE)),"")</f>
        <v/>
      </c>
      <c r="T8" t="str">
        <f ca="1">IFERROR(IF(OR(MonteCarlo!$B$4="C",MonteCarlo!$B$4="c"),T$1*_xlfn.NORM.S.DIST((LN(T$1/$A8)+(MonteCarlo!$B$9+(MonteCarlo!$B$7^2)/2)*MonteCarlo!$B$8)/(MonteCarlo!$B$7*SQRT(MonteCarlo!$B$8)),TRUE)-$A8*EXP(-MonteCarlo!$B$9*MonteCarlo!$B$8)*_xlfn.NORM.S.DIST(((LN(T$1/$A8)+(MonteCarlo!$B$9+(MonteCarlo!$B$7^2)/2)*MonteCarlo!$B$8)/(MonteCarlo!$B$7*SQRT(MonteCarlo!$B$8)))-(MonteCarlo!$B$7*SQRT(MonteCarlo!$B$8)),TRUE),$A8*EXP(-MonteCarlo!$B$9*MonteCarlo!$B$8)*_xlfn.NORM.S.DIST(-(((LN(T$1/$A8)+(MonteCarlo!$B$9+(MonteCarlo!$B$7^2)/2)*MonteCarlo!$B$8)/(MonteCarlo!$B$7*SQRT(MonteCarlo!$B$8)))-(MonteCarlo!$B$7*SQRT(MonteCarlo!$B$8))),TRUE)-T$1*_xlfn.NORM.S.DIST(-((LN(T$1/$A8)+(MonteCarlo!$B$9+(MonteCarlo!$B$7^2)/2)*MonteCarlo!$B$8)/(MonteCarlo!$B$7*SQRT(MonteCarlo!$B$8))),TRUE)),"")</f>
        <v/>
      </c>
      <c r="U8" t="str">
        <f ca="1">IFERROR(IF(OR(MonteCarlo!$B$4="C",MonteCarlo!$B$4="c"),U$1*_xlfn.NORM.S.DIST((LN(U$1/$A8)+(MonteCarlo!$B$9+(MonteCarlo!$B$7^2)/2)*MonteCarlo!$B$8)/(MonteCarlo!$B$7*SQRT(MonteCarlo!$B$8)),TRUE)-$A8*EXP(-MonteCarlo!$B$9*MonteCarlo!$B$8)*_xlfn.NORM.S.DIST(((LN(U$1/$A8)+(MonteCarlo!$B$9+(MonteCarlo!$B$7^2)/2)*MonteCarlo!$B$8)/(MonteCarlo!$B$7*SQRT(MonteCarlo!$B$8)))-(MonteCarlo!$B$7*SQRT(MonteCarlo!$B$8)),TRUE),$A8*EXP(-MonteCarlo!$B$9*MonteCarlo!$B$8)*_xlfn.NORM.S.DIST(-(((LN(U$1/$A8)+(MonteCarlo!$B$9+(MonteCarlo!$B$7^2)/2)*MonteCarlo!$B$8)/(MonteCarlo!$B$7*SQRT(MonteCarlo!$B$8)))-(MonteCarlo!$B$7*SQRT(MonteCarlo!$B$8))),TRUE)-U$1*_xlfn.NORM.S.DIST(-((LN(U$1/$A8)+(MonteCarlo!$B$9+(MonteCarlo!$B$7^2)/2)*MonteCarlo!$B$8)/(MonteCarlo!$B$7*SQRT(MonteCarlo!$B$8))),TRUE)),"")</f>
        <v/>
      </c>
      <c r="V8" t="str">
        <f ca="1">IFERROR(IF(OR(MonteCarlo!$B$4="C",MonteCarlo!$B$4="c"),V$1*_xlfn.NORM.S.DIST((LN(V$1/$A8)+(MonteCarlo!$B$9+(MonteCarlo!$B$7^2)/2)*MonteCarlo!$B$8)/(MonteCarlo!$B$7*SQRT(MonteCarlo!$B$8)),TRUE)-$A8*EXP(-MonteCarlo!$B$9*MonteCarlo!$B$8)*_xlfn.NORM.S.DIST(((LN(V$1/$A8)+(MonteCarlo!$B$9+(MonteCarlo!$B$7^2)/2)*MonteCarlo!$B$8)/(MonteCarlo!$B$7*SQRT(MonteCarlo!$B$8)))-(MonteCarlo!$B$7*SQRT(MonteCarlo!$B$8)),TRUE),$A8*EXP(-MonteCarlo!$B$9*MonteCarlo!$B$8)*_xlfn.NORM.S.DIST(-(((LN(V$1/$A8)+(MonteCarlo!$B$9+(MonteCarlo!$B$7^2)/2)*MonteCarlo!$B$8)/(MonteCarlo!$B$7*SQRT(MonteCarlo!$B$8)))-(MonteCarlo!$B$7*SQRT(MonteCarlo!$B$8))),TRUE)-V$1*_xlfn.NORM.S.DIST(-((LN(V$1/$A8)+(MonteCarlo!$B$9+(MonteCarlo!$B$7^2)/2)*MonteCarlo!$B$8)/(MonteCarlo!$B$7*SQRT(MonteCarlo!$B$8))),TRUE)),"")</f>
        <v/>
      </c>
      <c r="W8" t="str">
        <f ca="1">IFERROR(IF(OR(MonteCarlo!$B$4="C",MonteCarlo!$B$4="c"),W$1*_xlfn.NORM.S.DIST((LN(W$1/$A8)+(MonteCarlo!$B$9+(MonteCarlo!$B$7^2)/2)*MonteCarlo!$B$8)/(MonteCarlo!$B$7*SQRT(MonteCarlo!$B$8)),TRUE)-$A8*EXP(-MonteCarlo!$B$9*MonteCarlo!$B$8)*_xlfn.NORM.S.DIST(((LN(W$1/$A8)+(MonteCarlo!$B$9+(MonteCarlo!$B$7^2)/2)*MonteCarlo!$B$8)/(MonteCarlo!$B$7*SQRT(MonteCarlo!$B$8)))-(MonteCarlo!$B$7*SQRT(MonteCarlo!$B$8)),TRUE),$A8*EXP(-MonteCarlo!$B$9*MonteCarlo!$B$8)*_xlfn.NORM.S.DIST(-(((LN(W$1/$A8)+(MonteCarlo!$B$9+(MonteCarlo!$B$7^2)/2)*MonteCarlo!$B$8)/(MonteCarlo!$B$7*SQRT(MonteCarlo!$B$8)))-(MonteCarlo!$B$7*SQRT(MonteCarlo!$B$8))),TRUE)-W$1*_xlfn.NORM.S.DIST(-((LN(W$1/$A8)+(MonteCarlo!$B$9+(MonteCarlo!$B$7^2)/2)*MonteCarlo!$B$8)/(MonteCarlo!$B$7*SQRT(MonteCarlo!$B$8))),TRUE)),"")</f>
        <v/>
      </c>
      <c r="X8" t="str">
        <f ca="1">IFERROR(IF(OR(MonteCarlo!$B$4="C",MonteCarlo!$B$4="c"),X$1*_xlfn.NORM.S.DIST((LN(X$1/$A8)+(MonteCarlo!$B$9+(MonteCarlo!$B$7^2)/2)*MonteCarlo!$B$8)/(MonteCarlo!$B$7*SQRT(MonteCarlo!$B$8)),TRUE)-$A8*EXP(-MonteCarlo!$B$9*MonteCarlo!$B$8)*_xlfn.NORM.S.DIST(((LN(X$1/$A8)+(MonteCarlo!$B$9+(MonteCarlo!$B$7^2)/2)*MonteCarlo!$B$8)/(MonteCarlo!$B$7*SQRT(MonteCarlo!$B$8)))-(MonteCarlo!$B$7*SQRT(MonteCarlo!$B$8)),TRUE),$A8*EXP(-MonteCarlo!$B$9*MonteCarlo!$B$8)*_xlfn.NORM.S.DIST(-(((LN(X$1/$A8)+(MonteCarlo!$B$9+(MonteCarlo!$B$7^2)/2)*MonteCarlo!$B$8)/(MonteCarlo!$B$7*SQRT(MonteCarlo!$B$8)))-(MonteCarlo!$B$7*SQRT(MonteCarlo!$B$8))),TRUE)-X$1*_xlfn.NORM.S.DIST(-((LN(X$1/$A8)+(MonteCarlo!$B$9+(MonteCarlo!$B$7^2)/2)*MonteCarlo!$B$8)/(MonteCarlo!$B$7*SQRT(MonteCarlo!$B$8))),TRUE)),"")</f>
        <v/>
      </c>
      <c r="Y8" t="str">
        <f ca="1">IFERROR(IF(OR(MonteCarlo!$B$4="C",MonteCarlo!$B$4="c"),Y$1*_xlfn.NORM.S.DIST((LN(Y$1/$A8)+(MonteCarlo!$B$9+(MonteCarlo!$B$7^2)/2)*MonteCarlo!$B$8)/(MonteCarlo!$B$7*SQRT(MonteCarlo!$B$8)),TRUE)-$A8*EXP(-MonteCarlo!$B$9*MonteCarlo!$B$8)*_xlfn.NORM.S.DIST(((LN(Y$1/$A8)+(MonteCarlo!$B$9+(MonteCarlo!$B$7^2)/2)*MonteCarlo!$B$8)/(MonteCarlo!$B$7*SQRT(MonteCarlo!$B$8)))-(MonteCarlo!$B$7*SQRT(MonteCarlo!$B$8)),TRUE),$A8*EXP(-MonteCarlo!$B$9*MonteCarlo!$B$8)*_xlfn.NORM.S.DIST(-(((LN(Y$1/$A8)+(MonteCarlo!$B$9+(MonteCarlo!$B$7^2)/2)*MonteCarlo!$B$8)/(MonteCarlo!$B$7*SQRT(MonteCarlo!$B$8)))-(MonteCarlo!$B$7*SQRT(MonteCarlo!$B$8))),TRUE)-Y$1*_xlfn.NORM.S.DIST(-((LN(Y$1/$A8)+(MonteCarlo!$B$9+(MonteCarlo!$B$7^2)/2)*MonteCarlo!$B$8)/(MonteCarlo!$B$7*SQRT(MonteCarlo!$B$8))),TRUE)),"")</f>
        <v/>
      </c>
      <c r="Z8" t="str">
        <f ca="1">IFERROR(IF(OR(MonteCarlo!$B$4="C",MonteCarlo!$B$4="c"),Z$1*_xlfn.NORM.S.DIST((LN(Z$1/$A8)+(MonteCarlo!$B$9+(MonteCarlo!$B$7^2)/2)*MonteCarlo!$B$8)/(MonteCarlo!$B$7*SQRT(MonteCarlo!$B$8)),TRUE)-$A8*EXP(-MonteCarlo!$B$9*MonteCarlo!$B$8)*_xlfn.NORM.S.DIST(((LN(Z$1/$A8)+(MonteCarlo!$B$9+(MonteCarlo!$B$7^2)/2)*MonteCarlo!$B$8)/(MonteCarlo!$B$7*SQRT(MonteCarlo!$B$8)))-(MonteCarlo!$B$7*SQRT(MonteCarlo!$B$8)),TRUE),$A8*EXP(-MonteCarlo!$B$9*MonteCarlo!$B$8)*_xlfn.NORM.S.DIST(-(((LN(Z$1/$A8)+(MonteCarlo!$B$9+(MonteCarlo!$B$7^2)/2)*MonteCarlo!$B$8)/(MonteCarlo!$B$7*SQRT(MonteCarlo!$B$8)))-(MonteCarlo!$B$7*SQRT(MonteCarlo!$B$8))),TRUE)-Z$1*_xlfn.NORM.S.DIST(-((LN(Z$1/$A8)+(MonteCarlo!$B$9+(MonteCarlo!$B$7^2)/2)*MonteCarlo!$B$8)/(MonteCarlo!$B$7*SQRT(MonteCarlo!$B$8))),TRUE)),"")</f>
        <v/>
      </c>
      <c r="AA8" t="str">
        <f ca="1">IFERROR(IF(OR(MonteCarlo!$B$4="C",MonteCarlo!$B$4="c"),AA$1*_xlfn.NORM.S.DIST((LN(AA$1/$A8)+(MonteCarlo!$B$9+(MonteCarlo!$B$7^2)/2)*MonteCarlo!$B$8)/(MonteCarlo!$B$7*SQRT(MonteCarlo!$B$8)),TRUE)-$A8*EXP(-MonteCarlo!$B$9*MonteCarlo!$B$8)*_xlfn.NORM.S.DIST(((LN(AA$1/$A8)+(MonteCarlo!$B$9+(MonteCarlo!$B$7^2)/2)*MonteCarlo!$B$8)/(MonteCarlo!$B$7*SQRT(MonteCarlo!$B$8)))-(MonteCarlo!$B$7*SQRT(MonteCarlo!$B$8)),TRUE),$A8*EXP(-MonteCarlo!$B$9*MonteCarlo!$B$8)*_xlfn.NORM.S.DIST(-(((LN(AA$1/$A8)+(MonteCarlo!$B$9+(MonteCarlo!$B$7^2)/2)*MonteCarlo!$B$8)/(MonteCarlo!$B$7*SQRT(MonteCarlo!$B$8)))-(MonteCarlo!$B$7*SQRT(MonteCarlo!$B$8))),TRUE)-AA$1*_xlfn.NORM.S.DIST(-((LN(AA$1/$A8)+(MonteCarlo!$B$9+(MonteCarlo!$B$7^2)/2)*MonteCarlo!$B$8)/(MonteCarlo!$B$7*SQRT(MonteCarlo!$B$8))),TRUE)),"")</f>
        <v/>
      </c>
      <c r="AB8" t="str">
        <f ca="1">IFERROR(IF(OR(MonteCarlo!$B$4="C",MonteCarlo!$B$4="c"),AB$1*_xlfn.NORM.S.DIST((LN(AB$1/$A8)+(MonteCarlo!$B$9+(MonteCarlo!$B$7^2)/2)*MonteCarlo!$B$8)/(MonteCarlo!$B$7*SQRT(MonteCarlo!$B$8)),TRUE)-$A8*EXP(-MonteCarlo!$B$9*MonteCarlo!$B$8)*_xlfn.NORM.S.DIST(((LN(AB$1/$A8)+(MonteCarlo!$B$9+(MonteCarlo!$B$7^2)/2)*MonteCarlo!$B$8)/(MonteCarlo!$B$7*SQRT(MonteCarlo!$B$8)))-(MonteCarlo!$B$7*SQRT(MonteCarlo!$B$8)),TRUE),$A8*EXP(-MonteCarlo!$B$9*MonteCarlo!$B$8)*_xlfn.NORM.S.DIST(-(((LN(AB$1/$A8)+(MonteCarlo!$B$9+(MonteCarlo!$B$7^2)/2)*MonteCarlo!$B$8)/(MonteCarlo!$B$7*SQRT(MonteCarlo!$B$8)))-(MonteCarlo!$B$7*SQRT(MonteCarlo!$B$8))),TRUE)-AB$1*_xlfn.NORM.S.DIST(-((LN(AB$1/$A8)+(MonteCarlo!$B$9+(MonteCarlo!$B$7^2)/2)*MonteCarlo!$B$8)/(MonteCarlo!$B$7*SQRT(MonteCarlo!$B$8))),TRUE)),"")</f>
        <v/>
      </c>
      <c r="AC8" t="str">
        <f ca="1">IFERROR(IF(OR(MonteCarlo!$B$4="C",MonteCarlo!$B$4="c"),AC$1*_xlfn.NORM.S.DIST((LN(AC$1/$A8)+(MonteCarlo!$B$9+(MonteCarlo!$B$7^2)/2)*MonteCarlo!$B$8)/(MonteCarlo!$B$7*SQRT(MonteCarlo!$B$8)),TRUE)-$A8*EXP(-MonteCarlo!$B$9*MonteCarlo!$B$8)*_xlfn.NORM.S.DIST(((LN(AC$1/$A8)+(MonteCarlo!$B$9+(MonteCarlo!$B$7^2)/2)*MonteCarlo!$B$8)/(MonteCarlo!$B$7*SQRT(MonteCarlo!$B$8)))-(MonteCarlo!$B$7*SQRT(MonteCarlo!$B$8)),TRUE),$A8*EXP(-MonteCarlo!$B$9*MonteCarlo!$B$8)*_xlfn.NORM.S.DIST(-(((LN(AC$1/$A8)+(MonteCarlo!$B$9+(MonteCarlo!$B$7^2)/2)*MonteCarlo!$B$8)/(MonteCarlo!$B$7*SQRT(MonteCarlo!$B$8)))-(MonteCarlo!$B$7*SQRT(MonteCarlo!$B$8))),TRUE)-AC$1*_xlfn.NORM.S.DIST(-((LN(AC$1/$A8)+(MonteCarlo!$B$9+(MonteCarlo!$B$7^2)/2)*MonteCarlo!$B$8)/(MonteCarlo!$B$7*SQRT(MonteCarlo!$B$8))),TRUE)),"")</f>
        <v/>
      </c>
      <c r="AD8" t="str">
        <f ca="1">IFERROR(IF(OR(MonteCarlo!$B$4="C",MonteCarlo!$B$4="c"),AD$1*_xlfn.NORM.S.DIST((LN(AD$1/$A8)+(MonteCarlo!$B$9+(MonteCarlo!$B$7^2)/2)*MonteCarlo!$B$8)/(MonteCarlo!$B$7*SQRT(MonteCarlo!$B$8)),TRUE)-$A8*EXP(-MonteCarlo!$B$9*MonteCarlo!$B$8)*_xlfn.NORM.S.DIST(((LN(AD$1/$A8)+(MonteCarlo!$B$9+(MonteCarlo!$B$7^2)/2)*MonteCarlo!$B$8)/(MonteCarlo!$B$7*SQRT(MonteCarlo!$B$8)))-(MonteCarlo!$B$7*SQRT(MonteCarlo!$B$8)),TRUE),$A8*EXP(-MonteCarlo!$B$9*MonteCarlo!$B$8)*_xlfn.NORM.S.DIST(-(((LN(AD$1/$A8)+(MonteCarlo!$B$9+(MonteCarlo!$B$7^2)/2)*MonteCarlo!$B$8)/(MonteCarlo!$B$7*SQRT(MonteCarlo!$B$8)))-(MonteCarlo!$B$7*SQRT(MonteCarlo!$B$8))),TRUE)-AD$1*_xlfn.NORM.S.DIST(-((LN(AD$1/$A8)+(MonteCarlo!$B$9+(MonteCarlo!$B$7^2)/2)*MonteCarlo!$B$8)/(MonteCarlo!$B$7*SQRT(MonteCarlo!$B$8))),TRUE)),"")</f>
        <v/>
      </c>
      <c r="AE8" t="str">
        <f ca="1">IFERROR(IF(OR(MonteCarlo!$B$4="C",MonteCarlo!$B$4="c"),AE$1*_xlfn.NORM.S.DIST((LN(AE$1/$A8)+(MonteCarlo!$B$9+(MonteCarlo!$B$7^2)/2)*MonteCarlo!$B$8)/(MonteCarlo!$B$7*SQRT(MonteCarlo!$B$8)),TRUE)-$A8*EXP(-MonteCarlo!$B$9*MonteCarlo!$B$8)*_xlfn.NORM.S.DIST(((LN(AE$1/$A8)+(MonteCarlo!$B$9+(MonteCarlo!$B$7^2)/2)*MonteCarlo!$B$8)/(MonteCarlo!$B$7*SQRT(MonteCarlo!$B$8)))-(MonteCarlo!$B$7*SQRT(MonteCarlo!$B$8)),TRUE),$A8*EXP(-MonteCarlo!$B$9*MonteCarlo!$B$8)*_xlfn.NORM.S.DIST(-(((LN(AE$1/$A8)+(MonteCarlo!$B$9+(MonteCarlo!$B$7^2)/2)*MonteCarlo!$B$8)/(MonteCarlo!$B$7*SQRT(MonteCarlo!$B$8)))-(MonteCarlo!$B$7*SQRT(MonteCarlo!$B$8))),TRUE)-AE$1*_xlfn.NORM.S.DIST(-((LN(AE$1/$A8)+(MonteCarlo!$B$9+(MonteCarlo!$B$7^2)/2)*MonteCarlo!$B$8)/(MonteCarlo!$B$7*SQRT(MonteCarlo!$B$8))),TRUE)),"")</f>
        <v/>
      </c>
      <c r="AF8" t="str">
        <f ca="1">IFERROR(IF(OR(MonteCarlo!$B$4="C",MonteCarlo!$B$4="c"),AF$1*_xlfn.NORM.S.DIST((LN(AF$1/$A8)+(MonteCarlo!$B$9+(MonteCarlo!$B$7^2)/2)*MonteCarlo!$B$8)/(MonteCarlo!$B$7*SQRT(MonteCarlo!$B$8)),TRUE)-$A8*EXP(-MonteCarlo!$B$9*MonteCarlo!$B$8)*_xlfn.NORM.S.DIST(((LN(AF$1/$A8)+(MonteCarlo!$B$9+(MonteCarlo!$B$7^2)/2)*MonteCarlo!$B$8)/(MonteCarlo!$B$7*SQRT(MonteCarlo!$B$8)))-(MonteCarlo!$B$7*SQRT(MonteCarlo!$B$8)),TRUE),$A8*EXP(-MonteCarlo!$B$9*MonteCarlo!$B$8)*_xlfn.NORM.S.DIST(-(((LN(AF$1/$A8)+(MonteCarlo!$B$9+(MonteCarlo!$B$7^2)/2)*MonteCarlo!$B$8)/(MonteCarlo!$B$7*SQRT(MonteCarlo!$B$8)))-(MonteCarlo!$B$7*SQRT(MonteCarlo!$B$8))),TRUE)-AF$1*_xlfn.NORM.S.DIST(-((LN(AF$1/$A8)+(MonteCarlo!$B$9+(MonteCarlo!$B$7^2)/2)*MonteCarlo!$B$8)/(MonteCarlo!$B$7*SQRT(MonteCarlo!$B$8))),TRUE)),"")</f>
        <v/>
      </c>
    </row>
    <row r="9" spans="2:32" x14ac:dyDescent="0.25">
      <c r="B9" t="str">
        <f ca="1">IFERROR(IF(OR(MonteCarlo!$B$4="C",MonteCarlo!$B$4="c"),B$1*_xlfn.NORM.S.DIST((LN(B$1/$A9)+(MonteCarlo!$B$9+(MonteCarlo!$B$7^2)/2)*MonteCarlo!$B$8)/(MonteCarlo!$B$7*SQRT(MonteCarlo!$B$8)),TRUE)-$A9*EXP(-MonteCarlo!$B$9*MonteCarlo!$B$8)*_xlfn.NORM.S.DIST(((LN(B$1/$A9)+(MonteCarlo!$B$9+(MonteCarlo!$B$7^2)/2)*MonteCarlo!$B$8)/(MonteCarlo!$B$7*SQRT(MonteCarlo!$B$8)))-(MonteCarlo!$B$7*SQRT(MonteCarlo!$B$8)),TRUE),$A9*EXP(-MonteCarlo!$B$9*MonteCarlo!$B$8)*_xlfn.NORM.S.DIST(-(((LN(B$1/$A9)+(MonteCarlo!$B$9+(MonteCarlo!$B$7^2)/2)*MonteCarlo!$B$8)/(MonteCarlo!$B$7*SQRT(MonteCarlo!$B$8)))-(MonteCarlo!$B$7*SQRT(MonteCarlo!$B$8))),TRUE)-B$1*_xlfn.NORM.S.DIST(-((LN(B$1/$A9)+(MonteCarlo!$B$9+(MonteCarlo!$B$7^2)/2)*MonteCarlo!$B$8)/(MonteCarlo!$B$7*SQRT(MonteCarlo!$B$8))),TRUE)),"")</f>
        <v/>
      </c>
      <c r="C9" t="str">
        <f ca="1">IFERROR(IF(OR(MonteCarlo!$B$4="C",MonteCarlo!$B$4="c"),C$1*_xlfn.NORM.S.DIST((LN(C$1/$A9)+(MonteCarlo!$B$9+(MonteCarlo!$B$7^2)/2)*MonteCarlo!$B$8)/(MonteCarlo!$B$7*SQRT(MonteCarlo!$B$8)),TRUE)-$A9*EXP(-MonteCarlo!$B$9*MonteCarlo!$B$8)*_xlfn.NORM.S.DIST(((LN(C$1/$A9)+(MonteCarlo!$B$9+(MonteCarlo!$B$7^2)/2)*MonteCarlo!$B$8)/(MonteCarlo!$B$7*SQRT(MonteCarlo!$B$8)))-(MonteCarlo!$B$7*SQRT(MonteCarlo!$B$8)),TRUE),$A9*EXP(-MonteCarlo!$B$9*MonteCarlo!$B$8)*_xlfn.NORM.S.DIST(-(((LN(C$1/$A9)+(MonteCarlo!$B$9+(MonteCarlo!$B$7^2)/2)*MonteCarlo!$B$8)/(MonteCarlo!$B$7*SQRT(MonteCarlo!$B$8)))-(MonteCarlo!$B$7*SQRT(MonteCarlo!$B$8))),TRUE)-C$1*_xlfn.NORM.S.DIST(-((LN(C$1/$A9)+(MonteCarlo!$B$9+(MonteCarlo!$B$7^2)/2)*MonteCarlo!$B$8)/(MonteCarlo!$B$7*SQRT(MonteCarlo!$B$8))),TRUE)),"")</f>
        <v/>
      </c>
      <c r="D9" t="str">
        <f ca="1">IFERROR(IF(OR(MonteCarlo!$B$4="C",MonteCarlo!$B$4="c"),D$1*_xlfn.NORM.S.DIST((LN(D$1/$A9)+(MonteCarlo!$B$9+(MonteCarlo!$B$7^2)/2)*MonteCarlo!$B$8)/(MonteCarlo!$B$7*SQRT(MonteCarlo!$B$8)),TRUE)-$A9*EXP(-MonteCarlo!$B$9*MonteCarlo!$B$8)*_xlfn.NORM.S.DIST(((LN(D$1/$A9)+(MonteCarlo!$B$9+(MonteCarlo!$B$7^2)/2)*MonteCarlo!$B$8)/(MonteCarlo!$B$7*SQRT(MonteCarlo!$B$8)))-(MonteCarlo!$B$7*SQRT(MonteCarlo!$B$8)),TRUE),$A9*EXP(-MonteCarlo!$B$9*MonteCarlo!$B$8)*_xlfn.NORM.S.DIST(-(((LN(D$1/$A9)+(MonteCarlo!$B$9+(MonteCarlo!$B$7^2)/2)*MonteCarlo!$B$8)/(MonteCarlo!$B$7*SQRT(MonteCarlo!$B$8)))-(MonteCarlo!$B$7*SQRT(MonteCarlo!$B$8))),TRUE)-D$1*_xlfn.NORM.S.DIST(-((LN(D$1/$A9)+(MonteCarlo!$B$9+(MonteCarlo!$B$7^2)/2)*MonteCarlo!$B$8)/(MonteCarlo!$B$7*SQRT(MonteCarlo!$B$8))),TRUE)),"")</f>
        <v/>
      </c>
      <c r="E9" t="str">
        <f ca="1">IFERROR(IF(OR(MonteCarlo!$B$4="C",MonteCarlo!$B$4="c"),E$1*_xlfn.NORM.S.DIST((LN(E$1/$A9)+(MonteCarlo!$B$9+(MonteCarlo!$B$7^2)/2)*MonteCarlo!$B$8)/(MonteCarlo!$B$7*SQRT(MonteCarlo!$B$8)),TRUE)-$A9*EXP(-MonteCarlo!$B$9*MonteCarlo!$B$8)*_xlfn.NORM.S.DIST(((LN(E$1/$A9)+(MonteCarlo!$B$9+(MonteCarlo!$B$7^2)/2)*MonteCarlo!$B$8)/(MonteCarlo!$B$7*SQRT(MonteCarlo!$B$8)))-(MonteCarlo!$B$7*SQRT(MonteCarlo!$B$8)),TRUE),$A9*EXP(-MonteCarlo!$B$9*MonteCarlo!$B$8)*_xlfn.NORM.S.DIST(-(((LN(E$1/$A9)+(MonteCarlo!$B$9+(MonteCarlo!$B$7^2)/2)*MonteCarlo!$B$8)/(MonteCarlo!$B$7*SQRT(MonteCarlo!$B$8)))-(MonteCarlo!$B$7*SQRT(MonteCarlo!$B$8))),TRUE)-E$1*_xlfn.NORM.S.DIST(-((LN(E$1/$A9)+(MonteCarlo!$B$9+(MonteCarlo!$B$7^2)/2)*MonteCarlo!$B$8)/(MonteCarlo!$B$7*SQRT(MonteCarlo!$B$8))),TRUE)),"")</f>
        <v/>
      </c>
      <c r="F9" t="str">
        <f ca="1">IFERROR(IF(OR(MonteCarlo!$B$4="C",MonteCarlo!$B$4="c"),F$1*_xlfn.NORM.S.DIST((LN(F$1/$A9)+(MonteCarlo!$B$9+(MonteCarlo!$B$7^2)/2)*MonteCarlo!$B$8)/(MonteCarlo!$B$7*SQRT(MonteCarlo!$B$8)),TRUE)-$A9*EXP(-MonteCarlo!$B$9*MonteCarlo!$B$8)*_xlfn.NORM.S.DIST(((LN(F$1/$A9)+(MonteCarlo!$B$9+(MonteCarlo!$B$7^2)/2)*MonteCarlo!$B$8)/(MonteCarlo!$B$7*SQRT(MonteCarlo!$B$8)))-(MonteCarlo!$B$7*SQRT(MonteCarlo!$B$8)),TRUE),$A9*EXP(-MonteCarlo!$B$9*MonteCarlo!$B$8)*_xlfn.NORM.S.DIST(-(((LN(F$1/$A9)+(MonteCarlo!$B$9+(MonteCarlo!$B$7^2)/2)*MonteCarlo!$B$8)/(MonteCarlo!$B$7*SQRT(MonteCarlo!$B$8)))-(MonteCarlo!$B$7*SQRT(MonteCarlo!$B$8))),TRUE)-F$1*_xlfn.NORM.S.DIST(-((LN(F$1/$A9)+(MonteCarlo!$B$9+(MonteCarlo!$B$7^2)/2)*MonteCarlo!$B$8)/(MonteCarlo!$B$7*SQRT(MonteCarlo!$B$8))),TRUE)),"")</f>
        <v/>
      </c>
      <c r="G9" t="str">
        <f ca="1">IFERROR(IF(OR(MonteCarlo!$B$4="C",MonteCarlo!$B$4="c"),G$1*_xlfn.NORM.S.DIST((LN(G$1/$A9)+(MonteCarlo!$B$9+(MonteCarlo!$B$7^2)/2)*MonteCarlo!$B$8)/(MonteCarlo!$B$7*SQRT(MonteCarlo!$B$8)),TRUE)-$A9*EXP(-MonteCarlo!$B$9*MonteCarlo!$B$8)*_xlfn.NORM.S.DIST(((LN(G$1/$A9)+(MonteCarlo!$B$9+(MonteCarlo!$B$7^2)/2)*MonteCarlo!$B$8)/(MonteCarlo!$B$7*SQRT(MonteCarlo!$B$8)))-(MonteCarlo!$B$7*SQRT(MonteCarlo!$B$8)),TRUE),$A9*EXP(-MonteCarlo!$B$9*MonteCarlo!$B$8)*_xlfn.NORM.S.DIST(-(((LN(G$1/$A9)+(MonteCarlo!$B$9+(MonteCarlo!$B$7^2)/2)*MonteCarlo!$B$8)/(MonteCarlo!$B$7*SQRT(MonteCarlo!$B$8)))-(MonteCarlo!$B$7*SQRT(MonteCarlo!$B$8))),TRUE)-G$1*_xlfn.NORM.S.DIST(-((LN(G$1/$A9)+(MonteCarlo!$B$9+(MonteCarlo!$B$7^2)/2)*MonteCarlo!$B$8)/(MonteCarlo!$B$7*SQRT(MonteCarlo!$B$8))),TRUE)),"")</f>
        <v/>
      </c>
      <c r="H9" t="str">
        <f ca="1">IFERROR(IF(OR(MonteCarlo!$B$4="C",MonteCarlo!$B$4="c"),H$1*_xlfn.NORM.S.DIST((LN(H$1/$A9)+(MonteCarlo!$B$9+(MonteCarlo!$B$7^2)/2)*MonteCarlo!$B$8)/(MonteCarlo!$B$7*SQRT(MonteCarlo!$B$8)),TRUE)-$A9*EXP(-MonteCarlo!$B$9*MonteCarlo!$B$8)*_xlfn.NORM.S.DIST(((LN(H$1/$A9)+(MonteCarlo!$B$9+(MonteCarlo!$B$7^2)/2)*MonteCarlo!$B$8)/(MonteCarlo!$B$7*SQRT(MonteCarlo!$B$8)))-(MonteCarlo!$B$7*SQRT(MonteCarlo!$B$8)),TRUE),$A9*EXP(-MonteCarlo!$B$9*MonteCarlo!$B$8)*_xlfn.NORM.S.DIST(-(((LN(H$1/$A9)+(MonteCarlo!$B$9+(MonteCarlo!$B$7^2)/2)*MonteCarlo!$B$8)/(MonteCarlo!$B$7*SQRT(MonteCarlo!$B$8)))-(MonteCarlo!$B$7*SQRT(MonteCarlo!$B$8))),TRUE)-H$1*_xlfn.NORM.S.DIST(-((LN(H$1/$A9)+(MonteCarlo!$B$9+(MonteCarlo!$B$7^2)/2)*MonteCarlo!$B$8)/(MonteCarlo!$B$7*SQRT(MonteCarlo!$B$8))),TRUE)),"")</f>
        <v/>
      </c>
      <c r="I9" t="str">
        <f ca="1">IFERROR(IF(OR(MonteCarlo!$B$4="C",MonteCarlo!$B$4="c"),I$1*_xlfn.NORM.S.DIST((LN(I$1/$A9)+(MonteCarlo!$B$9+(MonteCarlo!$B$7^2)/2)*MonteCarlo!$B$8)/(MonteCarlo!$B$7*SQRT(MonteCarlo!$B$8)),TRUE)-$A9*EXP(-MonteCarlo!$B$9*MonteCarlo!$B$8)*_xlfn.NORM.S.DIST(((LN(I$1/$A9)+(MonteCarlo!$B$9+(MonteCarlo!$B$7^2)/2)*MonteCarlo!$B$8)/(MonteCarlo!$B$7*SQRT(MonteCarlo!$B$8)))-(MonteCarlo!$B$7*SQRT(MonteCarlo!$B$8)),TRUE),$A9*EXP(-MonteCarlo!$B$9*MonteCarlo!$B$8)*_xlfn.NORM.S.DIST(-(((LN(I$1/$A9)+(MonteCarlo!$B$9+(MonteCarlo!$B$7^2)/2)*MonteCarlo!$B$8)/(MonteCarlo!$B$7*SQRT(MonteCarlo!$B$8)))-(MonteCarlo!$B$7*SQRT(MonteCarlo!$B$8))),TRUE)-I$1*_xlfn.NORM.S.DIST(-((LN(I$1/$A9)+(MonteCarlo!$B$9+(MonteCarlo!$B$7^2)/2)*MonteCarlo!$B$8)/(MonteCarlo!$B$7*SQRT(MonteCarlo!$B$8))),TRUE)),"")</f>
        <v/>
      </c>
      <c r="J9" t="str">
        <f ca="1">IFERROR(IF(OR(MonteCarlo!$B$4="C",MonteCarlo!$B$4="c"),J$1*_xlfn.NORM.S.DIST((LN(J$1/$A9)+(MonteCarlo!$B$9+(MonteCarlo!$B$7^2)/2)*MonteCarlo!$B$8)/(MonteCarlo!$B$7*SQRT(MonteCarlo!$B$8)),TRUE)-$A9*EXP(-MonteCarlo!$B$9*MonteCarlo!$B$8)*_xlfn.NORM.S.DIST(((LN(J$1/$A9)+(MonteCarlo!$B$9+(MonteCarlo!$B$7^2)/2)*MonteCarlo!$B$8)/(MonteCarlo!$B$7*SQRT(MonteCarlo!$B$8)))-(MonteCarlo!$B$7*SQRT(MonteCarlo!$B$8)),TRUE),$A9*EXP(-MonteCarlo!$B$9*MonteCarlo!$B$8)*_xlfn.NORM.S.DIST(-(((LN(J$1/$A9)+(MonteCarlo!$B$9+(MonteCarlo!$B$7^2)/2)*MonteCarlo!$B$8)/(MonteCarlo!$B$7*SQRT(MonteCarlo!$B$8)))-(MonteCarlo!$B$7*SQRT(MonteCarlo!$B$8))),TRUE)-J$1*_xlfn.NORM.S.DIST(-((LN(J$1/$A9)+(MonteCarlo!$B$9+(MonteCarlo!$B$7^2)/2)*MonteCarlo!$B$8)/(MonteCarlo!$B$7*SQRT(MonteCarlo!$B$8))),TRUE)),"")</f>
        <v/>
      </c>
      <c r="K9" t="str">
        <f ca="1">IFERROR(IF(OR(MonteCarlo!$B$4="C",MonteCarlo!$B$4="c"),K$1*_xlfn.NORM.S.DIST((LN(K$1/$A9)+(MonteCarlo!$B$9+(MonteCarlo!$B$7^2)/2)*MonteCarlo!$B$8)/(MonteCarlo!$B$7*SQRT(MonteCarlo!$B$8)),TRUE)-$A9*EXP(-MonteCarlo!$B$9*MonteCarlo!$B$8)*_xlfn.NORM.S.DIST(((LN(K$1/$A9)+(MonteCarlo!$B$9+(MonteCarlo!$B$7^2)/2)*MonteCarlo!$B$8)/(MonteCarlo!$B$7*SQRT(MonteCarlo!$B$8)))-(MonteCarlo!$B$7*SQRT(MonteCarlo!$B$8)),TRUE),$A9*EXP(-MonteCarlo!$B$9*MonteCarlo!$B$8)*_xlfn.NORM.S.DIST(-(((LN(K$1/$A9)+(MonteCarlo!$B$9+(MonteCarlo!$B$7^2)/2)*MonteCarlo!$B$8)/(MonteCarlo!$B$7*SQRT(MonteCarlo!$B$8)))-(MonteCarlo!$B$7*SQRT(MonteCarlo!$B$8))),TRUE)-K$1*_xlfn.NORM.S.DIST(-((LN(K$1/$A9)+(MonteCarlo!$B$9+(MonteCarlo!$B$7^2)/2)*MonteCarlo!$B$8)/(MonteCarlo!$B$7*SQRT(MonteCarlo!$B$8))),TRUE)),"")</f>
        <v/>
      </c>
      <c r="L9" t="str">
        <f ca="1">IFERROR(IF(OR(MonteCarlo!$B$4="C",MonteCarlo!$B$4="c"),L$1*_xlfn.NORM.S.DIST((LN(L$1/$A9)+(MonteCarlo!$B$9+(MonteCarlo!$B$7^2)/2)*MonteCarlo!$B$8)/(MonteCarlo!$B$7*SQRT(MonteCarlo!$B$8)),TRUE)-$A9*EXP(-MonteCarlo!$B$9*MonteCarlo!$B$8)*_xlfn.NORM.S.DIST(((LN(L$1/$A9)+(MonteCarlo!$B$9+(MonteCarlo!$B$7^2)/2)*MonteCarlo!$B$8)/(MonteCarlo!$B$7*SQRT(MonteCarlo!$B$8)))-(MonteCarlo!$B$7*SQRT(MonteCarlo!$B$8)),TRUE),$A9*EXP(-MonteCarlo!$B$9*MonteCarlo!$B$8)*_xlfn.NORM.S.DIST(-(((LN(L$1/$A9)+(MonteCarlo!$B$9+(MonteCarlo!$B$7^2)/2)*MonteCarlo!$B$8)/(MonteCarlo!$B$7*SQRT(MonteCarlo!$B$8)))-(MonteCarlo!$B$7*SQRT(MonteCarlo!$B$8))),TRUE)-L$1*_xlfn.NORM.S.DIST(-((LN(L$1/$A9)+(MonteCarlo!$B$9+(MonteCarlo!$B$7^2)/2)*MonteCarlo!$B$8)/(MonteCarlo!$B$7*SQRT(MonteCarlo!$B$8))),TRUE)),"")</f>
        <v/>
      </c>
      <c r="M9" t="str">
        <f ca="1">IFERROR(IF(OR(MonteCarlo!$B$4="C",MonteCarlo!$B$4="c"),M$1*_xlfn.NORM.S.DIST((LN(M$1/$A9)+(MonteCarlo!$B$9+(MonteCarlo!$B$7^2)/2)*MonteCarlo!$B$8)/(MonteCarlo!$B$7*SQRT(MonteCarlo!$B$8)),TRUE)-$A9*EXP(-MonteCarlo!$B$9*MonteCarlo!$B$8)*_xlfn.NORM.S.DIST(((LN(M$1/$A9)+(MonteCarlo!$B$9+(MonteCarlo!$B$7^2)/2)*MonteCarlo!$B$8)/(MonteCarlo!$B$7*SQRT(MonteCarlo!$B$8)))-(MonteCarlo!$B$7*SQRT(MonteCarlo!$B$8)),TRUE),$A9*EXP(-MonteCarlo!$B$9*MonteCarlo!$B$8)*_xlfn.NORM.S.DIST(-(((LN(M$1/$A9)+(MonteCarlo!$B$9+(MonteCarlo!$B$7^2)/2)*MonteCarlo!$B$8)/(MonteCarlo!$B$7*SQRT(MonteCarlo!$B$8)))-(MonteCarlo!$B$7*SQRT(MonteCarlo!$B$8))),TRUE)-M$1*_xlfn.NORM.S.DIST(-((LN(M$1/$A9)+(MonteCarlo!$B$9+(MonteCarlo!$B$7^2)/2)*MonteCarlo!$B$8)/(MonteCarlo!$B$7*SQRT(MonteCarlo!$B$8))),TRUE)),"")</f>
        <v/>
      </c>
      <c r="N9" t="str">
        <f ca="1">IFERROR(IF(OR(MonteCarlo!$B$4="C",MonteCarlo!$B$4="c"),N$1*_xlfn.NORM.S.DIST((LN(N$1/$A9)+(MonteCarlo!$B$9+(MonteCarlo!$B$7^2)/2)*MonteCarlo!$B$8)/(MonteCarlo!$B$7*SQRT(MonteCarlo!$B$8)),TRUE)-$A9*EXP(-MonteCarlo!$B$9*MonteCarlo!$B$8)*_xlfn.NORM.S.DIST(((LN(N$1/$A9)+(MonteCarlo!$B$9+(MonteCarlo!$B$7^2)/2)*MonteCarlo!$B$8)/(MonteCarlo!$B$7*SQRT(MonteCarlo!$B$8)))-(MonteCarlo!$B$7*SQRT(MonteCarlo!$B$8)),TRUE),$A9*EXP(-MonteCarlo!$B$9*MonteCarlo!$B$8)*_xlfn.NORM.S.DIST(-(((LN(N$1/$A9)+(MonteCarlo!$B$9+(MonteCarlo!$B$7^2)/2)*MonteCarlo!$B$8)/(MonteCarlo!$B$7*SQRT(MonteCarlo!$B$8)))-(MonteCarlo!$B$7*SQRT(MonteCarlo!$B$8))),TRUE)-N$1*_xlfn.NORM.S.DIST(-((LN(N$1/$A9)+(MonteCarlo!$B$9+(MonteCarlo!$B$7^2)/2)*MonteCarlo!$B$8)/(MonteCarlo!$B$7*SQRT(MonteCarlo!$B$8))),TRUE)),"")</f>
        <v/>
      </c>
      <c r="O9" t="str">
        <f ca="1">IFERROR(IF(OR(MonteCarlo!$B$4="C",MonteCarlo!$B$4="c"),O$1*_xlfn.NORM.S.DIST((LN(O$1/$A9)+(MonteCarlo!$B$9+(MonteCarlo!$B$7^2)/2)*MonteCarlo!$B$8)/(MonteCarlo!$B$7*SQRT(MonteCarlo!$B$8)),TRUE)-$A9*EXP(-MonteCarlo!$B$9*MonteCarlo!$B$8)*_xlfn.NORM.S.DIST(((LN(O$1/$A9)+(MonteCarlo!$B$9+(MonteCarlo!$B$7^2)/2)*MonteCarlo!$B$8)/(MonteCarlo!$B$7*SQRT(MonteCarlo!$B$8)))-(MonteCarlo!$B$7*SQRT(MonteCarlo!$B$8)),TRUE),$A9*EXP(-MonteCarlo!$B$9*MonteCarlo!$B$8)*_xlfn.NORM.S.DIST(-(((LN(O$1/$A9)+(MonteCarlo!$B$9+(MonteCarlo!$B$7^2)/2)*MonteCarlo!$B$8)/(MonteCarlo!$B$7*SQRT(MonteCarlo!$B$8)))-(MonteCarlo!$B$7*SQRT(MonteCarlo!$B$8))),TRUE)-O$1*_xlfn.NORM.S.DIST(-((LN(O$1/$A9)+(MonteCarlo!$B$9+(MonteCarlo!$B$7^2)/2)*MonteCarlo!$B$8)/(MonteCarlo!$B$7*SQRT(MonteCarlo!$B$8))),TRUE)),"")</f>
        <v/>
      </c>
      <c r="P9" t="str">
        <f ca="1">IFERROR(IF(OR(MonteCarlo!$B$4="C",MonteCarlo!$B$4="c"),P$1*_xlfn.NORM.S.DIST((LN(P$1/$A9)+(MonteCarlo!$B$9+(MonteCarlo!$B$7^2)/2)*MonteCarlo!$B$8)/(MonteCarlo!$B$7*SQRT(MonteCarlo!$B$8)),TRUE)-$A9*EXP(-MonteCarlo!$B$9*MonteCarlo!$B$8)*_xlfn.NORM.S.DIST(((LN(P$1/$A9)+(MonteCarlo!$B$9+(MonteCarlo!$B$7^2)/2)*MonteCarlo!$B$8)/(MonteCarlo!$B$7*SQRT(MonteCarlo!$B$8)))-(MonteCarlo!$B$7*SQRT(MonteCarlo!$B$8)),TRUE),$A9*EXP(-MonteCarlo!$B$9*MonteCarlo!$B$8)*_xlfn.NORM.S.DIST(-(((LN(P$1/$A9)+(MonteCarlo!$B$9+(MonteCarlo!$B$7^2)/2)*MonteCarlo!$B$8)/(MonteCarlo!$B$7*SQRT(MonteCarlo!$B$8)))-(MonteCarlo!$B$7*SQRT(MonteCarlo!$B$8))),TRUE)-P$1*_xlfn.NORM.S.DIST(-((LN(P$1/$A9)+(MonteCarlo!$B$9+(MonteCarlo!$B$7^2)/2)*MonteCarlo!$B$8)/(MonteCarlo!$B$7*SQRT(MonteCarlo!$B$8))),TRUE)),"")</f>
        <v/>
      </c>
      <c r="Q9" t="str">
        <f ca="1">IFERROR(IF(OR(MonteCarlo!$B$4="C",MonteCarlo!$B$4="c"),Q$1*_xlfn.NORM.S.DIST((LN(Q$1/$A9)+(MonteCarlo!$B$9+(MonteCarlo!$B$7^2)/2)*MonteCarlo!$B$8)/(MonteCarlo!$B$7*SQRT(MonteCarlo!$B$8)),TRUE)-$A9*EXP(-MonteCarlo!$B$9*MonteCarlo!$B$8)*_xlfn.NORM.S.DIST(((LN(Q$1/$A9)+(MonteCarlo!$B$9+(MonteCarlo!$B$7^2)/2)*MonteCarlo!$B$8)/(MonteCarlo!$B$7*SQRT(MonteCarlo!$B$8)))-(MonteCarlo!$B$7*SQRT(MonteCarlo!$B$8)),TRUE),$A9*EXP(-MonteCarlo!$B$9*MonteCarlo!$B$8)*_xlfn.NORM.S.DIST(-(((LN(Q$1/$A9)+(MonteCarlo!$B$9+(MonteCarlo!$B$7^2)/2)*MonteCarlo!$B$8)/(MonteCarlo!$B$7*SQRT(MonteCarlo!$B$8)))-(MonteCarlo!$B$7*SQRT(MonteCarlo!$B$8))),TRUE)-Q$1*_xlfn.NORM.S.DIST(-((LN(Q$1/$A9)+(MonteCarlo!$B$9+(MonteCarlo!$B$7^2)/2)*MonteCarlo!$B$8)/(MonteCarlo!$B$7*SQRT(MonteCarlo!$B$8))),TRUE)),"")</f>
        <v/>
      </c>
      <c r="R9" t="str">
        <f ca="1">IFERROR(IF(OR(MonteCarlo!$B$4="C",MonteCarlo!$B$4="c"),R$1*_xlfn.NORM.S.DIST((LN(R$1/$A9)+(MonteCarlo!$B$9+(MonteCarlo!$B$7^2)/2)*MonteCarlo!$B$8)/(MonteCarlo!$B$7*SQRT(MonteCarlo!$B$8)),TRUE)-$A9*EXP(-MonteCarlo!$B$9*MonteCarlo!$B$8)*_xlfn.NORM.S.DIST(((LN(R$1/$A9)+(MonteCarlo!$B$9+(MonteCarlo!$B$7^2)/2)*MonteCarlo!$B$8)/(MonteCarlo!$B$7*SQRT(MonteCarlo!$B$8)))-(MonteCarlo!$B$7*SQRT(MonteCarlo!$B$8)),TRUE),$A9*EXP(-MonteCarlo!$B$9*MonteCarlo!$B$8)*_xlfn.NORM.S.DIST(-(((LN(R$1/$A9)+(MonteCarlo!$B$9+(MonteCarlo!$B$7^2)/2)*MonteCarlo!$B$8)/(MonteCarlo!$B$7*SQRT(MonteCarlo!$B$8)))-(MonteCarlo!$B$7*SQRT(MonteCarlo!$B$8))),TRUE)-R$1*_xlfn.NORM.S.DIST(-((LN(R$1/$A9)+(MonteCarlo!$B$9+(MonteCarlo!$B$7^2)/2)*MonteCarlo!$B$8)/(MonteCarlo!$B$7*SQRT(MonteCarlo!$B$8))),TRUE)),"")</f>
        <v/>
      </c>
      <c r="S9" t="str">
        <f ca="1">IFERROR(IF(OR(MonteCarlo!$B$4="C",MonteCarlo!$B$4="c"),S$1*_xlfn.NORM.S.DIST((LN(S$1/$A9)+(MonteCarlo!$B$9+(MonteCarlo!$B$7^2)/2)*MonteCarlo!$B$8)/(MonteCarlo!$B$7*SQRT(MonteCarlo!$B$8)),TRUE)-$A9*EXP(-MonteCarlo!$B$9*MonteCarlo!$B$8)*_xlfn.NORM.S.DIST(((LN(S$1/$A9)+(MonteCarlo!$B$9+(MonteCarlo!$B$7^2)/2)*MonteCarlo!$B$8)/(MonteCarlo!$B$7*SQRT(MonteCarlo!$B$8)))-(MonteCarlo!$B$7*SQRT(MonteCarlo!$B$8)),TRUE),$A9*EXP(-MonteCarlo!$B$9*MonteCarlo!$B$8)*_xlfn.NORM.S.DIST(-(((LN(S$1/$A9)+(MonteCarlo!$B$9+(MonteCarlo!$B$7^2)/2)*MonteCarlo!$B$8)/(MonteCarlo!$B$7*SQRT(MonteCarlo!$B$8)))-(MonteCarlo!$B$7*SQRT(MonteCarlo!$B$8))),TRUE)-S$1*_xlfn.NORM.S.DIST(-((LN(S$1/$A9)+(MonteCarlo!$B$9+(MonteCarlo!$B$7^2)/2)*MonteCarlo!$B$8)/(MonteCarlo!$B$7*SQRT(MonteCarlo!$B$8))),TRUE)),"")</f>
        <v/>
      </c>
      <c r="T9" t="str">
        <f ca="1">IFERROR(IF(OR(MonteCarlo!$B$4="C",MonteCarlo!$B$4="c"),T$1*_xlfn.NORM.S.DIST((LN(T$1/$A9)+(MonteCarlo!$B$9+(MonteCarlo!$B$7^2)/2)*MonteCarlo!$B$8)/(MonteCarlo!$B$7*SQRT(MonteCarlo!$B$8)),TRUE)-$A9*EXP(-MonteCarlo!$B$9*MonteCarlo!$B$8)*_xlfn.NORM.S.DIST(((LN(T$1/$A9)+(MonteCarlo!$B$9+(MonteCarlo!$B$7^2)/2)*MonteCarlo!$B$8)/(MonteCarlo!$B$7*SQRT(MonteCarlo!$B$8)))-(MonteCarlo!$B$7*SQRT(MonteCarlo!$B$8)),TRUE),$A9*EXP(-MonteCarlo!$B$9*MonteCarlo!$B$8)*_xlfn.NORM.S.DIST(-(((LN(T$1/$A9)+(MonteCarlo!$B$9+(MonteCarlo!$B$7^2)/2)*MonteCarlo!$B$8)/(MonteCarlo!$B$7*SQRT(MonteCarlo!$B$8)))-(MonteCarlo!$B$7*SQRT(MonteCarlo!$B$8))),TRUE)-T$1*_xlfn.NORM.S.DIST(-((LN(T$1/$A9)+(MonteCarlo!$B$9+(MonteCarlo!$B$7^2)/2)*MonteCarlo!$B$8)/(MonteCarlo!$B$7*SQRT(MonteCarlo!$B$8))),TRUE)),"")</f>
        <v/>
      </c>
      <c r="U9" t="str">
        <f ca="1">IFERROR(IF(OR(MonteCarlo!$B$4="C",MonteCarlo!$B$4="c"),U$1*_xlfn.NORM.S.DIST((LN(U$1/$A9)+(MonteCarlo!$B$9+(MonteCarlo!$B$7^2)/2)*MonteCarlo!$B$8)/(MonteCarlo!$B$7*SQRT(MonteCarlo!$B$8)),TRUE)-$A9*EXP(-MonteCarlo!$B$9*MonteCarlo!$B$8)*_xlfn.NORM.S.DIST(((LN(U$1/$A9)+(MonteCarlo!$B$9+(MonteCarlo!$B$7^2)/2)*MonteCarlo!$B$8)/(MonteCarlo!$B$7*SQRT(MonteCarlo!$B$8)))-(MonteCarlo!$B$7*SQRT(MonteCarlo!$B$8)),TRUE),$A9*EXP(-MonteCarlo!$B$9*MonteCarlo!$B$8)*_xlfn.NORM.S.DIST(-(((LN(U$1/$A9)+(MonteCarlo!$B$9+(MonteCarlo!$B$7^2)/2)*MonteCarlo!$B$8)/(MonteCarlo!$B$7*SQRT(MonteCarlo!$B$8)))-(MonteCarlo!$B$7*SQRT(MonteCarlo!$B$8))),TRUE)-U$1*_xlfn.NORM.S.DIST(-((LN(U$1/$A9)+(MonteCarlo!$B$9+(MonteCarlo!$B$7^2)/2)*MonteCarlo!$B$8)/(MonteCarlo!$B$7*SQRT(MonteCarlo!$B$8))),TRUE)),"")</f>
        <v/>
      </c>
      <c r="V9" t="str">
        <f ca="1">IFERROR(IF(OR(MonteCarlo!$B$4="C",MonteCarlo!$B$4="c"),V$1*_xlfn.NORM.S.DIST((LN(V$1/$A9)+(MonteCarlo!$B$9+(MonteCarlo!$B$7^2)/2)*MonteCarlo!$B$8)/(MonteCarlo!$B$7*SQRT(MonteCarlo!$B$8)),TRUE)-$A9*EXP(-MonteCarlo!$B$9*MonteCarlo!$B$8)*_xlfn.NORM.S.DIST(((LN(V$1/$A9)+(MonteCarlo!$B$9+(MonteCarlo!$B$7^2)/2)*MonteCarlo!$B$8)/(MonteCarlo!$B$7*SQRT(MonteCarlo!$B$8)))-(MonteCarlo!$B$7*SQRT(MonteCarlo!$B$8)),TRUE),$A9*EXP(-MonteCarlo!$B$9*MonteCarlo!$B$8)*_xlfn.NORM.S.DIST(-(((LN(V$1/$A9)+(MonteCarlo!$B$9+(MonteCarlo!$B$7^2)/2)*MonteCarlo!$B$8)/(MonteCarlo!$B$7*SQRT(MonteCarlo!$B$8)))-(MonteCarlo!$B$7*SQRT(MonteCarlo!$B$8))),TRUE)-V$1*_xlfn.NORM.S.DIST(-((LN(V$1/$A9)+(MonteCarlo!$B$9+(MonteCarlo!$B$7^2)/2)*MonteCarlo!$B$8)/(MonteCarlo!$B$7*SQRT(MonteCarlo!$B$8))),TRUE)),"")</f>
        <v/>
      </c>
      <c r="W9" t="str">
        <f ca="1">IFERROR(IF(OR(MonteCarlo!$B$4="C",MonteCarlo!$B$4="c"),W$1*_xlfn.NORM.S.DIST((LN(W$1/$A9)+(MonteCarlo!$B$9+(MonteCarlo!$B$7^2)/2)*MonteCarlo!$B$8)/(MonteCarlo!$B$7*SQRT(MonteCarlo!$B$8)),TRUE)-$A9*EXP(-MonteCarlo!$B$9*MonteCarlo!$B$8)*_xlfn.NORM.S.DIST(((LN(W$1/$A9)+(MonteCarlo!$B$9+(MonteCarlo!$B$7^2)/2)*MonteCarlo!$B$8)/(MonteCarlo!$B$7*SQRT(MonteCarlo!$B$8)))-(MonteCarlo!$B$7*SQRT(MonteCarlo!$B$8)),TRUE),$A9*EXP(-MonteCarlo!$B$9*MonteCarlo!$B$8)*_xlfn.NORM.S.DIST(-(((LN(W$1/$A9)+(MonteCarlo!$B$9+(MonteCarlo!$B$7^2)/2)*MonteCarlo!$B$8)/(MonteCarlo!$B$7*SQRT(MonteCarlo!$B$8)))-(MonteCarlo!$B$7*SQRT(MonteCarlo!$B$8))),TRUE)-W$1*_xlfn.NORM.S.DIST(-((LN(W$1/$A9)+(MonteCarlo!$B$9+(MonteCarlo!$B$7^2)/2)*MonteCarlo!$B$8)/(MonteCarlo!$B$7*SQRT(MonteCarlo!$B$8))),TRUE)),"")</f>
        <v/>
      </c>
      <c r="X9" t="str">
        <f ca="1">IFERROR(IF(OR(MonteCarlo!$B$4="C",MonteCarlo!$B$4="c"),X$1*_xlfn.NORM.S.DIST((LN(X$1/$A9)+(MonteCarlo!$B$9+(MonteCarlo!$B$7^2)/2)*MonteCarlo!$B$8)/(MonteCarlo!$B$7*SQRT(MonteCarlo!$B$8)),TRUE)-$A9*EXP(-MonteCarlo!$B$9*MonteCarlo!$B$8)*_xlfn.NORM.S.DIST(((LN(X$1/$A9)+(MonteCarlo!$B$9+(MonteCarlo!$B$7^2)/2)*MonteCarlo!$B$8)/(MonteCarlo!$B$7*SQRT(MonteCarlo!$B$8)))-(MonteCarlo!$B$7*SQRT(MonteCarlo!$B$8)),TRUE),$A9*EXP(-MonteCarlo!$B$9*MonteCarlo!$B$8)*_xlfn.NORM.S.DIST(-(((LN(X$1/$A9)+(MonteCarlo!$B$9+(MonteCarlo!$B$7^2)/2)*MonteCarlo!$B$8)/(MonteCarlo!$B$7*SQRT(MonteCarlo!$B$8)))-(MonteCarlo!$B$7*SQRT(MonteCarlo!$B$8))),TRUE)-X$1*_xlfn.NORM.S.DIST(-((LN(X$1/$A9)+(MonteCarlo!$B$9+(MonteCarlo!$B$7^2)/2)*MonteCarlo!$B$8)/(MonteCarlo!$B$7*SQRT(MonteCarlo!$B$8))),TRUE)),"")</f>
        <v/>
      </c>
      <c r="Y9" t="str">
        <f ca="1">IFERROR(IF(OR(MonteCarlo!$B$4="C",MonteCarlo!$B$4="c"),Y$1*_xlfn.NORM.S.DIST((LN(Y$1/$A9)+(MonteCarlo!$B$9+(MonteCarlo!$B$7^2)/2)*MonteCarlo!$B$8)/(MonteCarlo!$B$7*SQRT(MonteCarlo!$B$8)),TRUE)-$A9*EXP(-MonteCarlo!$B$9*MonteCarlo!$B$8)*_xlfn.NORM.S.DIST(((LN(Y$1/$A9)+(MonteCarlo!$B$9+(MonteCarlo!$B$7^2)/2)*MonteCarlo!$B$8)/(MonteCarlo!$B$7*SQRT(MonteCarlo!$B$8)))-(MonteCarlo!$B$7*SQRT(MonteCarlo!$B$8)),TRUE),$A9*EXP(-MonteCarlo!$B$9*MonteCarlo!$B$8)*_xlfn.NORM.S.DIST(-(((LN(Y$1/$A9)+(MonteCarlo!$B$9+(MonteCarlo!$B$7^2)/2)*MonteCarlo!$B$8)/(MonteCarlo!$B$7*SQRT(MonteCarlo!$B$8)))-(MonteCarlo!$B$7*SQRT(MonteCarlo!$B$8))),TRUE)-Y$1*_xlfn.NORM.S.DIST(-((LN(Y$1/$A9)+(MonteCarlo!$B$9+(MonteCarlo!$B$7^2)/2)*MonteCarlo!$B$8)/(MonteCarlo!$B$7*SQRT(MonteCarlo!$B$8))),TRUE)),"")</f>
        <v/>
      </c>
      <c r="Z9" t="str">
        <f ca="1">IFERROR(IF(OR(MonteCarlo!$B$4="C",MonteCarlo!$B$4="c"),Z$1*_xlfn.NORM.S.DIST((LN(Z$1/$A9)+(MonteCarlo!$B$9+(MonteCarlo!$B$7^2)/2)*MonteCarlo!$B$8)/(MonteCarlo!$B$7*SQRT(MonteCarlo!$B$8)),TRUE)-$A9*EXP(-MonteCarlo!$B$9*MonteCarlo!$B$8)*_xlfn.NORM.S.DIST(((LN(Z$1/$A9)+(MonteCarlo!$B$9+(MonteCarlo!$B$7^2)/2)*MonteCarlo!$B$8)/(MonteCarlo!$B$7*SQRT(MonteCarlo!$B$8)))-(MonteCarlo!$B$7*SQRT(MonteCarlo!$B$8)),TRUE),$A9*EXP(-MonteCarlo!$B$9*MonteCarlo!$B$8)*_xlfn.NORM.S.DIST(-(((LN(Z$1/$A9)+(MonteCarlo!$B$9+(MonteCarlo!$B$7^2)/2)*MonteCarlo!$B$8)/(MonteCarlo!$B$7*SQRT(MonteCarlo!$B$8)))-(MonteCarlo!$B$7*SQRT(MonteCarlo!$B$8))),TRUE)-Z$1*_xlfn.NORM.S.DIST(-((LN(Z$1/$A9)+(MonteCarlo!$B$9+(MonteCarlo!$B$7^2)/2)*MonteCarlo!$B$8)/(MonteCarlo!$B$7*SQRT(MonteCarlo!$B$8))),TRUE)),"")</f>
        <v/>
      </c>
      <c r="AA9" t="str">
        <f ca="1">IFERROR(IF(OR(MonteCarlo!$B$4="C",MonteCarlo!$B$4="c"),AA$1*_xlfn.NORM.S.DIST((LN(AA$1/$A9)+(MonteCarlo!$B$9+(MonteCarlo!$B$7^2)/2)*MonteCarlo!$B$8)/(MonteCarlo!$B$7*SQRT(MonteCarlo!$B$8)),TRUE)-$A9*EXP(-MonteCarlo!$B$9*MonteCarlo!$B$8)*_xlfn.NORM.S.DIST(((LN(AA$1/$A9)+(MonteCarlo!$B$9+(MonteCarlo!$B$7^2)/2)*MonteCarlo!$B$8)/(MonteCarlo!$B$7*SQRT(MonteCarlo!$B$8)))-(MonteCarlo!$B$7*SQRT(MonteCarlo!$B$8)),TRUE),$A9*EXP(-MonteCarlo!$B$9*MonteCarlo!$B$8)*_xlfn.NORM.S.DIST(-(((LN(AA$1/$A9)+(MonteCarlo!$B$9+(MonteCarlo!$B$7^2)/2)*MonteCarlo!$B$8)/(MonteCarlo!$B$7*SQRT(MonteCarlo!$B$8)))-(MonteCarlo!$B$7*SQRT(MonteCarlo!$B$8))),TRUE)-AA$1*_xlfn.NORM.S.DIST(-((LN(AA$1/$A9)+(MonteCarlo!$B$9+(MonteCarlo!$B$7^2)/2)*MonteCarlo!$B$8)/(MonteCarlo!$B$7*SQRT(MonteCarlo!$B$8))),TRUE)),"")</f>
        <v/>
      </c>
      <c r="AB9" t="str">
        <f ca="1">IFERROR(IF(OR(MonteCarlo!$B$4="C",MonteCarlo!$B$4="c"),AB$1*_xlfn.NORM.S.DIST((LN(AB$1/$A9)+(MonteCarlo!$B$9+(MonteCarlo!$B$7^2)/2)*MonteCarlo!$B$8)/(MonteCarlo!$B$7*SQRT(MonteCarlo!$B$8)),TRUE)-$A9*EXP(-MonteCarlo!$B$9*MonteCarlo!$B$8)*_xlfn.NORM.S.DIST(((LN(AB$1/$A9)+(MonteCarlo!$B$9+(MonteCarlo!$B$7^2)/2)*MonteCarlo!$B$8)/(MonteCarlo!$B$7*SQRT(MonteCarlo!$B$8)))-(MonteCarlo!$B$7*SQRT(MonteCarlo!$B$8)),TRUE),$A9*EXP(-MonteCarlo!$B$9*MonteCarlo!$B$8)*_xlfn.NORM.S.DIST(-(((LN(AB$1/$A9)+(MonteCarlo!$B$9+(MonteCarlo!$B$7^2)/2)*MonteCarlo!$B$8)/(MonteCarlo!$B$7*SQRT(MonteCarlo!$B$8)))-(MonteCarlo!$B$7*SQRT(MonteCarlo!$B$8))),TRUE)-AB$1*_xlfn.NORM.S.DIST(-((LN(AB$1/$A9)+(MonteCarlo!$B$9+(MonteCarlo!$B$7^2)/2)*MonteCarlo!$B$8)/(MonteCarlo!$B$7*SQRT(MonteCarlo!$B$8))),TRUE)),"")</f>
        <v/>
      </c>
      <c r="AC9" t="str">
        <f ca="1">IFERROR(IF(OR(MonteCarlo!$B$4="C",MonteCarlo!$B$4="c"),AC$1*_xlfn.NORM.S.DIST((LN(AC$1/$A9)+(MonteCarlo!$B$9+(MonteCarlo!$B$7^2)/2)*MonteCarlo!$B$8)/(MonteCarlo!$B$7*SQRT(MonteCarlo!$B$8)),TRUE)-$A9*EXP(-MonteCarlo!$B$9*MonteCarlo!$B$8)*_xlfn.NORM.S.DIST(((LN(AC$1/$A9)+(MonteCarlo!$B$9+(MonteCarlo!$B$7^2)/2)*MonteCarlo!$B$8)/(MonteCarlo!$B$7*SQRT(MonteCarlo!$B$8)))-(MonteCarlo!$B$7*SQRT(MonteCarlo!$B$8)),TRUE),$A9*EXP(-MonteCarlo!$B$9*MonteCarlo!$B$8)*_xlfn.NORM.S.DIST(-(((LN(AC$1/$A9)+(MonteCarlo!$B$9+(MonteCarlo!$B$7^2)/2)*MonteCarlo!$B$8)/(MonteCarlo!$B$7*SQRT(MonteCarlo!$B$8)))-(MonteCarlo!$B$7*SQRT(MonteCarlo!$B$8))),TRUE)-AC$1*_xlfn.NORM.S.DIST(-((LN(AC$1/$A9)+(MonteCarlo!$B$9+(MonteCarlo!$B$7^2)/2)*MonteCarlo!$B$8)/(MonteCarlo!$B$7*SQRT(MonteCarlo!$B$8))),TRUE)),"")</f>
        <v/>
      </c>
      <c r="AD9" t="str">
        <f ca="1">IFERROR(IF(OR(MonteCarlo!$B$4="C",MonteCarlo!$B$4="c"),AD$1*_xlfn.NORM.S.DIST((LN(AD$1/$A9)+(MonteCarlo!$B$9+(MonteCarlo!$B$7^2)/2)*MonteCarlo!$B$8)/(MonteCarlo!$B$7*SQRT(MonteCarlo!$B$8)),TRUE)-$A9*EXP(-MonteCarlo!$B$9*MonteCarlo!$B$8)*_xlfn.NORM.S.DIST(((LN(AD$1/$A9)+(MonteCarlo!$B$9+(MonteCarlo!$B$7^2)/2)*MonteCarlo!$B$8)/(MonteCarlo!$B$7*SQRT(MonteCarlo!$B$8)))-(MonteCarlo!$B$7*SQRT(MonteCarlo!$B$8)),TRUE),$A9*EXP(-MonteCarlo!$B$9*MonteCarlo!$B$8)*_xlfn.NORM.S.DIST(-(((LN(AD$1/$A9)+(MonteCarlo!$B$9+(MonteCarlo!$B$7^2)/2)*MonteCarlo!$B$8)/(MonteCarlo!$B$7*SQRT(MonteCarlo!$B$8)))-(MonteCarlo!$B$7*SQRT(MonteCarlo!$B$8))),TRUE)-AD$1*_xlfn.NORM.S.DIST(-((LN(AD$1/$A9)+(MonteCarlo!$B$9+(MonteCarlo!$B$7^2)/2)*MonteCarlo!$B$8)/(MonteCarlo!$B$7*SQRT(MonteCarlo!$B$8))),TRUE)),"")</f>
        <v/>
      </c>
      <c r="AE9" t="str">
        <f ca="1">IFERROR(IF(OR(MonteCarlo!$B$4="C",MonteCarlo!$B$4="c"),AE$1*_xlfn.NORM.S.DIST((LN(AE$1/$A9)+(MonteCarlo!$B$9+(MonteCarlo!$B$7^2)/2)*MonteCarlo!$B$8)/(MonteCarlo!$B$7*SQRT(MonteCarlo!$B$8)),TRUE)-$A9*EXP(-MonteCarlo!$B$9*MonteCarlo!$B$8)*_xlfn.NORM.S.DIST(((LN(AE$1/$A9)+(MonteCarlo!$B$9+(MonteCarlo!$B$7^2)/2)*MonteCarlo!$B$8)/(MonteCarlo!$B$7*SQRT(MonteCarlo!$B$8)))-(MonteCarlo!$B$7*SQRT(MonteCarlo!$B$8)),TRUE),$A9*EXP(-MonteCarlo!$B$9*MonteCarlo!$B$8)*_xlfn.NORM.S.DIST(-(((LN(AE$1/$A9)+(MonteCarlo!$B$9+(MonteCarlo!$B$7^2)/2)*MonteCarlo!$B$8)/(MonteCarlo!$B$7*SQRT(MonteCarlo!$B$8)))-(MonteCarlo!$B$7*SQRT(MonteCarlo!$B$8))),TRUE)-AE$1*_xlfn.NORM.S.DIST(-((LN(AE$1/$A9)+(MonteCarlo!$B$9+(MonteCarlo!$B$7^2)/2)*MonteCarlo!$B$8)/(MonteCarlo!$B$7*SQRT(MonteCarlo!$B$8))),TRUE)),"")</f>
        <v/>
      </c>
      <c r="AF9" t="str">
        <f ca="1">IFERROR(IF(OR(MonteCarlo!$B$4="C",MonteCarlo!$B$4="c"),AF$1*_xlfn.NORM.S.DIST((LN(AF$1/$A9)+(MonteCarlo!$B$9+(MonteCarlo!$B$7^2)/2)*MonteCarlo!$B$8)/(MonteCarlo!$B$7*SQRT(MonteCarlo!$B$8)),TRUE)-$A9*EXP(-MonteCarlo!$B$9*MonteCarlo!$B$8)*_xlfn.NORM.S.DIST(((LN(AF$1/$A9)+(MonteCarlo!$B$9+(MonteCarlo!$B$7^2)/2)*MonteCarlo!$B$8)/(MonteCarlo!$B$7*SQRT(MonteCarlo!$B$8)))-(MonteCarlo!$B$7*SQRT(MonteCarlo!$B$8)),TRUE),$A9*EXP(-MonteCarlo!$B$9*MonteCarlo!$B$8)*_xlfn.NORM.S.DIST(-(((LN(AF$1/$A9)+(MonteCarlo!$B$9+(MonteCarlo!$B$7^2)/2)*MonteCarlo!$B$8)/(MonteCarlo!$B$7*SQRT(MonteCarlo!$B$8)))-(MonteCarlo!$B$7*SQRT(MonteCarlo!$B$8))),TRUE)-AF$1*_xlfn.NORM.S.DIST(-((LN(AF$1/$A9)+(MonteCarlo!$B$9+(MonteCarlo!$B$7^2)/2)*MonteCarlo!$B$8)/(MonteCarlo!$B$7*SQRT(MonteCarlo!$B$8))),TRUE)),"")</f>
        <v/>
      </c>
    </row>
    <row r="10" spans="2:32" x14ac:dyDescent="0.25">
      <c r="B10" t="str">
        <f ca="1">IFERROR(IF(OR(MonteCarlo!$B$4="C",MonteCarlo!$B$4="c"),B$1*_xlfn.NORM.S.DIST((LN(B$1/$A10)+(MonteCarlo!$B$9+(MonteCarlo!$B$7^2)/2)*MonteCarlo!$B$8)/(MonteCarlo!$B$7*SQRT(MonteCarlo!$B$8)),TRUE)-$A10*EXP(-MonteCarlo!$B$9*MonteCarlo!$B$8)*_xlfn.NORM.S.DIST(((LN(B$1/$A10)+(MonteCarlo!$B$9+(MonteCarlo!$B$7^2)/2)*MonteCarlo!$B$8)/(MonteCarlo!$B$7*SQRT(MonteCarlo!$B$8)))-(MonteCarlo!$B$7*SQRT(MonteCarlo!$B$8)),TRUE),$A10*EXP(-MonteCarlo!$B$9*MonteCarlo!$B$8)*_xlfn.NORM.S.DIST(-(((LN(B$1/$A10)+(MonteCarlo!$B$9+(MonteCarlo!$B$7^2)/2)*MonteCarlo!$B$8)/(MonteCarlo!$B$7*SQRT(MonteCarlo!$B$8)))-(MonteCarlo!$B$7*SQRT(MonteCarlo!$B$8))),TRUE)-B$1*_xlfn.NORM.S.DIST(-((LN(B$1/$A10)+(MonteCarlo!$B$9+(MonteCarlo!$B$7^2)/2)*MonteCarlo!$B$8)/(MonteCarlo!$B$7*SQRT(MonteCarlo!$B$8))),TRUE)),"")</f>
        <v/>
      </c>
      <c r="C10" t="str">
        <f ca="1">IFERROR(IF(OR(MonteCarlo!$B$4="C",MonteCarlo!$B$4="c"),C$1*_xlfn.NORM.S.DIST((LN(C$1/$A10)+(MonteCarlo!$B$9+(MonteCarlo!$B$7^2)/2)*MonteCarlo!$B$8)/(MonteCarlo!$B$7*SQRT(MonteCarlo!$B$8)),TRUE)-$A10*EXP(-MonteCarlo!$B$9*MonteCarlo!$B$8)*_xlfn.NORM.S.DIST(((LN(C$1/$A10)+(MonteCarlo!$B$9+(MonteCarlo!$B$7^2)/2)*MonteCarlo!$B$8)/(MonteCarlo!$B$7*SQRT(MonteCarlo!$B$8)))-(MonteCarlo!$B$7*SQRT(MonteCarlo!$B$8)),TRUE),$A10*EXP(-MonteCarlo!$B$9*MonteCarlo!$B$8)*_xlfn.NORM.S.DIST(-(((LN(C$1/$A10)+(MonteCarlo!$B$9+(MonteCarlo!$B$7^2)/2)*MonteCarlo!$B$8)/(MonteCarlo!$B$7*SQRT(MonteCarlo!$B$8)))-(MonteCarlo!$B$7*SQRT(MonteCarlo!$B$8))),TRUE)-C$1*_xlfn.NORM.S.DIST(-((LN(C$1/$A10)+(MonteCarlo!$B$9+(MonteCarlo!$B$7^2)/2)*MonteCarlo!$B$8)/(MonteCarlo!$B$7*SQRT(MonteCarlo!$B$8))),TRUE)),"")</f>
        <v/>
      </c>
      <c r="D10" t="str">
        <f ca="1">IFERROR(IF(OR(MonteCarlo!$B$4="C",MonteCarlo!$B$4="c"),D$1*_xlfn.NORM.S.DIST((LN(D$1/$A10)+(MonteCarlo!$B$9+(MonteCarlo!$B$7^2)/2)*MonteCarlo!$B$8)/(MonteCarlo!$B$7*SQRT(MonteCarlo!$B$8)),TRUE)-$A10*EXP(-MonteCarlo!$B$9*MonteCarlo!$B$8)*_xlfn.NORM.S.DIST(((LN(D$1/$A10)+(MonteCarlo!$B$9+(MonteCarlo!$B$7^2)/2)*MonteCarlo!$B$8)/(MonteCarlo!$B$7*SQRT(MonteCarlo!$B$8)))-(MonteCarlo!$B$7*SQRT(MonteCarlo!$B$8)),TRUE),$A10*EXP(-MonteCarlo!$B$9*MonteCarlo!$B$8)*_xlfn.NORM.S.DIST(-(((LN(D$1/$A10)+(MonteCarlo!$B$9+(MonteCarlo!$B$7^2)/2)*MonteCarlo!$B$8)/(MonteCarlo!$B$7*SQRT(MonteCarlo!$B$8)))-(MonteCarlo!$B$7*SQRT(MonteCarlo!$B$8))),TRUE)-D$1*_xlfn.NORM.S.DIST(-((LN(D$1/$A10)+(MonteCarlo!$B$9+(MonteCarlo!$B$7^2)/2)*MonteCarlo!$B$8)/(MonteCarlo!$B$7*SQRT(MonteCarlo!$B$8))),TRUE)),"")</f>
        <v/>
      </c>
      <c r="E10" t="str">
        <f ca="1">IFERROR(IF(OR(MonteCarlo!$B$4="C",MonteCarlo!$B$4="c"),E$1*_xlfn.NORM.S.DIST((LN(E$1/$A10)+(MonteCarlo!$B$9+(MonteCarlo!$B$7^2)/2)*MonteCarlo!$B$8)/(MonteCarlo!$B$7*SQRT(MonteCarlo!$B$8)),TRUE)-$A10*EXP(-MonteCarlo!$B$9*MonteCarlo!$B$8)*_xlfn.NORM.S.DIST(((LN(E$1/$A10)+(MonteCarlo!$B$9+(MonteCarlo!$B$7^2)/2)*MonteCarlo!$B$8)/(MonteCarlo!$B$7*SQRT(MonteCarlo!$B$8)))-(MonteCarlo!$B$7*SQRT(MonteCarlo!$B$8)),TRUE),$A10*EXP(-MonteCarlo!$B$9*MonteCarlo!$B$8)*_xlfn.NORM.S.DIST(-(((LN(E$1/$A10)+(MonteCarlo!$B$9+(MonteCarlo!$B$7^2)/2)*MonteCarlo!$B$8)/(MonteCarlo!$B$7*SQRT(MonteCarlo!$B$8)))-(MonteCarlo!$B$7*SQRT(MonteCarlo!$B$8))),TRUE)-E$1*_xlfn.NORM.S.DIST(-((LN(E$1/$A10)+(MonteCarlo!$B$9+(MonteCarlo!$B$7^2)/2)*MonteCarlo!$B$8)/(MonteCarlo!$B$7*SQRT(MonteCarlo!$B$8))),TRUE)),"")</f>
        <v/>
      </c>
      <c r="F10" t="str">
        <f ca="1">IFERROR(IF(OR(MonteCarlo!$B$4="C",MonteCarlo!$B$4="c"),F$1*_xlfn.NORM.S.DIST((LN(F$1/$A10)+(MonteCarlo!$B$9+(MonteCarlo!$B$7^2)/2)*MonteCarlo!$B$8)/(MonteCarlo!$B$7*SQRT(MonteCarlo!$B$8)),TRUE)-$A10*EXP(-MonteCarlo!$B$9*MonteCarlo!$B$8)*_xlfn.NORM.S.DIST(((LN(F$1/$A10)+(MonteCarlo!$B$9+(MonteCarlo!$B$7^2)/2)*MonteCarlo!$B$8)/(MonteCarlo!$B$7*SQRT(MonteCarlo!$B$8)))-(MonteCarlo!$B$7*SQRT(MonteCarlo!$B$8)),TRUE),$A10*EXP(-MonteCarlo!$B$9*MonteCarlo!$B$8)*_xlfn.NORM.S.DIST(-(((LN(F$1/$A10)+(MonteCarlo!$B$9+(MonteCarlo!$B$7^2)/2)*MonteCarlo!$B$8)/(MonteCarlo!$B$7*SQRT(MonteCarlo!$B$8)))-(MonteCarlo!$B$7*SQRT(MonteCarlo!$B$8))),TRUE)-F$1*_xlfn.NORM.S.DIST(-((LN(F$1/$A10)+(MonteCarlo!$B$9+(MonteCarlo!$B$7^2)/2)*MonteCarlo!$B$8)/(MonteCarlo!$B$7*SQRT(MonteCarlo!$B$8))),TRUE)),"")</f>
        <v/>
      </c>
      <c r="G10" t="str">
        <f ca="1">IFERROR(IF(OR(MonteCarlo!$B$4="C",MonteCarlo!$B$4="c"),G$1*_xlfn.NORM.S.DIST((LN(G$1/$A10)+(MonteCarlo!$B$9+(MonteCarlo!$B$7^2)/2)*MonteCarlo!$B$8)/(MonteCarlo!$B$7*SQRT(MonteCarlo!$B$8)),TRUE)-$A10*EXP(-MonteCarlo!$B$9*MonteCarlo!$B$8)*_xlfn.NORM.S.DIST(((LN(G$1/$A10)+(MonteCarlo!$B$9+(MonteCarlo!$B$7^2)/2)*MonteCarlo!$B$8)/(MonteCarlo!$B$7*SQRT(MonteCarlo!$B$8)))-(MonteCarlo!$B$7*SQRT(MonteCarlo!$B$8)),TRUE),$A10*EXP(-MonteCarlo!$B$9*MonteCarlo!$B$8)*_xlfn.NORM.S.DIST(-(((LN(G$1/$A10)+(MonteCarlo!$B$9+(MonteCarlo!$B$7^2)/2)*MonteCarlo!$B$8)/(MonteCarlo!$B$7*SQRT(MonteCarlo!$B$8)))-(MonteCarlo!$B$7*SQRT(MonteCarlo!$B$8))),TRUE)-G$1*_xlfn.NORM.S.DIST(-((LN(G$1/$A10)+(MonteCarlo!$B$9+(MonteCarlo!$B$7^2)/2)*MonteCarlo!$B$8)/(MonteCarlo!$B$7*SQRT(MonteCarlo!$B$8))),TRUE)),"")</f>
        <v/>
      </c>
      <c r="H10" t="str">
        <f ca="1">IFERROR(IF(OR(MonteCarlo!$B$4="C",MonteCarlo!$B$4="c"),H$1*_xlfn.NORM.S.DIST((LN(H$1/$A10)+(MonteCarlo!$B$9+(MonteCarlo!$B$7^2)/2)*MonteCarlo!$B$8)/(MonteCarlo!$B$7*SQRT(MonteCarlo!$B$8)),TRUE)-$A10*EXP(-MonteCarlo!$B$9*MonteCarlo!$B$8)*_xlfn.NORM.S.DIST(((LN(H$1/$A10)+(MonteCarlo!$B$9+(MonteCarlo!$B$7^2)/2)*MonteCarlo!$B$8)/(MonteCarlo!$B$7*SQRT(MonteCarlo!$B$8)))-(MonteCarlo!$B$7*SQRT(MonteCarlo!$B$8)),TRUE),$A10*EXP(-MonteCarlo!$B$9*MonteCarlo!$B$8)*_xlfn.NORM.S.DIST(-(((LN(H$1/$A10)+(MonteCarlo!$B$9+(MonteCarlo!$B$7^2)/2)*MonteCarlo!$B$8)/(MonteCarlo!$B$7*SQRT(MonteCarlo!$B$8)))-(MonteCarlo!$B$7*SQRT(MonteCarlo!$B$8))),TRUE)-H$1*_xlfn.NORM.S.DIST(-((LN(H$1/$A10)+(MonteCarlo!$B$9+(MonteCarlo!$B$7^2)/2)*MonteCarlo!$B$8)/(MonteCarlo!$B$7*SQRT(MonteCarlo!$B$8))),TRUE)),"")</f>
        <v/>
      </c>
      <c r="I10" t="str">
        <f ca="1">IFERROR(IF(OR(MonteCarlo!$B$4="C",MonteCarlo!$B$4="c"),I$1*_xlfn.NORM.S.DIST((LN(I$1/$A10)+(MonteCarlo!$B$9+(MonteCarlo!$B$7^2)/2)*MonteCarlo!$B$8)/(MonteCarlo!$B$7*SQRT(MonteCarlo!$B$8)),TRUE)-$A10*EXP(-MonteCarlo!$B$9*MonteCarlo!$B$8)*_xlfn.NORM.S.DIST(((LN(I$1/$A10)+(MonteCarlo!$B$9+(MonteCarlo!$B$7^2)/2)*MonteCarlo!$B$8)/(MonteCarlo!$B$7*SQRT(MonteCarlo!$B$8)))-(MonteCarlo!$B$7*SQRT(MonteCarlo!$B$8)),TRUE),$A10*EXP(-MonteCarlo!$B$9*MonteCarlo!$B$8)*_xlfn.NORM.S.DIST(-(((LN(I$1/$A10)+(MonteCarlo!$B$9+(MonteCarlo!$B$7^2)/2)*MonteCarlo!$B$8)/(MonteCarlo!$B$7*SQRT(MonteCarlo!$B$8)))-(MonteCarlo!$B$7*SQRT(MonteCarlo!$B$8))),TRUE)-I$1*_xlfn.NORM.S.DIST(-((LN(I$1/$A10)+(MonteCarlo!$B$9+(MonteCarlo!$B$7^2)/2)*MonteCarlo!$B$8)/(MonteCarlo!$B$7*SQRT(MonteCarlo!$B$8))),TRUE)),"")</f>
        <v/>
      </c>
      <c r="J10" t="str">
        <f ca="1">IFERROR(IF(OR(MonteCarlo!$B$4="C",MonteCarlo!$B$4="c"),J$1*_xlfn.NORM.S.DIST((LN(J$1/$A10)+(MonteCarlo!$B$9+(MonteCarlo!$B$7^2)/2)*MonteCarlo!$B$8)/(MonteCarlo!$B$7*SQRT(MonteCarlo!$B$8)),TRUE)-$A10*EXP(-MonteCarlo!$B$9*MonteCarlo!$B$8)*_xlfn.NORM.S.DIST(((LN(J$1/$A10)+(MonteCarlo!$B$9+(MonteCarlo!$B$7^2)/2)*MonteCarlo!$B$8)/(MonteCarlo!$B$7*SQRT(MonteCarlo!$B$8)))-(MonteCarlo!$B$7*SQRT(MonteCarlo!$B$8)),TRUE),$A10*EXP(-MonteCarlo!$B$9*MonteCarlo!$B$8)*_xlfn.NORM.S.DIST(-(((LN(J$1/$A10)+(MonteCarlo!$B$9+(MonteCarlo!$B$7^2)/2)*MonteCarlo!$B$8)/(MonteCarlo!$B$7*SQRT(MonteCarlo!$B$8)))-(MonteCarlo!$B$7*SQRT(MonteCarlo!$B$8))),TRUE)-J$1*_xlfn.NORM.S.DIST(-((LN(J$1/$A10)+(MonteCarlo!$B$9+(MonteCarlo!$B$7^2)/2)*MonteCarlo!$B$8)/(MonteCarlo!$B$7*SQRT(MonteCarlo!$B$8))),TRUE)),"")</f>
        <v/>
      </c>
      <c r="K10" t="str">
        <f ca="1">IFERROR(IF(OR(MonteCarlo!$B$4="C",MonteCarlo!$B$4="c"),K$1*_xlfn.NORM.S.DIST((LN(K$1/$A10)+(MonteCarlo!$B$9+(MonteCarlo!$B$7^2)/2)*MonteCarlo!$B$8)/(MonteCarlo!$B$7*SQRT(MonteCarlo!$B$8)),TRUE)-$A10*EXP(-MonteCarlo!$B$9*MonteCarlo!$B$8)*_xlfn.NORM.S.DIST(((LN(K$1/$A10)+(MonteCarlo!$B$9+(MonteCarlo!$B$7^2)/2)*MonteCarlo!$B$8)/(MonteCarlo!$B$7*SQRT(MonteCarlo!$B$8)))-(MonteCarlo!$B$7*SQRT(MonteCarlo!$B$8)),TRUE),$A10*EXP(-MonteCarlo!$B$9*MonteCarlo!$B$8)*_xlfn.NORM.S.DIST(-(((LN(K$1/$A10)+(MonteCarlo!$B$9+(MonteCarlo!$B$7^2)/2)*MonteCarlo!$B$8)/(MonteCarlo!$B$7*SQRT(MonteCarlo!$B$8)))-(MonteCarlo!$B$7*SQRT(MonteCarlo!$B$8))),TRUE)-K$1*_xlfn.NORM.S.DIST(-((LN(K$1/$A10)+(MonteCarlo!$B$9+(MonteCarlo!$B$7^2)/2)*MonteCarlo!$B$8)/(MonteCarlo!$B$7*SQRT(MonteCarlo!$B$8))),TRUE)),"")</f>
        <v/>
      </c>
      <c r="L10" t="str">
        <f ca="1">IFERROR(IF(OR(MonteCarlo!$B$4="C",MonteCarlo!$B$4="c"),L$1*_xlfn.NORM.S.DIST((LN(L$1/$A10)+(MonteCarlo!$B$9+(MonteCarlo!$B$7^2)/2)*MonteCarlo!$B$8)/(MonteCarlo!$B$7*SQRT(MonteCarlo!$B$8)),TRUE)-$A10*EXP(-MonteCarlo!$B$9*MonteCarlo!$B$8)*_xlfn.NORM.S.DIST(((LN(L$1/$A10)+(MonteCarlo!$B$9+(MonteCarlo!$B$7^2)/2)*MonteCarlo!$B$8)/(MonteCarlo!$B$7*SQRT(MonteCarlo!$B$8)))-(MonteCarlo!$B$7*SQRT(MonteCarlo!$B$8)),TRUE),$A10*EXP(-MonteCarlo!$B$9*MonteCarlo!$B$8)*_xlfn.NORM.S.DIST(-(((LN(L$1/$A10)+(MonteCarlo!$B$9+(MonteCarlo!$B$7^2)/2)*MonteCarlo!$B$8)/(MonteCarlo!$B$7*SQRT(MonteCarlo!$B$8)))-(MonteCarlo!$B$7*SQRT(MonteCarlo!$B$8))),TRUE)-L$1*_xlfn.NORM.S.DIST(-((LN(L$1/$A10)+(MonteCarlo!$B$9+(MonteCarlo!$B$7^2)/2)*MonteCarlo!$B$8)/(MonteCarlo!$B$7*SQRT(MonteCarlo!$B$8))),TRUE)),"")</f>
        <v/>
      </c>
      <c r="M10" t="str">
        <f ca="1">IFERROR(IF(OR(MonteCarlo!$B$4="C",MonteCarlo!$B$4="c"),M$1*_xlfn.NORM.S.DIST((LN(M$1/$A10)+(MonteCarlo!$B$9+(MonteCarlo!$B$7^2)/2)*MonteCarlo!$B$8)/(MonteCarlo!$B$7*SQRT(MonteCarlo!$B$8)),TRUE)-$A10*EXP(-MonteCarlo!$B$9*MonteCarlo!$B$8)*_xlfn.NORM.S.DIST(((LN(M$1/$A10)+(MonteCarlo!$B$9+(MonteCarlo!$B$7^2)/2)*MonteCarlo!$B$8)/(MonteCarlo!$B$7*SQRT(MonteCarlo!$B$8)))-(MonteCarlo!$B$7*SQRT(MonteCarlo!$B$8)),TRUE),$A10*EXP(-MonteCarlo!$B$9*MonteCarlo!$B$8)*_xlfn.NORM.S.DIST(-(((LN(M$1/$A10)+(MonteCarlo!$B$9+(MonteCarlo!$B$7^2)/2)*MonteCarlo!$B$8)/(MonteCarlo!$B$7*SQRT(MonteCarlo!$B$8)))-(MonteCarlo!$B$7*SQRT(MonteCarlo!$B$8))),TRUE)-M$1*_xlfn.NORM.S.DIST(-((LN(M$1/$A10)+(MonteCarlo!$B$9+(MonteCarlo!$B$7^2)/2)*MonteCarlo!$B$8)/(MonteCarlo!$B$7*SQRT(MonteCarlo!$B$8))),TRUE)),"")</f>
        <v/>
      </c>
      <c r="N10" t="str">
        <f ca="1">IFERROR(IF(OR(MonteCarlo!$B$4="C",MonteCarlo!$B$4="c"),N$1*_xlfn.NORM.S.DIST((LN(N$1/$A10)+(MonteCarlo!$B$9+(MonteCarlo!$B$7^2)/2)*MonteCarlo!$B$8)/(MonteCarlo!$B$7*SQRT(MonteCarlo!$B$8)),TRUE)-$A10*EXP(-MonteCarlo!$B$9*MonteCarlo!$B$8)*_xlfn.NORM.S.DIST(((LN(N$1/$A10)+(MonteCarlo!$B$9+(MonteCarlo!$B$7^2)/2)*MonteCarlo!$B$8)/(MonteCarlo!$B$7*SQRT(MonteCarlo!$B$8)))-(MonteCarlo!$B$7*SQRT(MonteCarlo!$B$8)),TRUE),$A10*EXP(-MonteCarlo!$B$9*MonteCarlo!$B$8)*_xlfn.NORM.S.DIST(-(((LN(N$1/$A10)+(MonteCarlo!$B$9+(MonteCarlo!$B$7^2)/2)*MonteCarlo!$B$8)/(MonteCarlo!$B$7*SQRT(MonteCarlo!$B$8)))-(MonteCarlo!$B$7*SQRT(MonteCarlo!$B$8))),TRUE)-N$1*_xlfn.NORM.S.DIST(-((LN(N$1/$A10)+(MonteCarlo!$B$9+(MonteCarlo!$B$7^2)/2)*MonteCarlo!$B$8)/(MonteCarlo!$B$7*SQRT(MonteCarlo!$B$8))),TRUE)),"")</f>
        <v/>
      </c>
      <c r="O10" t="str">
        <f ca="1">IFERROR(IF(OR(MonteCarlo!$B$4="C",MonteCarlo!$B$4="c"),O$1*_xlfn.NORM.S.DIST((LN(O$1/$A10)+(MonteCarlo!$B$9+(MonteCarlo!$B$7^2)/2)*MonteCarlo!$B$8)/(MonteCarlo!$B$7*SQRT(MonteCarlo!$B$8)),TRUE)-$A10*EXP(-MonteCarlo!$B$9*MonteCarlo!$B$8)*_xlfn.NORM.S.DIST(((LN(O$1/$A10)+(MonteCarlo!$B$9+(MonteCarlo!$B$7^2)/2)*MonteCarlo!$B$8)/(MonteCarlo!$B$7*SQRT(MonteCarlo!$B$8)))-(MonteCarlo!$B$7*SQRT(MonteCarlo!$B$8)),TRUE),$A10*EXP(-MonteCarlo!$B$9*MonteCarlo!$B$8)*_xlfn.NORM.S.DIST(-(((LN(O$1/$A10)+(MonteCarlo!$B$9+(MonteCarlo!$B$7^2)/2)*MonteCarlo!$B$8)/(MonteCarlo!$B$7*SQRT(MonteCarlo!$B$8)))-(MonteCarlo!$B$7*SQRT(MonteCarlo!$B$8))),TRUE)-O$1*_xlfn.NORM.S.DIST(-((LN(O$1/$A10)+(MonteCarlo!$B$9+(MonteCarlo!$B$7^2)/2)*MonteCarlo!$B$8)/(MonteCarlo!$B$7*SQRT(MonteCarlo!$B$8))),TRUE)),"")</f>
        <v/>
      </c>
      <c r="P10" t="str">
        <f ca="1">IFERROR(IF(OR(MonteCarlo!$B$4="C",MonteCarlo!$B$4="c"),P$1*_xlfn.NORM.S.DIST((LN(P$1/$A10)+(MonteCarlo!$B$9+(MonteCarlo!$B$7^2)/2)*MonteCarlo!$B$8)/(MonteCarlo!$B$7*SQRT(MonteCarlo!$B$8)),TRUE)-$A10*EXP(-MonteCarlo!$B$9*MonteCarlo!$B$8)*_xlfn.NORM.S.DIST(((LN(P$1/$A10)+(MonteCarlo!$B$9+(MonteCarlo!$B$7^2)/2)*MonteCarlo!$B$8)/(MonteCarlo!$B$7*SQRT(MonteCarlo!$B$8)))-(MonteCarlo!$B$7*SQRT(MonteCarlo!$B$8)),TRUE),$A10*EXP(-MonteCarlo!$B$9*MonteCarlo!$B$8)*_xlfn.NORM.S.DIST(-(((LN(P$1/$A10)+(MonteCarlo!$B$9+(MonteCarlo!$B$7^2)/2)*MonteCarlo!$B$8)/(MonteCarlo!$B$7*SQRT(MonteCarlo!$B$8)))-(MonteCarlo!$B$7*SQRT(MonteCarlo!$B$8))),TRUE)-P$1*_xlfn.NORM.S.DIST(-((LN(P$1/$A10)+(MonteCarlo!$B$9+(MonteCarlo!$B$7^2)/2)*MonteCarlo!$B$8)/(MonteCarlo!$B$7*SQRT(MonteCarlo!$B$8))),TRUE)),"")</f>
        <v/>
      </c>
      <c r="Q10" t="str">
        <f ca="1">IFERROR(IF(OR(MonteCarlo!$B$4="C",MonteCarlo!$B$4="c"),Q$1*_xlfn.NORM.S.DIST((LN(Q$1/$A10)+(MonteCarlo!$B$9+(MonteCarlo!$B$7^2)/2)*MonteCarlo!$B$8)/(MonteCarlo!$B$7*SQRT(MonteCarlo!$B$8)),TRUE)-$A10*EXP(-MonteCarlo!$B$9*MonteCarlo!$B$8)*_xlfn.NORM.S.DIST(((LN(Q$1/$A10)+(MonteCarlo!$B$9+(MonteCarlo!$B$7^2)/2)*MonteCarlo!$B$8)/(MonteCarlo!$B$7*SQRT(MonteCarlo!$B$8)))-(MonteCarlo!$B$7*SQRT(MonteCarlo!$B$8)),TRUE),$A10*EXP(-MonteCarlo!$B$9*MonteCarlo!$B$8)*_xlfn.NORM.S.DIST(-(((LN(Q$1/$A10)+(MonteCarlo!$B$9+(MonteCarlo!$B$7^2)/2)*MonteCarlo!$B$8)/(MonteCarlo!$B$7*SQRT(MonteCarlo!$B$8)))-(MonteCarlo!$B$7*SQRT(MonteCarlo!$B$8))),TRUE)-Q$1*_xlfn.NORM.S.DIST(-((LN(Q$1/$A10)+(MonteCarlo!$B$9+(MonteCarlo!$B$7^2)/2)*MonteCarlo!$B$8)/(MonteCarlo!$B$7*SQRT(MonteCarlo!$B$8))),TRUE)),"")</f>
        <v/>
      </c>
      <c r="R10" t="str">
        <f ca="1">IFERROR(IF(OR(MonteCarlo!$B$4="C",MonteCarlo!$B$4="c"),R$1*_xlfn.NORM.S.DIST((LN(R$1/$A10)+(MonteCarlo!$B$9+(MonteCarlo!$B$7^2)/2)*MonteCarlo!$B$8)/(MonteCarlo!$B$7*SQRT(MonteCarlo!$B$8)),TRUE)-$A10*EXP(-MonteCarlo!$B$9*MonteCarlo!$B$8)*_xlfn.NORM.S.DIST(((LN(R$1/$A10)+(MonteCarlo!$B$9+(MonteCarlo!$B$7^2)/2)*MonteCarlo!$B$8)/(MonteCarlo!$B$7*SQRT(MonteCarlo!$B$8)))-(MonteCarlo!$B$7*SQRT(MonteCarlo!$B$8)),TRUE),$A10*EXP(-MonteCarlo!$B$9*MonteCarlo!$B$8)*_xlfn.NORM.S.DIST(-(((LN(R$1/$A10)+(MonteCarlo!$B$9+(MonteCarlo!$B$7^2)/2)*MonteCarlo!$B$8)/(MonteCarlo!$B$7*SQRT(MonteCarlo!$B$8)))-(MonteCarlo!$B$7*SQRT(MonteCarlo!$B$8))),TRUE)-R$1*_xlfn.NORM.S.DIST(-((LN(R$1/$A10)+(MonteCarlo!$B$9+(MonteCarlo!$B$7^2)/2)*MonteCarlo!$B$8)/(MonteCarlo!$B$7*SQRT(MonteCarlo!$B$8))),TRUE)),"")</f>
        <v/>
      </c>
      <c r="S10" t="str">
        <f ca="1">IFERROR(IF(OR(MonteCarlo!$B$4="C",MonteCarlo!$B$4="c"),S$1*_xlfn.NORM.S.DIST((LN(S$1/$A10)+(MonteCarlo!$B$9+(MonteCarlo!$B$7^2)/2)*MonteCarlo!$B$8)/(MonteCarlo!$B$7*SQRT(MonteCarlo!$B$8)),TRUE)-$A10*EXP(-MonteCarlo!$B$9*MonteCarlo!$B$8)*_xlfn.NORM.S.DIST(((LN(S$1/$A10)+(MonteCarlo!$B$9+(MonteCarlo!$B$7^2)/2)*MonteCarlo!$B$8)/(MonteCarlo!$B$7*SQRT(MonteCarlo!$B$8)))-(MonteCarlo!$B$7*SQRT(MonteCarlo!$B$8)),TRUE),$A10*EXP(-MonteCarlo!$B$9*MonteCarlo!$B$8)*_xlfn.NORM.S.DIST(-(((LN(S$1/$A10)+(MonteCarlo!$B$9+(MonteCarlo!$B$7^2)/2)*MonteCarlo!$B$8)/(MonteCarlo!$B$7*SQRT(MonteCarlo!$B$8)))-(MonteCarlo!$B$7*SQRT(MonteCarlo!$B$8))),TRUE)-S$1*_xlfn.NORM.S.DIST(-((LN(S$1/$A10)+(MonteCarlo!$B$9+(MonteCarlo!$B$7^2)/2)*MonteCarlo!$B$8)/(MonteCarlo!$B$7*SQRT(MonteCarlo!$B$8))),TRUE)),"")</f>
        <v/>
      </c>
      <c r="T10" t="str">
        <f ca="1">IFERROR(IF(OR(MonteCarlo!$B$4="C",MonteCarlo!$B$4="c"),T$1*_xlfn.NORM.S.DIST((LN(T$1/$A10)+(MonteCarlo!$B$9+(MonteCarlo!$B$7^2)/2)*MonteCarlo!$B$8)/(MonteCarlo!$B$7*SQRT(MonteCarlo!$B$8)),TRUE)-$A10*EXP(-MonteCarlo!$B$9*MonteCarlo!$B$8)*_xlfn.NORM.S.DIST(((LN(T$1/$A10)+(MonteCarlo!$B$9+(MonteCarlo!$B$7^2)/2)*MonteCarlo!$B$8)/(MonteCarlo!$B$7*SQRT(MonteCarlo!$B$8)))-(MonteCarlo!$B$7*SQRT(MonteCarlo!$B$8)),TRUE),$A10*EXP(-MonteCarlo!$B$9*MonteCarlo!$B$8)*_xlfn.NORM.S.DIST(-(((LN(T$1/$A10)+(MonteCarlo!$B$9+(MonteCarlo!$B$7^2)/2)*MonteCarlo!$B$8)/(MonteCarlo!$B$7*SQRT(MonteCarlo!$B$8)))-(MonteCarlo!$B$7*SQRT(MonteCarlo!$B$8))),TRUE)-T$1*_xlfn.NORM.S.DIST(-((LN(T$1/$A10)+(MonteCarlo!$B$9+(MonteCarlo!$B$7^2)/2)*MonteCarlo!$B$8)/(MonteCarlo!$B$7*SQRT(MonteCarlo!$B$8))),TRUE)),"")</f>
        <v/>
      </c>
      <c r="U10" t="str">
        <f ca="1">IFERROR(IF(OR(MonteCarlo!$B$4="C",MonteCarlo!$B$4="c"),U$1*_xlfn.NORM.S.DIST((LN(U$1/$A10)+(MonteCarlo!$B$9+(MonteCarlo!$B$7^2)/2)*MonteCarlo!$B$8)/(MonteCarlo!$B$7*SQRT(MonteCarlo!$B$8)),TRUE)-$A10*EXP(-MonteCarlo!$B$9*MonteCarlo!$B$8)*_xlfn.NORM.S.DIST(((LN(U$1/$A10)+(MonteCarlo!$B$9+(MonteCarlo!$B$7^2)/2)*MonteCarlo!$B$8)/(MonteCarlo!$B$7*SQRT(MonteCarlo!$B$8)))-(MonteCarlo!$B$7*SQRT(MonteCarlo!$B$8)),TRUE),$A10*EXP(-MonteCarlo!$B$9*MonteCarlo!$B$8)*_xlfn.NORM.S.DIST(-(((LN(U$1/$A10)+(MonteCarlo!$B$9+(MonteCarlo!$B$7^2)/2)*MonteCarlo!$B$8)/(MonteCarlo!$B$7*SQRT(MonteCarlo!$B$8)))-(MonteCarlo!$B$7*SQRT(MonteCarlo!$B$8))),TRUE)-U$1*_xlfn.NORM.S.DIST(-((LN(U$1/$A10)+(MonteCarlo!$B$9+(MonteCarlo!$B$7^2)/2)*MonteCarlo!$B$8)/(MonteCarlo!$B$7*SQRT(MonteCarlo!$B$8))),TRUE)),"")</f>
        <v/>
      </c>
      <c r="V10" t="str">
        <f ca="1">IFERROR(IF(OR(MonteCarlo!$B$4="C",MonteCarlo!$B$4="c"),V$1*_xlfn.NORM.S.DIST((LN(V$1/$A10)+(MonteCarlo!$B$9+(MonteCarlo!$B$7^2)/2)*MonteCarlo!$B$8)/(MonteCarlo!$B$7*SQRT(MonteCarlo!$B$8)),TRUE)-$A10*EXP(-MonteCarlo!$B$9*MonteCarlo!$B$8)*_xlfn.NORM.S.DIST(((LN(V$1/$A10)+(MonteCarlo!$B$9+(MonteCarlo!$B$7^2)/2)*MonteCarlo!$B$8)/(MonteCarlo!$B$7*SQRT(MonteCarlo!$B$8)))-(MonteCarlo!$B$7*SQRT(MonteCarlo!$B$8)),TRUE),$A10*EXP(-MonteCarlo!$B$9*MonteCarlo!$B$8)*_xlfn.NORM.S.DIST(-(((LN(V$1/$A10)+(MonteCarlo!$B$9+(MonteCarlo!$B$7^2)/2)*MonteCarlo!$B$8)/(MonteCarlo!$B$7*SQRT(MonteCarlo!$B$8)))-(MonteCarlo!$B$7*SQRT(MonteCarlo!$B$8))),TRUE)-V$1*_xlfn.NORM.S.DIST(-((LN(V$1/$A10)+(MonteCarlo!$B$9+(MonteCarlo!$B$7^2)/2)*MonteCarlo!$B$8)/(MonteCarlo!$B$7*SQRT(MonteCarlo!$B$8))),TRUE)),"")</f>
        <v/>
      </c>
      <c r="W10" t="str">
        <f ca="1">IFERROR(IF(OR(MonteCarlo!$B$4="C",MonteCarlo!$B$4="c"),W$1*_xlfn.NORM.S.DIST((LN(W$1/$A10)+(MonteCarlo!$B$9+(MonteCarlo!$B$7^2)/2)*MonteCarlo!$B$8)/(MonteCarlo!$B$7*SQRT(MonteCarlo!$B$8)),TRUE)-$A10*EXP(-MonteCarlo!$B$9*MonteCarlo!$B$8)*_xlfn.NORM.S.DIST(((LN(W$1/$A10)+(MonteCarlo!$B$9+(MonteCarlo!$B$7^2)/2)*MonteCarlo!$B$8)/(MonteCarlo!$B$7*SQRT(MonteCarlo!$B$8)))-(MonteCarlo!$B$7*SQRT(MonteCarlo!$B$8)),TRUE),$A10*EXP(-MonteCarlo!$B$9*MonteCarlo!$B$8)*_xlfn.NORM.S.DIST(-(((LN(W$1/$A10)+(MonteCarlo!$B$9+(MonteCarlo!$B$7^2)/2)*MonteCarlo!$B$8)/(MonteCarlo!$B$7*SQRT(MonteCarlo!$B$8)))-(MonteCarlo!$B$7*SQRT(MonteCarlo!$B$8))),TRUE)-W$1*_xlfn.NORM.S.DIST(-((LN(W$1/$A10)+(MonteCarlo!$B$9+(MonteCarlo!$B$7^2)/2)*MonteCarlo!$B$8)/(MonteCarlo!$B$7*SQRT(MonteCarlo!$B$8))),TRUE)),"")</f>
        <v/>
      </c>
      <c r="X10" t="str">
        <f ca="1">IFERROR(IF(OR(MonteCarlo!$B$4="C",MonteCarlo!$B$4="c"),X$1*_xlfn.NORM.S.DIST((LN(X$1/$A10)+(MonteCarlo!$B$9+(MonteCarlo!$B$7^2)/2)*MonteCarlo!$B$8)/(MonteCarlo!$B$7*SQRT(MonteCarlo!$B$8)),TRUE)-$A10*EXP(-MonteCarlo!$B$9*MonteCarlo!$B$8)*_xlfn.NORM.S.DIST(((LN(X$1/$A10)+(MonteCarlo!$B$9+(MonteCarlo!$B$7^2)/2)*MonteCarlo!$B$8)/(MonteCarlo!$B$7*SQRT(MonteCarlo!$B$8)))-(MonteCarlo!$B$7*SQRT(MonteCarlo!$B$8)),TRUE),$A10*EXP(-MonteCarlo!$B$9*MonteCarlo!$B$8)*_xlfn.NORM.S.DIST(-(((LN(X$1/$A10)+(MonteCarlo!$B$9+(MonteCarlo!$B$7^2)/2)*MonteCarlo!$B$8)/(MonteCarlo!$B$7*SQRT(MonteCarlo!$B$8)))-(MonteCarlo!$B$7*SQRT(MonteCarlo!$B$8))),TRUE)-X$1*_xlfn.NORM.S.DIST(-((LN(X$1/$A10)+(MonteCarlo!$B$9+(MonteCarlo!$B$7^2)/2)*MonteCarlo!$B$8)/(MonteCarlo!$B$7*SQRT(MonteCarlo!$B$8))),TRUE)),"")</f>
        <v/>
      </c>
      <c r="Y10" t="str">
        <f ca="1">IFERROR(IF(OR(MonteCarlo!$B$4="C",MonteCarlo!$B$4="c"),Y$1*_xlfn.NORM.S.DIST((LN(Y$1/$A10)+(MonteCarlo!$B$9+(MonteCarlo!$B$7^2)/2)*MonteCarlo!$B$8)/(MonteCarlo!$B$7*SQRT(MonteCarlo!$B$8)),TRUE)-$A10*EXP(-MonteCarlo!$B$9*MonteCarlo!$B$8)*_xlfn.NORM.S.DIST(((LN(Y$1/$A10)+(MonteCarlo!$B$9+(MonteCarlo!$B$7^2)/2)*MonteCarlo!$B$8)/(MonteCarlo!$B$7*SQRT(MonteCarlo!$B$8)))-(MonteCarlo!$B$7*SQRT(MonteCarlo!$B$8)),TRUE),$A10*EXP(-MonteCarlo!$B$9*MonteCarlo!$B$8)*_xlfn.NORM.S.DIST(-(((LN(Y$1/$A10)+(MonteCarlo!$B$9+(MonteCarlo!$B$7^2)/2)*MonteCarlo!$B$8)/(MonteCarlo!$B$7*SQRT(MonteCarlo!$B$8)))-(MonteCarlo!$B$7*SQRT(MonteCarlo!$B$8))),TRUE)-Y$1*_xlfn.NORM.S.DIST(-((LN(Y$1/$A10)+(MonteCarlo!$B$9+(MonteCarlo!$B$7^2)/2)*MonteCarlo!$B$8)/(MonteCarlo!$B$7*SQRT(MonteCarlo!$B$8))),TRUE)),"")</f>
        <v/>
      </c>
      <c r="Z10" t="str">
        <f ca="1">IFERROR(IF(OR(MonteCarlo!$B$4="C",MonteCarlo!$B$4="c"),Z$1*_xlfn.NORM.S.DIST((LN(Z$1/$A10)+(MonteCarlo!$B$9+(MonteCarlo!$B$7^2)/2)*MonteCarlo!$B$8)/(MonteCarlo!$B$7*SQRT(MonteCarlo!$B$8)),TRUE)-$A10*EXP(-MonteCarlo!$B$9*MonteCarlo!$B$8)*_xlfn.NORM.S.DIST(((LN(Z$1/$A10)+(MonteCarlo!$B$9+(MonteCarlo!$B$7^2)/2)*MonteCarlo!$B$8)/(MonteCarlo!$B$7*SQRT(MonteCarlo!$B$8)))-(MonteCarlo!$B$7*SQRT(MonteCarlo!$B$8)),TRUE),$A10*EXP(-MonteCarlo!$B$9*MonteCarlo!$B$8)*_xlfn.NORM.S.DIST(-(((LN(Z$1/$A10)+(MonteCarlo!$B$9+(MonteCarlo!$B$7^2)/2)*MonteCarlo!$B$8)/(MonteCarlo!$B$7*SQRT(MonteCarlo!$B$8)))-(MonteCarlo!$B$7*SQRT(MonteCarlo!$B$8))),TRUE)-Z$1*_xlfn.NORM.S.DIST(-((LN(Z$1/$A10)+(MonteCarlo!$B$9+(MonteCarlo!$B$7^2)/2)*MonteCarlo!$B$8)/(MonteCarlo!$B$7*SQRT(MonteCarlo!$B$8))),TRUE)),"")</f>
        <v/>
      </c>
      <c r="AA10" t="str">
        <f ca="1">IFERROR(IF(OR(MonteCarlo!$B$4="C",MonteCarlo!$B$4="c"),AA$1*_xlfn.NORM.S.DIST((LN(AA$1/$A10)+(MonteCarlo!$B$9+(MonteCarlo!$B$7^2)/2)*MonteCarlo!$B$8)/(MonteCarlo!$B$7*SQRT(MonteCarlo!$B$8)),TRUE)-$A10*EXP(-MonteCarlo!$B$9*MonteCarlo!$B$8)*_xlfn.NORM.S.DIST(((LN(AA$1/$A10)+(MonteCarlo!$B$9+(MonteCarlo!$B$7^2)/2)*MonteCarlo!$B$8)/(MonteCarlo!$B$7*SQRT(MonteCarlo!$B$8)))-(MonteCarlo!$B$7*SQRT(MonteCarlo!$B$8)),TRUE),$A10*EXP(-MonteCarlo!$B$9*MonteCarlo!$B$8)*_xlfn.NORM.S.DIST(-(((LN(AA$1/$A10)+(MonteCarlo!$B$9+(MonteCarlo!$B$7^2)/2)*MonteCarlo!$B$8)/(MonteCarlo!$B$7*SQRT(MonteCarlo!$B$8)))-(MonteCarlo!$B$7*SQRT(MonteCarlo!$B$8))),TRUE)-AA$1*_xlfn.NORM.S.DIST(-((LN(AA$1/$A10)+(MonteCarlo!$B$9+(MonteCarlo!$B$7^2)/2)*MonteCarlo!$B$8)/(MonteCarlo!$B$7*SQRT(MonteCarlo!$B$8))),TRUE)),"")</f>
        <v/>
      </c>
      <c r="AB10" t="str">
        <f ca="1">IFERROR(IF(OR(MonteCarlo!$B$4="C",MonteCarlo!$B$4="c"),AB$1*_xlfn.NORM.S.DIST((LN(AB$1/$A10)+(MonteCarlo!$B$9+(MonteCarlo!$B$7^2)/2)*MonteCarlo!$B$8)/(MonteCarlo!$B$7*SQRT(MonteCarlo!$B$8)),TRUE)-$A10*EXP(-MonteCarlo!$B$9*MonteCarlo!$B$8)*_xlfn.NORM.S.DIST(((LN(AB$1/$A10)+(MonteCarlo!$B$9+(MonteCarlo!$B$7^2)/2)*MonteCarlo!$B$8)/(MonteCarlo!$B$7*SQRT(MonteCarlo!$B$8)))-(MonteCarlo!$B$7*SQRT(MonteCarlo!$B$8)),TRUE),$A10*EXP(-MonteCarlo!$B$9*MonteCarlo!$B$8)*_xlfn.NORM.S.DIST(-(((LN(AB$1/$A10)+(MonteCarlo!$B$9+(MonteCarlo!$B$7^2)/2)*MonteCarlo!$B$8)/(MonteCarlo!$B$7*SQRT(MonteCarlo!$B$8)))-(MonteCarlo!$B$7*SQRT(MonteCarlo!$B$8))),TRUE)-AB$1*_xlfn.NORM.S.DIST(-((LN(AB$1/$A10)+(MonteCarlo!$B$9+(MonteCarlo!$B$7^2)/2)*MonteCarlo!$B$8)/(MonteCarlo!$B$7*SQRT(MonteCarlo!$B$8))),TRUE)),"")</f>
        <v/>
      </c>
      <c r="AC10" t="str">
        <f ca="1">IFERROR(IF(OR(MonteCarlo!$B$4="C",MonteCarlo!$B$4="c"),AC$1*_xlfn.NORM.S.DIST((LN(AC$1/$A10)+(MonteCarlo!$B$9+(MonteCarlo!$B$7^2)/2)*MonteCarlo!$B$8)/(MonteCarlo!$B$7*SQRT(MonteCarlo!$B$8)),TRUE)-$A10*EXP(-MonteCarlo!$B$9*MonteCarlo!$B$8)*_xlfn.NORM.S.DIST(((LN(AC$1/$A10)+(MonteCarlo!$B$9+(MonteCarlo!$B$7^2)/2)*MonteCarlo!$B$8)/(MonteCarlo!$B$7*SQRT(MonteCarlo!$B$8)))-(MonteCarlo!$B$7*SQRT(MonteCarlo!$B$8)),TRUE),$A10*EXP(-MonteCarlo!$B$9*MonteCarlo!$B$8)*_xlfn.NORM.S.DIST(-(((LN(AC$1/$A10)+(MonteCarlo!$B$9+(MonteCarlo!$B$7^2)/2)*MonteCarlo!$B$8)/(MonteCarlo!$B$7*SQRT(MonteCarlo!$B$8)))-(MonteCarlo!$B$7*SQRT(MonteCarlo!$B$8))),TRUE)-AC$1*_xlfn.NORM.S.DIST(-((LN(AC$1/$A10)+(MonteCarlo!$B$9+(MonteCarlo!$B$7^2)/2)*MonteCarlo!$B$8)/(MonteCarlo!$B$7*SQRT(MonteCarlo!$B$8))),TRUE)),"")</f>
        <v/>
      </c>
      <c r="AD10" t="str">
        <f ca="1">IFERROR(IF(OR(MonteCarlo!$B$4="C",MonteCarlo!$B$4="c"),AD$1*_xlfn.NORM.S.DIST((LN(AD$1/$A10)+(MonteCarlo!$B$9+(MonteCarlo!$B$7^2)/2)*MonteCarlo!$B$8)/(MonteCarlo!$B$7*SQRT(MonteCarlo!$B$8)),TRUE)-$A10*EXP(-MonteCarlo!$B$9*MonteCarlo!$B$8)*_xlfn.NORM.S.DIST(((LN(AD$1/$A10)+(MonteCarlo!$B$9+(MonteCarlo!$B$7^2)/2)*MonteCarlo!$B$8)/(MonteCarlo!$B$7*SQRT(MonteCarlo!$B$8)))-(MonteCarlo!$B$7*SQRT(MonteCarlo!$B$8)),TRUE),$A10*EXP(-MonteCarlo!$B$9*MonteCarlo!$B$8)*_xlfn.NORM.S.DIST(-(((LN(AD$1/$A10)+(MonteCarlo!$B$9+(MonteCarlo!$B$7^2)/2)*MonteCarlo!$B$8)/(MonteCarlo!$B$7*SQRT(MonteCarlo!$B$8)))-(MonteCarlo!$B$7*SQRT(MonteCarlo!$B$8))),TRUE)-AD$1*_xlfn.NORM.S.DIST(-((LN(AD$1/$A10)+(MonteCarlo!$B$9+(MonteCarlo!$B$7^2)/2)*MonteCarlo!$B$8)/(MonteCarlo!$B$7*SQRT(MonteCarlo!$B$8))),TRUE)),"")</f>
        <v/>
      </c>
      <c r="AE10" t="str">
        <f ca="1">IFERROR(IF(OR(MonteCarlo!$B$4="C",MonteCarlo!$B$4="c"),AE$1*_xlfn.NORM.S.DIST((LN(AE$1/$A10)+(MonteCarlo!$B$9+(MonteCarlo!$B$7^2)/2)*MonteCarlo!$B$8)/(MonteCarlo!$B$7*SQRT(MonteCarlo!$B$8)),TRUE)-$A10*EXP(-MonteCarlo!$B$9*MonteCarlo!$B$8)*_xlfn.NORM.S.DIST(((LN(AE$1/$A10)+(MonteCarlo!$B$9+(MonteCarlo!$B$7^2)/2)*MonteCarlo!$B$8)/(MonteCarlo!$B$7*SQRT(MonteCarlo!$B$8)))-(MonteCarlo!$B$7*SQRT(MonteCarlo!$B$8)),TRUE),$A10*EXP(-MonteCarlo!$B$9*MonteCarlo!$B$8)*_xlfn.NORM.S.DIST(-(((LN(AE$1/$A10)+(MonteCarlo!$B$9+(MonteCarlo!$B$7^2)/2)*MonteCarlo!$B$8)/(MonteCarlo!$B$7*SQRT(MonteCarlo!$B$8)))-(MonteCarlo!$B$7*SQRT(MonteCarlo!$B$8))),TRUE)-AE$1*_xlfn.NORM.S.DIST(-((LN(AE$1/$A10)+(MonteCarlo!$B$9+(MonteCarlo!$B$7^2)/2)*MonteCarlo!$B$8)/(MonteCarlo!$B$7*SQRT(MonteCarlo!$B$8))),TRUE)),"")</f>
        <v/>
      </c>
      <c r="AF10" t="str">
        <f ca="1">IFERROR(IF(OR(MonteCarlo!$B$4="C",MonteCarlo!$B$4="c"),AF$1*_xlfn.NORM.S.DIST((LN(AF$1/$A10)+(MonteCarlo!$B$9+(MonteCarlo!$B$7^2)/2)*MonteCarlo!$B$8)/(MonteCarlo!$B$7*SQRT(MonteCarlo!$B$8)),TRUE)-$A10*EXP(-MonteCarlo!$B$9*MonteCarlo!$B$8)*_xlfn.NORM.S.DIST(((LN(AF$1/$A10)+(MonteCarlo!$B$9+(MonteCarlo!$B$7^2)/2)*MonteCarlo!$B$8)/(MonteCarlo!$B$7*SQRT(MonteCarlo!$B$8)))-(MonteCarlo!$B$7*SQRT(MonteCarlo!$B$8)),TRUE),$A10*EXP(-MonteCarlo!$B$9*MonteCarlo!$B$8)*_xlfn.NORM.S.DIST(-(((LN(AF$1/$A10)+(MonteCarlo!$B$9+(MonteCarlo!$B$7^2)/2)*MonteCarlo!$B$8)/(MonteCarlo!$B$7*SQRT(MonteCarlo!$B$8)))-(MonteCarlo!$B$7*SQRT(MonteCarlo!$B$8))),TRUE)-AF$1*_xlfn.NORM.S.DIST(-((LN(AF$1/$A10)+(MonteCarlo!$B$9+(MonteCarlo!$B$7^2)/2)*MonteCarlo!$B$8)/(MonteCarlo!$B$7*SQRT(MonteCarlo!$B$8))),TRUE)),"")</f>
        <v/>
      </c>
    </row>
    <row r="11" spans="2:32" x14ac:dyDescent="0.25">
      <c r="B11" t="str">
        <f ca="1">IFERROR(IF(OR(MonteCarlo!$B$4="C",MonteCarlo!$B$4="c"),B$1*_xlfn.NORM.S.DIST((LN(B$1/$A11)+(MonteCarlo!$B$9+(MonteCarlo!$B$7^2)/2)*MonteCarlo!$B$8)/(MonteCarlo!$B$7*SQRT(MonteCarlo!$B$8)),TRUE)-$A11*EXP(-MonteCarlo!$B$9*MonteCarlo!$B$8)*_xlfn.NORM.S.DIST(((LN(B$1/$A11)+(MonteCarlo!$B$9+(MonteCarlo!$B$7^2)/2)*MonteCarlo!$B$8)/(MonteCarlo!$B$7*SQRT(MonteCarlo!$B$8)))-(MonteCarlo!$B$7*SQRT(MonteCarlo!$B$8)),TRUE),$A11*EXP(-MonteCarlo!$B$9*MonteCarlo!$B$8)*_xlfn.NORM.S.DIST(-(((LN(B$1/$A11)+(MonteCarlo!$B$9+(MonteCarlo!$B$7^2)/2)*MonteCarlo!$B$8)/(MonteCarlo!$B$7*SQRT(MonteCarlo!$B$8)))-(MonteCarlo!$B$7*SQRT(MonteCarlo!$B$8))),TRUE)-B$1*_xlfn.NORM.S.DIST(-((LN(B$1/$A11)+(MonteCarlo!$B$9+(MonteCarlo!$B$7^2)/2)*MonteCarlo!$B$8)/(MonteCarlo!$B$7*SQRT(MonteCarlo!$B$8))),TRUE)),"")</f>
        <v/>
      </c>
      <c r="C11" t="str">
        <f ca="1">IFERROR(IF(OR(MonteCarlo!$B$4="C",MonteCarlo!$B$4="c"),C$1*_xlfn.NORM.S.DIST((LN(C$1/$A11)+(MonteCarlo!$B$9+(MonteCarlo!$B$7^2)/2)*MonteCarlo!$B$8)/(MonteCarlo!$B$7*SQRT(MonteCarlo!$B$8)),TRUE)-$A11*EXP(-MonteCarlo!$B$9*MonteCarlo!$B$8)*_xlfn.NORM.S.DIST(((LN(C$1/$A11)+(MonteCarlo!$B$9+(MonteCarlo!$B$7^2)/2)*MonteCarlo!$B$8)/(MonteCarlo!$B$7*SQRT(MonteCarlo!$B$8)))-(MonteCarlo!$B$7*SQRT(MonteCarlo!$B$8)),TRUE),$A11*EXP(-MonteCarlo!$B$9*MonteCarlo!$B$8)*_xlfn.NORM.S.DIST(-(((LN(C$1/$A11)+(MonteCarlo!$B$9+(MonteCarlo!$B$7^2)/2)*MonteCarlo!$B$8)/(MonteCarlo!$B$7*SQRT(MonteCarlo!$B$8)))-(MonteCarlo!$B$7*SQRT(MonteCarlo!$B$8))),TRUE)-C$1*_xlfn.NORM.S.DIST(-((LN(C$1/$A11)+(MonteCarlo!$B$9+(MonteCarlo!$B$7^2)/2)*MonteCarlo!$B$8)/(MonteCarlo!$B$7*SQRT(MonteCarlo!$B$8))),TRUE)),"")</f>
        <v/>
      </c>
      <c r="D11" t="str">
        <f ca="1">IFERROR(IF(OR(MonteCarlo!$B$4="C",MonteCarlo!$B$4="c"),D$1*_xlfn.NORM.S.DIST((LN(D$1/$A11)+(MonteCarlo!$B$9+(MonteCarlo!$B$7^2)/2)*MonteCarlo!$B$8)/(MonteCarlo!$B$7*SQRT(MonteCarlo!$B$8)),TRUE)-$A11*EXP(-MonteCarlo!$B$9*MonteCarlo!$B$8)*_xlfn.NORM.S.DIST(((LN(D$1/$A11)+(MonteCarlo!$B$9+(MonteCarlo!$B$7^2)/2)*MonteCarlo!$B$8)/(MonteCarlo!$B$7*SQRT(MonteCarlo!$B$8)))-(MonteCarlo!$B$7*SQRT(MonteCarlo!$B$8)),TRUE),$A11*EXP(-MonteCarlo!$B$9*MonteCarlo!$B$8)*_xlfn.NORM.S.DIST(-(((LN(D$1/$A11)+(MonteCarlo!$B$9+(MonteCarlo!$B$7^2)/2)*MonteCarlo!$B$8)/(MonteCarlo!$B$7*SQRT(MonteCarlo!$B$8)))-(MonteCarlo!$B$7*SQRT(MonteCarlo!$B$8))),TRUE)-D$1*_xlfn.NORM.S.DIST(-((LN(D$1/$A11)+(MonteCarlo!$B$9+(MonteCarlo!$B$7^2)/2)*MonteCarlo!$B$8)/(MonteCarlo!$B$7*SQRT(MonteCarlo!$B$8))),TRUE)),"")</f>
        <v/>
      </c>
      <c r="E11" t="str">
        <f ca="1">IFERROR(IF(OR(MonteCarlo!$B$4="C",MonteCarlo!$B$4="c"),E$1*_xlfn.NORM.S.DIST((LN(E$1/$A11)+(MonteCarlo!$B$9+(MonteCarlo!$B$7^2)/2)*MonteCarlo!$B$8)/(MonteCarlo!$B$7*SQRT(MonteCarlo!$B$8)),TRUE)-$A11*EXP(-MonteCarlo!$B$9*MonteCarlo!$B$8)*_xlfn.NORM.S.DIST(((LN(E$1/$A11)+(MonteCarlo!$B$9+(MonteCarlo!$B$7^2)/2)*MonteCarlo!$B$8)/(MonteCarlo!$B$7*SQRT(MonteCarlo!$B$8)))-(MonteCarlo!$B$7*SQRT(MonteCarlo!$B$8)),TRUE),$A11*EXP(-MonteCarlo!$B$9*MonteCarlo!$B$8)*_xlfn.NORM.S.DIST(-(((LN(E$1/$A11)+(MonteCarlo!$B$9+(MonteCarlo!$B$7^2)/2)*MonteCarlo!$B$8)/(MonteCarlo!$B$7*SQRT(MonteCarlo!$B$8)))-(MonteCarlo!$B$7*SQRT(MonteCarlo!$B$8))),TRUE)-E$1*_xlfn.NORM.S.DIST(-((LN(E$1/$A11)+(MonteCarlo!$B$9+(MonteCarlo!$B$7^2)/2)*MonteCarlo!$B$8)/(MonteCarlo!$B$7*SQRT(MonteCarlo!$B$8))),TRUE)),"")</f>
        <v/>
      </c>
      <c r="F11" t="str">
        <f ca="1">IFERROR(IF(OR(MonteCarlo!$B$4="C",MonteCarlo!$B$4="c"),F$1*_xlfn.NORM.S.DIST((LN(F$1/$A11)+(MonteCarlo!$B$9+(MonteCarlo!$B$7^2)/2)*MonteCarlo!$B$8)/(MonteCarlo!$B$7*SQRT(MonteCarlo!$B$8)),TRUE)-$A11*EXP(-MonteCarlo!$B$9*MonteCarlo!$B$8)*_xlfn.NORM.S.DIST(((LN(F$1/$A11)+(MonteCarlo!$B$9+(MonteCarlo!$B$7^2)/2)*MonteCarlo!$B$8)/(MonteCarlo!$B$7*SQRT(MonteCarlo!$B$8)))-(MonteCarlo!$B$7*SQRT(MonteCarlo!$B$8)),TRUE),$A11*EXP(-MonteCarlo!$B$9*MonteCarlo!$B$8)*_xlfn.NORM.S.DIST(-(((LN(F$1/$A11)+(MonteCarlo!$B$9+(MonteCarlo!$B$7^2)/2)*MonteCarlo!$B$8)/(MonteCarlo!$B$7*SQRT(MonteCarlo!$B$8)))-(MonteCarlo!$B$7*SQRT(MonteCarlo!$B$8))),TRUE)-F$1*_xlfn.NORM.S.DIST(-((LN(F$1/$A11)+(MonteCarlo!$B$9+(MonteCarlo!$B$7^2)/2)*MonteCarlo!$B$8)/(MonteCarlo!$B$7*SQRT(MonteCarlo!$B$8))),TRUE)),"")</f>
        <v/>
      </c>
      <c r="G11" t="str">
        <f ca="1">IFERROR(IF(OR(MonteCarlo!$B$4="C",MonteCarlo!$B$4="c"),G$1*_xlfn.NORM.S.DIST((LN(G$1/$A11)+(MonteCarlo!$B$9+(MonteCarlo!$B$7^2)/2)*MonteCarlo!$B$8)/(MonteCarlo!$B$7*SQRT(MonteCarlo!$B$8)),TRUE)-$A11*EXP(-MonteCarlo!$B$9*MonteCarlo!$B$8)*_xlfn.NORM.S.DIST(((LN(G$1/$A11)+(MonteCarlo!$B$9+(MonteCarlo!$B$7^2)/2)*MonteCarlo!$B$8)/(MonteCarlo!$B$7*SQRT(MonteCarlo!$B$8)))-(MonteCarlo!$B$7*SQRT(MonteCarlo!$B$8)),TRUE),$A11*EXP(-MonteCarlo!$B$9*MonteCarlo!$B$8)*_xlfn.NORM.S.DIST(-(((LN(G$1/$A11)+(MonteCarlo!$B$9+(MonteCarlo!$B$7^2)/2)*MonteCarlo!$B$8)/(MonteCarlo!$B$7*SQRT(MonteCarlo!$B$8)))-(MonteCarlo!$B$7*SQRT(MonteCarlo!$B$8))),TRUE)-G$1*_xlfn.NORM.S.DIST(-((LN(G$1/$A11)+(MonteCarlo!$B$9+(MonteCarlo!$B$7^2)/2)*MonteCarlo!$B$8)/(MonteCarlo!$B$7*SQRT(MonteCarlo!$B$8))),TRUE)),"")</f>
        <v/>
      </c>
      <c r="H11" t="str">
        <f ca="1">IFERROR(IF(OR(MonteCarlo!$B$4="C",MonteCarlo!$B$4="c"),H$1*_xlfn.NORM.S.DIST((LN(H$1/$A11)+(MonteCarlo!$B$9+(MonteCarlo!$B$7^2)/2)*MonteCarlo!$B$8)/(MonteCarlo!$B$7*SQRT(MonteCarlo!$B$8)),TRUE)-$A11*EXP(-MonteCarlo!$B$9*MonteCarlo!$B$8)*_xlfn.NORM.S.DIST(((LN(H$1/$A11)+(MonteCarlo!$B$9+(MonteCarlo!$B$7^2)/2)*MonteCarlo!$B$8)/(MonteCarlo!$B$7*SQRT(MonteCarlo!$B$8)))-(MonteCarlo!$B$7*SQRT(MonteCarlo!$B$8)),TRUE),$A11*EXP(-MonteCarlo!$B$9*MonteCarlo!$B$8)*_xlfn.NORM.S.DIST(-(((LN(H$1/$A11)+(MonteCarlo!$B$9+(MonteCarlo!$B$7^2)/2)*MonteCarlo!$B$8)/(MonteCarlo!$B$7*SQRT(MonteCarlo!$B$8)))-(MonteCarlo!$B$7*SQRT(MonteCarlo!$B$8))),TRUE)-H$1*_xlfn.NORM.S.DIST(-((LN(H$1/$A11)+(MonteCarlo!$B$9+(MonteCarlo!$B$7^2)/2)*MonteCarlo!$B$8)/(MonteCarlo!$B$7*SQRT(MonteCarlo!$B$8))),TRUE)),"")</f>
        <v/>
      </c>
      <c r="I11" t="str">
        <f ca="1">IFERROR(IF(OR(MonteCarlo!$B$4="C",MonteCarlo!$B$4="c"),I$1*_xlfn.NORM.S.DIST((LN(I$1/$A11)+(MonteCarlo!$B$9+(MonteCarlo!$B$7^2)/2)*MonteCarlo!$B$8)/(MonteCarlo!$B$7*SQRT(MonteCarlo!$B$8)),TRUE)-$A11*EXP(-MonteCarlo!$B$9*MonteCarlo!$B$8)*_xlfn.NORM.S.DIST(((LN(I$1/$A11)+(MonteCarlo!$B$9+(MonteCarlo!$B$7^2)/2)*MonteCarlo!$B$8)/(MonteCarlo!$B$7*SQRT(MonteCarlo!$B$8)))-(MonteCarlo!$B$7*SQRT(MonteCarlo!$B$8)),TRUE),$A11*EXP(-MonteCarlo!$B$9*MonteCarlo!$B$8)*_xlfn.NORM.S.DIST(-(((LN(I$1/$A11)+(MonteCarlo!$B$9+(MonteCarlo!$B$7^2)/2)*MonteCarlo!$B$8)/(MonteCarlo!$B$7*SQRT(MonteCarlo!$B$8)))-(MonteCarlo!$B$7*SQRT(MonteCarlo!$B$8))),TRUE)-I$1*_xlfn.NORM.S.DIST(-((LN(I$1/$A11)+(MonteCarlo!$B$9+(MonteCarlo!$B$7^2)/2)*MonteCarlo!$B$8)/(MonteCarlo!$B$7*SQRT(MonteCarlo!$B$8))),TRUE)),"")</f>
        <v/>
      </c>
      <c r="J11" t="str">
        <f ca="1">IFERROR(IF(OR(MonteCarlo!$B$4="C",MonteCarlo!$B$4="c"),J$1*_xlfn.NORM.S.DIST((LN(J$1/$A11)+(MonteCarlo!$B$9+(MonteCarlo!$B$7^2)/2)*MonteCarlo!$B$8)/(MonteCarlo!$B$7*SQRT(MonteCarlo!$B$8)),TRUE)-$A11*EXP(-MonteCarlo!$B$9*MonteCarlo!$B$8)*_xlfn.NORM.S.DIST(((LN(J$1/$A11)+(MonteCarlo!$B$9+(MonteCarlo!$B$7^2)/2)*MonteCarlo!$B$8)/(MonteCarlo!$B$7*SQRT(MonteCarlo!$B$8)))-(MonteCarlo!$B$7*SQRT(MonteCarlo!$B$8)),TRUE),$A11*EXP(-MonteCarlo!$B$9*MonteCarlo!$B$8)*_xlfn.NORM.S.DIST(-(((LN(J$1/$A11)+(MonteCarlo!$B$9+(MonteCarlo!$B$7^2)/2)*MonteCarlo!$B$8)/(MonteCarlo!$B$7*SQRT(MonteCarlo!$B$8)))-(MonteCarlo!$B$7*SQRT(MonteCarlo!$B$8))),TRUE)-J$1*_xlfn.NORM.S.DIST(-((LN(J$1/$A11)+(MonteCarlo!$B$9+(MonteCarlo!$B$7^2)/2)*MonteCarlo!$B$8)/(MonteCarlo!$B$7*SQRT(MonteCarlo!$B$8))),TRUE)),"")</f>
        <v/>
      </c>
      <c r="K11" t="str">
        <f ca="1">IFERROR(IF(OR(MonteCarlo!$B$4="C",MonteCarlo!$B$4="c"),K$1*_xlfn.NORM.S.DIST((LN(K$1/$A11)+(MonteCarlo!$B$9+(MonteCarlo!$B$7^2)/2)*MonteCarlo!$B$8)/(MonteCarlo!$B$7*SQRT(MonteCarlo!$B$8)),TRUE)-$A11*EXP(-MonteCarlo!$B$9*MonteCarlo!$B$8)*_xlfn.NORM.S.DIST(((LN(K$1/$A11)+(MonteCarlo!$B$9+(MonteCarlo!$B$7^2)/2)*MonteCarlo!$B$8)/(MonteCarlo!$B$7*SQRT(MonteCarlo!$B$8)))-(MonteCarlo!$B$7*SQRT(MonteCarlo!$B$8)),TRUE),$A11*EXP(-MonteCarlo!$B$9*MonteCarlo!$B$8)*_xlfn.NORM.S.DIST(-(((LN(K$1/$A11)+(MonteCarlo!$B$9+(MonteCarlo!$B$7^2)/2)*MonteCarlo!$B$8)/(MonteCarlo!$B$7*SQRT(MonteCarlo!$B$8)))-(MonteCarlo!$B$7*SQRT(MonteCarlo!$B$8))),TRUE)-K$1*_xlfn.NORM.S.DIST(-((LN(K$1/$A11)+(MonteCarlo!$B$9+(MonteCarlo!$B$7^2)/2)*MonteCarlo!$B$8)/(MonteCarlo!$B$7*SQRT(MonteCarlo!$B$8))),TRUE)),"")</f>
        <v/>
      </c>
      <c r="L11" t="str">
        <f ca="1">IFERROR(IF(OR(MonteCarlo!$B$4="C",MonteCarlo!$B$4="c"),L$1*_xlfn.NORM.S.DIST((LN(L$1/$A11)+(MonteCarlo!$B$9+(MonteCarlo!$B$7^2)/2)*MonteCarlo!$B$8)/(MonteCarlo!$B$7*SQRT(MonteCarlo!$B$8)),TRUE)-$A11*EXP(-MonteCarlo!$B$9*MonteCarlo!$B$8)*_xlfn.NORM.S.DIST(((LN(L$1/$A11)+(MonteCarlo!$B$9+(MonteCarlo!$B$7^2)/2)*MonteCarlo!$B$8)/(MonteCarlo!$B$7*SQRT(MonteCarlo!$B$8)))-(MonteCarlo!$B$7*SQRT(MonteCarlo!$B$8)),TRUE),$A11*EXP(-MonteCarlo!$B$9*MonteCarlo!$B$8)*_xlfn.NORM.S.DIST(-(((LN(L$1/$A11)+(MonteCarlo!$B$9+(MonteCarlo!$B$7^2)/2)*MonteCarlo!$B$8)/(MonteCarlo!$B$7*SQRT(MonteCarlo!$B$8)))-(MonteCarlo!$B$7*SQRT(MonteCarlo!$B$8))),TRUE)-L$1*_xlfn.NORM.S.DIST(-((LN(L$1/$A11)+(MonteCarlo!$B$9+(MonteCarlo!$B$7^2)/2)*MonteCarlo!$B$8)/(MonteCarlo!$B$7*SQRT(MonteCarlo!$B$8))),TRUE)),"")</f>
        <v/>
      </c>
      <c r="M11" t="str">
        <f ca="1">IFERROR(IF(OR(MonteCarlo!$B$4="C",MonteCarlo!$B$4="c"),M$1*_xlfn.NORM.S.DIST((LN(M$1/$A11)+(MonteCarlo!$B$9+(MonteCarlo!$B$7^2)/2)*MonteCarlo!$B$8)/(MonteCarlo!$B$7*SQRT(MonteCarlo!$B$8)),TRUE)-$A11*EXP(-MonteCarlo!$B$9*MonteCarlo!$B$8)*_xlfn.NORM.S.DIST(((LN(M$1/$A11)+(MonteCarlo!$B$9+(MonteCarlo!$B$7^2)/2)*MonteCarlo!$B$8)/(MonteCarlo!$B$7*SQRT(MonteCarlo!$B$8)))-(MonteCarlo!$B$7*SQRT(MonteCarlo!$B$8)),TRUE),$A11*EXP(-MonteCarlo!$B$9*MonteCarlo!$B$8)*_xlfn.NORM.S.DIST(-(((LN(M$1/$A11)+(MonteCarlo!$B$9+(MonteCarlo!$B$7^2)/2)*MonteCarlo!$B$8)/(MonteCarlo!$B$7*SQRT(MonteCarlo!$B$8)))-(MonteCarlo!$B$7*SQRT(MonteCarlo!$B$8))),TRUE)-M$1*_xlfn.NORM.S.DIST(-((LN(M$1/$A11)+(MonteCarlo!$B$9+(MonteCarlo!$B$7^2)/2)*MonteCarlo!$B$8)/(MonteCarlo!$B$7*SQRT(MonteCarlo!$B$8))),TRUE)),"")</f>
        <v/>
      </c>
      <c r="N11" t="str">
        <f ca="1">IFERROR(IF(OR(MonteCarlo!$B$4="C",MonteCarlo!$B$4="c"),N$1*_xlfn.NORM.S.DIST((LN(N$1/$A11)+(MonteCarlo!$B$9+(MonteCarlo!$B$7^2)/2)*MonteCarlo!$B$8)/(MonteCarlo!$B$7*SQRT(MonteCarlo!$B$8)),TRUE)-$A11*EXP(-MonteCarlo!$B$9*MonteCarlo!$B$8)*_xlfn.NORM.S.DIST(((LN(N$1/$A11)+(MonteCarlo!$B$9+(MonteCarlo!$B$7^2)/2)*MonteCarlo!$B$8)/(MonteCarlo!$B$7*SQRT(MonteCarlo!$B$8)))-(MonteCarlo!$B$7*SQRT(MonteCarlo!$B$8)),TRUE),$A11*EXP(-MonteCarlo!$B$9*MonteCarlo!$B$8)*_xlfn.NORM.S.DIST(-(((LN(N$1/$A11)+(MonteCarlo!$B$9+(MonteCarlo!$B$7^2)/2)*MonteCarlo!$B$8)/(MonteCarlo!$B$7*SQRT(MonteCarlo!$B$8)))-(MonteCarlo!$B$7*SQRT(MonteCarlo!$B$8))),TRUE)-N$1*_xlfn.NORM.S.DIST(-((LN(N$1/$A11)+(MonteCarlo!$B$9+(MonteCarlo!$B$7^2)/2)*MonteCarlo!$B$8)/(MonteCarlo!$B$7*SQRT(MonteCarlo!$B$8))),TRUE)),"")</f>
        <v/>
      </c>
      <c r="O11" t="str">
        <f ca="1">IFERROR(IF(OR(MonteCarlo!$B$4="C",MonteCarlo!$B$4="c"),O$1*_xlfn.NORM.S.DIST((LN(O$1/$A11)+(MonteCarlo!$B$9+(MonteCarlo!$B$7^2)/2)*MonteCarlo!$B$8)/(MonteCarlo!$B$7*SQRT(MonteCarlo!$B$8)),TRUE)-$A11*EXP(-MonteCarlo!$B$9*MonteCarlo!$B$8)*_xlfn.NORM.S.DIST(((LN(O$1/$A11)+(MonteCarlo!$B$9+(MonteCarlo!$B$7^2)/2)*MonteCarlo!$B$8)/(MonteCarlo!$B$7*SQRT(MonteCarlo!$B$8)))-(MonteCarlo!$B$7*SQRT(MonteCarlo!$B$8)),TRUE),$A11*EXP(-MonteCarlo!$B$9*MonteCarlo!$B$8)*_xlfn.NORM.S.DIST(-(((LN(O$1/$A11)+(MonteCarlo!$B$9+(MonteCarlo!$B$7^2)/2)*MonteCarlo!$B$8)/(MonteCarlo!$B$7*SQRT(MonteCarlo!$B$8)))-(MonteCarlo!$B$7*SQRT(MonteCarlo!$B$8))),TRUE)-O$1*_xlfn.NORM.S.DIST(-((LN(O$1/$A11)+(MonteCarlo!$B$9+(MonteCarlo!$B$7^2)/2)*MonteCarlo!$B$8)/(MonteCarlo!$B$7*SQRT(MonteCarlo!$B$8))),TRUE)),"")</f>
        <v/>
      </c>
      <c r="P11" t="str">
        <f ca="1">IFERROR(IF(OR(MonteCarlo!$B$4="C",MonteCarlo!$B$4="c"),P$1*_xlfn.NORM.S.DIST((LN(P$1/$A11)+(MonteCarlo!$B$9+(MonteCarlo!$B$7^2)/2)*MonteCarlo!$B$8)/(MonteCarlo!$B$7*SQRT(MonteCarlo!$B$8)),TRUE)-$A11*EXP(-MonteCarlo!$B$9*MonteCarlo!$B$8)*_xlfn.NORM.S.DIST(((LN(P$1/$A11)+(MonteCarlo!$B$9+(MonteCarlo!$B$7^2)/2)*MonteCarlo!$B$8)/(MonteCarlo!$B$7*SQRT(MonteCarlo!$B$8)))-(MonteCarlo!$B$7*SQRT(MonteCarlo!$B$8)),TRUE),$A11*EXP(-MonteCarlo!$B$9*MonteCarlo!$B$8)*_xlfn.NORM.S.DIST(-(((LN(P$1/$A11)+(MonteCarlo!$B$9+(MonteCarlo!$B$7^2)/2)*MonteCarlo!$B$8)/(MonteCarlo!$B$7*SQRT(MonteCarlo!$B$8)))-(MonteCarlo!$B$7*SQRT(MonteCarlo!$B$8))),TRUE)-P$1*_xlfn.NORM.S.DIST(-((LN(P$1/$A11)+(MonteCarlo!$B$9+(MonteCarlo!$B$7^2)/2)*MonteCarlo!$B$8)/(MonteCarlo!$B$7*SQRT(MonteCarlo!$B$8))),TRUE)),"")</f>
        <v/>
      </c>
      <c r="Q11" t="str">
        <f ca="1">IFERROR(IF(OR(MonteCarlo!$B$4="C",MonteCarlo!$B$4="c"),Q$1*_xlfn.NORM.S.DIST((LN(Q$1/$A11)+(MonteCarlo!$B$9+(MonteCarlo!$B$7^2)/2)*MonteCarlo!$B$8)/(MonteCarlo!$B$7*SQRT(MonteCarlo!$B$8)),TRUE)-$A11*EXP(-MonteCarlo!$B$9*MonteCarlo!$B$8)*_xlfn.NORM.S.DIST(((LN(Q$1/$A11)+(MonteCarlo!$B$9+(MonteCarlo!$B$7^2)/2)*MonteCarlo!$B$8)/(MonteCarlo!$B$7*SQRT(MonteCarlo!$B$8)))-(MonteCarlo!$B$7*SQRT(MonteCarlo!$B$8)),TRUE),$A11*EXP(-MonteCarlo!$B$9*MonteCarlo!$B$8)*_xlfn.NORM.S.DIST(-(((LN(Q$1/$A11)+(MonteCarlo!$B$9+(MonteCarlo!$B$7^2)/2)*MonteCarlo!$B$8)/(MonteCarlo!$B$7*SQRT(MonteCarlo!$B$8)))-(MonteCarlo!$B$7*SQRT(MonteCarlo!$B$8))),TRUE)-Q$1*_xlfn.NORM.S.DIST(-((LN(Q$1/$A11)+(MonteCarlo!$B$9+(MonteCarlo!$B$7^2)/2)*MonteCarlo!$B$8)/(MonteCarlo!$B$7*SQRT(MonteCarlo!$B$8))),TRUE)),"")</f>
        <v/>
      </c>
      <c r="R11" t="str">
        <f ca="1">IFERROR(IF(OR(MonteCarlo!$B$4="C",MonteCarlo!$B$4="c"),R$1*_xlfn.NORM.S.DIST((LN(R$1/$A11)+(MonteCarlo!$B$9+(MonteCarlo!$B$7^2)/2)*MonteCarlo!$B$8)/(MonteCarlo!$B$7*SQRT(MonteCarlo!$B$8)),TRUE)-$A11*EXP(-MonteCarlo!$B$9*MonteCarlo!$B$8)*_xlfn.NORM.S.DIST(((LN(R$1/$A11)+(MonteCarlo!$B$9+(MonteCarlo!$B$7^2)/2)*MonteCarlo!$B$8)/(MonteCarlo!$B$7*SQRT(MonteCarlo!$B$8)))-(MonteCarlo!$B$7*SQRT(MonteCarlo!$B$8)),TRUE),$A11*EXP(-MonteCarlo!$B$9*MonteCarlo!$B$8)*_xlfn.NORM.S.DIST(-(((LN(R$1/$A11)+(MonteCarlo!$B$9+(MonteCarlo!$B$7^2)/2)*MonteCarlo!$B$8)/(MonteCarlo!$B$7*SQRT(MonteCarlo!$B$8)))-(MonteCarlo!$B$7*SQRT(MonteCarlo!$B$8))),TRUE)-R$1*_xlfn.NORM.S.DIST(-((LN(R$1/$A11)+(MonteCarlo!$B$9+(MonteCarlo!$B$7^2)/2)*MonteCarlo!$B$8)/(MonteCarlo!$B$7*SQRT(MonteCarlo!$B$8))),TRUE)),"")</f>
        <v/>
      </c>
      <c r="S11" t="str">
        <f ca="1">IFERROR(IF(OR(MonteCarlo!$B$4="C",MonteCarlo!$B$4="c"),S$1*_xlfn.NORM.S.DIST((LN(S$1/$A11)+(MonteCarlo!$B$9+(MonteCarlo!$B$7^2)/2)*MonteCarlo!$B$8)/(MonteCarlo!$B$7*SQRT(MonteCarlo!$B$8)),TRUE)-$A11*EXP(-MonteCarlo!$B$9*MonteCarlo!$B$8)*_xlfn.NORM.S.DIST(((LN(S$1/$A11)+(MonteCarlo!$B$9+(MonteCarlo!$B$7^2)/2)*MonteCarlo!$B$8)/(MonteCarlo!$B$7*SQRT(MonteCarlo!$B$8)))-(MonteCarlo!$B$7*SQRT(MonteCarlo!$B$8)),TRUE),$A11*EXP(-MonteCarlo!$B$9*MonteCarlo!$B$8)*_xlfn.NORM.S.DIST(-(((LN(S$1/$A11)+(MonteCarlo!$B$9+(MonteCarlo!$B$7^2)/2)*MonteCarlo!$B$8)/(MonteCarlo!$B$7*SQRT(MonteCarlo!$B$8)))-(MonteCarlo!$B$7*SQRT(MonteCarlo!$B$8))),TRUE)-S$1*_xlfn.NORM.S.DIST(-((LN(S$1/$A11)+(MonteCarlo!$B$9+(MonteCarlo!$B$7^2)/2)*MonteCarlo!$B$8)/(MonteCarlo!$B$7*SQRT(MonteCarlo!$B$8))),TRUE)),"")</f>
        <v/>
      </c>
      <c r="T11" t="str">
        <f ca="1">IFERROR(IF(OR(MonteCarlo!$B$4="C",MonteCarlo!$B$4="c"),T$1*_xlfn.NORM.S.DIST((LN(T$1/$A11)+(MonteCarlo!$B$9+(MonteCarlo!$B$7^2)/2)*MonteCarlo!$B$8)/(MonteCarlo!$B$7*SQRT(MonteCarlo!$B$8)),TRUE)-$A11*EXP(-MonteCarlo!$B$9*MonteCarlo!$B$8)*_xlfn.NORM.S.DIST(((LN(T$1/$A11)+(MonteCarlo!$B$9+(MonteCarlo!$B$7^2)/2)*MonteCarlo!$B$8)/(MonteCarlo!$B$7*SQRT(MonteCarlo!$B$8)))-(MonteCarlo!$B$7*SQRT(MonteCarlo!$B$8)),TRUE),$A11*EXP(-MonteCarlo!$B$9*MonteCarlo!$B$8)*_xlfn.NORM.S.DIST(-(((LN(T$1/$A11)+(MonteCarlo!$B$9+(MonteCarlo!$B$7^2)/2)*MonteCarlo!$B$8)/(MonteCarlo!$B$7*SQRT(MonteCarlo!$B$8)))-(MonteCarlo!$B$7*SQRT(MonteCarlo!$B$8))),TRUE)-T$1*_xlfn.NORM.S.DIST(-((LN(T$1/$A11)+(MonteCarlo!$B$9+(MonteCarlo!$B$7^2)/2)*MonteCarlo!$B$8)/(MonteCarlo!$B$7*SQRT(MonteCarlo!$B$8))),TRUE)),"")</f>
        <v/>
      </c>
      <c r="U11" t="str">
        <f ca="1">IFERROR(IF(OR(MonteCarlo!$B$4="C",MonteCarlo!$B$4="c"),U$1*_xlfn.NORM.S.DIST((LN(U$1/$A11)+(MonteCarlo!$B$9+(MonteCarlo!$B$7^2)/2)*MonteCarlo!$B$8)/(MonteCarlo!$B$7*SQRT(MonteCarlo!$B$8)),TRUE)-$A11*EXP(-MonteCarlo!$B$9*MonteCarlo!$B$8)*_xlfn.NORM.S.DIST(((LN(U$1/$A11)+(MonteCarlo!$B$9+(MonteCarlo!$B$7^2)/2)*MonteCarlo!$B$8)/(MonteCarlo!$B$7*SQRT(MonteCarlo!$B$8)))-(MonteCarlo!$B$7*SQRT(MonteCarlo!$B$8)),TRUE),$A11*EXP(-MonteCarlo!$B$9*MonteCarlo!$B$8)*_xlfn.NORM.S.DIST(-(((LN(U$1/$A11)+(MonteCarlo!$B$9+(MonteCarlo!$B$7^2)/2)*MonteCarlo!$B$8)/(MonteCarlo!$B$7*SQRT(MonteCarlo!$B$8)))-(MonteCarlo!$B$7*SQRT(MonteCarlo!$B$8))),TRUE)-U$1*_xlfn.NORM.S.DIST(-((LN(U$1/$A11)+(MonteCarlo!$B$9+(MonteCarlo!$B$7^2)/2)*MonteCarlo!$B$8)/(MonteCarlo!$B$7*SQRT(MonteCarlo!$B$8))),TRUE)),"")</f>
        <v/>
      </c>
      <c r="V11" t="str">
        <f ca="1">IFERROR(IF(OR(MonteCarlo!$B$4="C",MonteCarlo!$B$4="c"),V$1*_xlfn.NORM.S.DIST((LN(V$1/$A11)+(MonteCarlo!$B$9+(MonteCarlo!$B$7^2)/2)*MonteCarlo!$B$8)/(MonteCarlo!$B$7*SQRT(MonteCarlo!$B$8)),TRUE)-$A11*EXP(-MonteCarlo!$B$9*MonteCarlo!$B$8)*_xlfn.NORM.S.DIST(((LN(V$1/$A11)+(MonteCarlo!$B$9+(MonteCarlo!$B$7^2)/2)*MonteCarlo!$B$8)/(MonteCarlo!$B$7*SQRT(MonteCarlo!$B$8)))-(MonteCarlo!$B$7*SQRT(MonteCarlo!$B$8)),TRUE),$A11*EXP(-MonteCarlo!$B$9*MonteCarlo!$B$8)*_xlfn.NORM.S.DIST(-(((LN(V$1/$A11)+(MonteCarlo!$B$9+(MonteCarlo!$B$7^2)/2)*MonteCarlo!$B$8)/(MonteCarlo!$B$7*SQRT(MonteCarlo!$B$8)))-(MonteCarlo!$B$7*SQRT(MonteCarlo!$B$8))),TRUE)-V$1*_xlfn.NORM.S.DIST(-((LN(V$1/$A11)+(MonteCarlo!$B$9+(MonteCarlo!$B$7^2)/2)*MonteCarlo!$B$8)/(MonteCarlo!$B$7*SQRT(MonteCarlo!$B$8))),TRUE)),"")</f>
        <v/>
      </c>
      <c r="W11" t="str">
        <f ca="1">IFERROR(IF(OR(MonteCarlo!$B$4="C",MonteCarlo!$B$4="c"),W$1*_xlfn.NORM.S.DIST((LN(W$1/$A11)+(MonteCarlo!$B$9+(MonteCarlo!$B$7^2)/2)*MonteCarlo!$B$8)/(MonteCarlo!$B$7*SQRT(MonteCarlo!$B$8)),TRUE)-$A11*EXP(-MonteCarlo!$B$9*MonteCarlo!$B$8)*_xlfn.NORM.S.DIST(((LN(W$1/$A11)+(MonteCarlo!$B$9+(MonteCarlo!$B$7^2)/2)*MonteCarlo!$B$8)/(MonteCarlo!$B$7*SQRT(MonteCarlo!$B$8)))-(MonteCarlo!$B$7*SQRT(MonteCarlo!$B$8)),TRUE),$A11*EXP(-MonteCarlo!$B$9*MonteCarlo!$B$8)*_xlfn.NORM.S.DIST(-(((LN(W$1/$A11)+(MonteCarlo!$B$9+(MonteCarlo!$B$7^2)/2)*MonteCarlo!$B$8)/(MonteCarlo!$B$7*SQRT(MonteCarlo!$B$8)))-(MonteCarlo!$B$7*SQRT(MonteCarlo!$B$8))),TRUE)-W$1*_xlfn.NORM.S.DIST(-((LN(W$1/$A11)+(MonteCarlo!$B$9+(MonteCarlo!$B$7^2)/2)*MonteCarlo!$B$8)/(MonteCarlo!$B$7*SQRT(MonteCarlo!$B$8))),TRUE)),"")</f>
        <v/>
      </c>
      <c r="X11" t="str">
        <f ca="1">IFERROR(IF(OR(MonteCarlo!$B$4="C",MonteCarlo!$B$4="c"),X$1*_xlfn.NORM.S.DIST((LN(X$1/$A11)+(MonteCarlo!$B$9+(MonteCarlo!$B$7^2)/2)*MonteCarlo!$B$8)/(MonteCarlo!$B$7*SQRT(MonteCarlo!$B$8)),TRUE)-$A11*EXP(-MonteCarlo!$B$9*MonteCarlo!$B$8)*_xlfn.NORM.S.DIST(((LN(X$1/$A11)+(MonteCarlo!$B$9+(MonteCarlo!$B$7^2)/2)*MonteCarlo!$B$8)/(MonteCarlo!$B$7*SQRT(MonteCarlo!$B$8)))-(MonteCarlo!$B$7*SQRT(MonteCarlo!$B$8)),TRUE),$A11*EXP(-MonteCarlo!$B$9*MonteCarlo!$B$8)*_xlfn.NORM.S.DIST(-(((LN(X$1/$A11)+(MonteCarlo!$B$9+(MonteCarlo!$B$7^2)/2)*MonteCarlo!$B$8)/(MonteCarlo!$B$7*SQRT(MonteCarlo!$B$8)))-(MonteCarlo!$B$7*SQRT(MonteCarlo!$B$8))),TRUE)-X$1*_xlfn.NORM.S.DIST(-((LN(X$1/$A11)+(MonteCarlo!$B$9+(MonteCarlo!$B$7^2)/2)*MonteCarlo!$B$8)/(MonteCarlo!$B$7*SQRT(MonteCarlo!$B$8))),TRUE)),"")</f>
        <v/>
      </c>
      <c r="Y11" t="str">
        <f ca="1">IFERROR(IF(OR(MonteCarlo!$B$4="C",MonteCarlo!$B$4="c"),Y$1*_xlfn.NORM.S.DIST((LN(Y$1/$A11)+(MonteCarlo!$B$9+(MonteCarlo!$B$7^2)/2)*MonteCarlo!$B$8)/(MonteCarlo!$B$7*SQRT(MonteCarlo!$B$8)),TRUE)-$A11*EXP(-MonteCarlo!$B$9*MonteCarlo!$B$8)*_xlfn.NORM.S.DIST(((LN(Y$1/$A11)+(MonteCarlo!$B$9+(MonteCarlo!$B$7^2)/2)*MonteCarlo!$B$8)/(MonteCarlo!$B$7*SQRT(MonteCarlo!$B$8)))-(MonteCarlo!$B$7*SQRT(MonteCarlo!$B$8)),TRUE),$A11*EXP(-MonteCarlo!$B$9*MonteCarlo!$B$8)*_xlfn.NORM.S.DIST(-(((LN(Y$1/$A11)+(MonteCarlo!$B$9+(MonteCarlo!$B$7^2)/2)*MonteCarlo!$B$8)/(MonteCarlo!$B$7*SQRT(MonteCarlo!$B$8)))-(MonteCarlo!$B$7*SQRT(MonteCarlo!$B$8))),TRUE)-Y$1*_xlfn.NORM.S.DIST(-((LN(Y$1/$A11)+(MonteCarlo!$B$9+(MonteCarlo!$B$7^2)/2)*MonteCarlo!$B$8)/(MonteCarlo!$B$7*SQRT(MonteCarlo!$B$8))),TRUE)),"")</f>
        <v/>
      </c>
      <c r="Z11" t="str">
        <f ca="1">IFERROR(IF(OR(MonteCarlo!$B$4="C",MonteCarlo!$B$4="c"),Z$1*_xlfn.NORM.S.DIST((LN(Z$1/$A11)+(MonteCarlo!$B$9+(MonteCarlo!$B$7^2)/2)*MonteCarlo!$B$8)/(MonteCarlo!$B$7*SQRT(MonteCarlo!$B$8)),TRUE)-$A11*EXP(-MonteCarlo!$B$9*MonteCarlo!$B$8)*_xlfn.NORM.S.DIST(((LN(Z$1/$A11)+(MonteCarlo!$B$9+(MonteCarlo!$B$7^2)/2)*MonteCarlo!$B$8)/(MonteCarlo!$B$7*SQRT(MonteCarlo!$B$8)))-(MonteCarlo!$B$7*SQRT(MonteCarlo!$B$8)),TRUE),$A11*EXP(-MonteCarlo!$B$9*MonteCarlo!$B$8)*_xlfn.NORM.S.DIST(-(((LN(Z$1/$A11)+(MonteCarlo!$B$9+(MonteCarlo!$B$7^2)/2)*MonteCarlo!$B$8)/(MonteCarlo!$B$7*SQRT(MonteCarlo!$B$8)))-(MonteCarlo!$B$7*SQRT(MonteCarlo!$B$8))),TRUE)-Z$1*_xlfn.NORM.S.DIST(-((LN(Z$1/$A11)+(MonteCarlo!$B$9+(MonteCarlo!$B$7^2)/2)*MonteCarlo!$B$8)/(MonteCarlo!$B$7*SQRT(MonteCarlo!$B$8))),TRUE)),"")</f>
        <v/>
      </c>
      <c r="AA11" t="str">
        <f ca="1">IFERROR(IF(OR(MonteCarlo!$B$4="C",MonteCarlo!$B$4="c"),AA$1*_xlfn.NORM.S.DIST((LN(AA$1/$A11)+(MonteCarlo!$B$9+(MonteCarlo!$B$7^2)/2)*MonteCarlo!$B$8)/(MonteCarlo!$B$7*SQRT(MonteCarlo!$B$8)),TRUE)-$A11*EXP(-MonteCarlo!$B$9*MonteCarlo!$B$8)*_xlfn.NORM.S.DIST(((LN(AA$1/$A11)+(MonteCarlo!$B$9+(MonteCarlo!$B$7^2)/2)*MonteCarlo!$B$8)/(MonteCarlo!$B$7*SQRT(MonteCarlo!$B$8)))-(MonteCarlo!$B$7*SQRT(MonteCarlo!$B$8)),TRUE),$A11*EXP(-MonteCarlo!$B$9*MonteCarlo!$B$8)*_xlfn.NORM.S.DIST(-(((LN(AA$1/$A11)+(MonteCarlo!$B$9+(MonteCarlo!$B$7^2)/2)*MonteCarlo!$B$8)/(MonteCarlo!$B$7*SQRT(MonteCarlo!$B$8)))-(MonteCarlo!$B$7*SQRT(MonteCarlo!$B$8))),TRUE)-AA$1*_xlfn.NORM.S.DIST(-((LN(AA$1/$A11)+(MonteCarlo!$B$9+(MonteCarlo!$B$7^2)/2)*MonteCarlo!$B$8)/(MonteCarlo!$B$7*SQRT(MonteCarlo!$B$8))),TRUE)),"")</f>
        <v/>
      </c>
      <c r="AB11" t="str">
        <f ca="1">IFERROR(IF(OR(MonteCarlo!$B$4="C",MonteCarlo!$B$4="c"),AB$1*_xlfn.NORM.S.DIST((LN(AB$1/$A11)+(MonteCarlo!$B$9+(MonteCarlo!$B$7^2)/2)*MonteCarlo!$B$8)/(MonteCarlo!$B$7*SQRT(MonteCarlo!$B$8)),TRUE)-$A11*EXP(-MonteCarlo!$B$9*MonteCarlo!$B$8)*_xlfn.NORM.S.DIST(((LN(AB$1/$A11)+(MonteCarlo!$B$9+(MonteCarlo!$B$7^2)/2)*MonteCarlo!$B$8)/(MonteCarlo!$B$7*SQRT(MonteCarlo!$B$8)))-(MonteCarlo!$B$7*SQRT(MonteCarlo!$B$8)),TRUE),$A11*EXP(-MonteCarlo!$B$9*MonteCarlo!$B$8)*_xlfn.NORM.S.DIST(-(((LN(AB$1/$A11)+(MonteCarlo!$B$9+(MonteCarlo!$B$7^2)/2)*MonteCarlo!$B$8)/(MonteCarlo!$B$7*SQRT(MonteCarlo!$B$8)))-(MonteCarlo!$B$7*SQRT(MonteCarlo!$B$8))),TRUE)-AB$1*_xlfn.NORM.S.DIST(-((LN(AB$1/$A11)+(MonteCarlo!$B$9+(MonteCarlo!$B$7^2)/2)*MonteCarlo!$B$8)/(MonteCarlo!$B$7*SQRT(MonteCarlo!$B$8))),TRUE)),"")</f>
        <v/>
      </c>
      <c r="AC11" t="str">
        <f ca="1">IFERROR(IF(OR(MonteCarlo!$B$4="C",MonteCarlo!$B$4="c"),AC$1*_xlfn.NORM.S.DIST((LN(AC$1/$A11)+(MonteCarlo!$B$9+(MonteCarlo!$B$7^2)/2)*MonteCarlo!$B$8)/(MonteCarlo!$B$7*SQRT(MonteCarlo!$B$8)),TRUE)-$A11*EXP(-MonteCarlo!$B$9*MonteCarlo!$B$8)*_xlfn.NORM.S.DIST(((LN(AC$1/$A11)+(MonteCarlo!$B$9+(MonteCarlo!$B$7^2)/2)*MonteCarlo!$B$8)/(MonteCarlo!$B$7*SQRT(MonteCarlo!$B$8)))-(MonteCarlo!$B$7*SQRT(MonteCarlo!$B$8)),TRUE),$A11*EXP(-MonteCarlo!$B$9*MonteCarlo!$B$8)*_xlfn.NORM.S.DIST(-(((LN(AC$1/$A11)+(MonteCarlo!$B$9+(MonteCarlo!$B$7^2)/2)*MonteCarlo!$B$8)/(MonteCarlo!$B$7*SQRT(MonteCarlo!$B$8)))-(MonteCarlo!$B$7*SQRT(MonteCarlo!$B$8))),TRUE)-AC$1*_xlfn.NORM.S.DIST(-((LN(AC$1/$A11)+(MonteCarlo!$B$9+(MonteCarlo!$B$7^2)/2)*MonteCarlo!$B$8)/(MonteCarlo!$B$7*SQRT(MonteCarlo!$B$8))),TRUE)),"")</f>
        <v/>
      </c>
      <c r="AD11" t="str">
        <f ca="1">IFERROR(IF(OR(MonteCarlo!$B$4="C",MonteCarlo!$B$4="c"),AD$1*_xlfn.NORM.S.DIST((LN(AD$1/$A11)+(MonteCarlo!$B$9+(MonteCarlo!$B$7^2)/2)*MonteCarlo!$B$8)/(MonteCarlo!$B$7*SQRT(MonteCarlo!$B$8)),TRUE)-$A11*EXP(-MonteCarlo!$B$9*MonteCarlo!$B$8)*_xlfn.NORM.S.DIST(((LN(AD$1/$A11)+(MonteCarlo!$B$9+(MonteCarlo!$B$7^2)/2)*MonteCarlo!$B$8)/(MonteCarlo!$B$7*SQRT(MonteCarlo!$B$8)))-(MonteCarlo!$B$7*SQRT(MonteCarlo!$B$8)),TRUE),$A11*EXP(-MonteCarlo!$B$9*MonteCarlo!$B$8)*_xlfn.NORM.S.DIST(-(((LN(AD$1/$A11)+(MonteCarlo!$B$9+(MonteCarlo!$B$7^2)/2)*MonteCarlo!$B$8)/(MonteCarlo!$B$7*SQRT(MonteCarlo!$B$8)))-(MonteCarlo!$B$7*SQRT(MonteCarlo!$B$8))),TRUE)-AD$1*_xlfn.NORM.S.DIST(-((LN(AD$1/$A11)+(MonteCarlo!$B$9+(MonteCarlo!$B$7^2)/2)*MonteCarlo!$B$8)/(MonteCarlo!$B$7*SQRT(MonteCarlo!$B$8))),TRUE)),"")</f>
        <v/>
      </c>
      <c r="AE11" t="str">
        <f ca="1">IFERROR(IF(OR(MonteCarlo!$B$4="C",MonteCarlo!$B$4="c"),AE$1*_xlfn.NORM.S.DIST((LN(AE$1/$A11)+(MonteCarlo!$B$9+(MonteCarlo!$B$7^2)/2)*MonteCarlo!$B$8)/(MonteCarlo!$B$7*SQRT(MonteCarlo!$B$8)),TRUE)-$A11*EXP(-MonteCarlo!$B$9*MonteCarlo!$B$8)*_xlfn.NORM.S.DIST(((LN(AE$1/$A11)+(MonteCarlo!$B$9+(MonteCarlo!$B$7^2)/2)*MonteCarlo!$B$8)/(MonteCarlo!$B$7*SQRT(MonteCarlo!$B$8)))-(MonteCarlo!$B$7*SQRT(MonteCarlo!$B$8)),TRUE),$A11*EXP(-MonteCarlo!$B$9*MonteCarlo!$B$8)*_xlfn.NORM.S.DIST(-(((LN(AE$1/$A11)+(MonteCarlo!$B$9+(MonteCarlo!$B$7^2)/2)*MonteCarlo!$B$8)/(MonteCarlo!$B$7*SQRT(MonteCarlo!$B$8)))-(MonteCarlo!$B$7*SQRT(MonteCarlo!$B$8))),TRUE)-AE$1*_xlfn.NORM.S.DIST(-((LN(AE$1/$A11)+(MonteCarlo!$B$9+(MonteCarlo!$B$7^2)/2)*MonteCarlo!$B$8)/(MonteCarlo!$B$7*SQRT(MonteCarlo!$B$8))),TRUE)),"")</f>
        <v/>
      </c>
      <c r="AF11" t="str">
        <f ca="1">IFERROR(IF(OR(MonteCarlo!$B$4="C",MonteCarlo!$B$4="c"),AF$1*_xlfn.NORM.S.DIST((LN(AF$1/$A11)+(MonteCarlo!$B$9+(MonteCarlo!$B$7^2)/2)*MonteCarlo!$B$8)/(MonteCarlo!$B$7*SQRT(MonteCarlo!$B$8)),TRUE)-$A11*EXP(-MonteCarlo!$B$9*MonteCarlo!$B$8)*_xlfn.NORM.S.DIST(((LN(AF$1/$A11)+(MonteCarlo!$B$9+(MonteCarlo!$B$7^2)/2)*MonteCarlo!$B$8)/(MonteCarlo!$B$7*SQRT(MonteCarlo!$B$8)))-(MonteCarlo!$B$7*SQRT(MonteCarlo!$B$8)),TRUE),$A11*EXP(-MonteCarlo!$B$9*MonteCarlo!$B$8)*_xlfn.NORM.S.DIST(-(((LN(AF$1/$A11)+(MonteCarlo!$B$9+(MonteCarlo!$B$7^2)/2)*MonteCarlo!$B$8)/(MonteCarlo!$B$7*SQRT(MonteCarlo!$B$8)))-(MonteCarlo!$B$7*SQRT(MonteCarlo!$B$8))),TRUE)-AF$1*_xlfn.NORM.S.DIST(-((LN(AF$1/$A11)+(MonteCarlo!$B$9+(MonteCarlo!$B$7^2)/2)*MonteCarlo!$B$8)/(MonteCarlo!$B$7*SQRT(MonteCarlo!$B$8))),TRUE)),"")</f>
        <v/>
      </c>
    </row>
    <row r="12" spans="2:32" x14ac:dyDescent="0.25">
      <c r="B12" t="str">
        <f ca="1">IFERROR(IF(OR(MonteCarlo!$B$4="C",MonteCarlo!$B$4="c"),B$1*_xlfn.NORM.S.DIST((LN(B$1/$A12)+(MonteCarlo!$B$9+(MonteCarlo!$B$7^2)/2)*MonteCarlo!$B$8)/(MonteCarlo!$B$7*SQRT(MonteCarlo!$B$8)),TRUE)-$A12*EXP(-MonteCarlo!$B$9*MonteCarlo!$B$8)*_xlfn.NORM.S.DIST(((LN(B$1/$A12)+(MonteCarlo!$B$9+(MonteCarlo!$B$7^2)/2)*MonteCarlo!$B$8)/(MonteCarlo!$B$7*SQRT(MonteCarlo!$B$8)))-(MonteCarlo!$B$7*SQRT(MonteCarlo!$B$8)),TRUE),$A12*EXP(-MonteCarlo!$B$9*MonteCarlo!$B$8)*_xlfn.NORM.S.DIST(-(((LN(B$1/$A12)+(MonteCarlo!$B$9+(MonteCarlo!$B$7^2)/2)*MonteCarlo!$B$8)/(MonteCarlo!$B$7*SQRT(MonteCarlo!$B$8)))-(MonteCarlo!$B$7*SQRT(MonteCarlo!$B$8))),TRUE)-B$1*_xlfn.NORM.S.DIST(-((LN(B$1/$A12)+(MonteCarlo!$B$9+(MonteCarlo!$B$7^2)/2)*MonteCarlo!$B$8)/(MonteCarlo!$B$7*SQRT(MonteCarlo!$B$8))),TRUE)),"")</f>
        <v/>
      </c>
      <c r="C12" t="str">
        <f ca="1">IFERROR(IF(OR(MonteCarlo!$B$4="C",MonteCarlo!$B$4="c"),C$1*_xlfn.NORM.S.DIST((LN(C$1/$A12)+(MonteCarlo!$B$9+(MonteCarlo!$B$7^2)/2)*MonteCarlo!$B$8)/(MonteCarlo!$B$7*SQRT(MonteCarlo!$B$8)),TRUE)-$A12*EXP(-MonteCarlo!$B$9*MonteCarlo!$B$8)*_xlfn.NORM.S.DIST(((LN(C$1/$A12)+(MonteCarlo!$B$9+(MonteCarlo!$B$7^2)/2)*MonteCarlo!$B$8)/(MonteCarlo!$B$7*SQRT(MonteCarlo!$B$8)))-(MonteCarlo!$B$7*SQRT(MonteCarlo!$B$8)),TRUE),$A12*EXP(-MonteCarlo!$B$9*MonteCarlo!$B$8)*_xlfn.NORM.S.DIST(-(((LN(C$1/$A12)+(MonteCarlo!$B$9+(MonteCarlo!$B$7^2)/2)*MonteCarlo!$B$8)/(MonteCarlo!$B$7*SQRT(MonteCarlo!$B$8)))-(MonteCarlo!$B$7*SQRT(MonteCarlo!$B$8))),TRUE)-C$1*_xlfn.NORM.S.DIST(-((LN(C$1/$A12)+(MonteCarlo!$B$9+(MonteCarlo!$B$7^2)/2)*MonteCarlo!$B$8)/(MonteCarlo!$B$7*SQRT(MonteCarlo!$B$8))),TRUE)),"")</f>
        <v/>
      </c>
      <c r="D12" t="str">
        <f ca="1">IFERROR(IF(OR(MonteCarlo!$B$4="C",MonteCarlo!$B$4="c"),D$1*_xlfn.NORM.S.DIST((LN(D$1/$A12)+(MonteCarlo!$B$9+(MonteCarlo!$B$7^2)/2)*MonteCarlo!$B$8)/(MonteCarlo!$B$7*SQRT(MonteCarlo!$B$8)),TRUE)-$A12*EXP(-MonteCarlo!$B$9*MonteCarlo!$B$8)*_xlfn.NORM.S.DIST(((LN(D$1/$A12)+(MonteCarlo!$B$9+(MonteCarlo!$B$7^2)/2)*MonteCarlo!$B$8)/(MonteCarlo!$B$7*SQRT(MonteCarlo!$B$8)))-(MonteCarlo!$B$7*SQRT(MonteCarlo!$B$8)),TRUE),$A12*EXP(-MonteCarlo!$B$9*MonteCarlo!$B$8)*_xlfn.NORM.S.DIST(-(((LN(D$1/$A12)+(MonteCarlo!$B$9+(MonteCarlo!$B$7^2)/2)*MonteCarlo!$B$8)/(MonteCarlo!$B$7*SQRT(MonteCarlo!$B$8)))-(MonteCarlo!$B$7*SQRT(MonteCarlo!$B$8))),TRUE)-D$1*_xlfn.NORM.S.DIST(-((LN(D$1/$A12)+(MonteCarlo!$B$9+(MonteCarlo!$B$7^2)/2)*MonteCarlo!$B$8)/(MonteCarlo!$B$7*SQRT(MonteCarlo!$B$8))),TRUE)),"")</f>
        <v/>
      </c>
      <c r="E12" t="str">
        <f ca="1">IFERROR(IF(OR(MonteCarlo!$B$4="C",MonteCarlo!$B$4="c"),E$1*_xlfn.NORM.S.DIST((LN(E$1/$A12)+(MonteCarlo!$B$9+(MonteCarlo!$B$7^2)/2)*MonteCarlo!$B$8)/(MonteCarlo!$B$7*SQRT(MonteCarlo!$B$8)),TRUE)-$A12*EXP(-MonteCarlo!$B$9*MonteCarlo!$B$8)*_xlfn.NORM.S.DIST(((LN(E$1/$A12)+(MonteCarlo!$B$9+(MonteCarlo!$B$7^2)/2)*MonteCarlo!$B$8)/(MonteCarlo!$B$7*SQRT(MonteCarlo!$B$8)))-(MonteCarlo!$B$7*SQRT(MonteCarlo!$B$8)),TRUE),$A12*EXP(-MonteCarlo!$B$9*MonteCarlo!$B$8)*_xlfn.NORM.S.DIST(-(((LN(E$1/$A12)+(MonteCarlo!$B$9+(MonteCarlo!$B$7^2)/2)*MonteCarlo!$B$8)/(MonteCarlo!$B$7*SQRT(MonteCarlo!$B$8)))-(MonteCarlo!$B$7*SQRT(MonteCarlo!$B$8))),TRUE)-E$1*_xlfn.NORM.S.DIST(-((LN(E$1/$A12)+(MonteCarlo!$B$9+(MonteCarlo!$B$7^2)/2)*MonteCarlo!$B$8)/(MonteCarlo!$B$7*SQRT(MonteCarlo!$B$8))),TRUE)),"")</f>
        <v/>
      </c>
      <c r="F12" t="str">
        <f ca="1">IFERROR(IF(OR(MonteCarlo!$B$4="C",MonteCarlo!$B$4="c"),F$1*_xlfn.NORM.S.DIST((LN(F$1/$A12)+(MonteCarlo!$B$9+(MonteCarlo!$B$7^2)/2)*MonteCarlo!$B$8)/(MonteCarlo!$B$7*SQRT(MonteCarlo!$B$8)),TRUE)-$A12*EXP(-MonteCarlo!$B$9*MonteCarlo!$B$8)*_xlfn.NORM.S.DIST(((LN(F$1/$A12)+(MonteCarlo!$B$9+(MonteCarlo!$B$7^2)/2)*MonteCarlo!$B$8)/(MonteCarlo!$B$7*SQRT(MonteCarlo!$B$8)))-(MonteCarlo!$B$7*SQRT(MonteCarlo!$B$8)),TRUE),$A12*EXP(-MonteCarlo!$B$9*MonteCarlo!$B$8)*_xlfn.NORM.S.DIST(-(((LN(F$1/$A12)+(MonteCarlo!$B$9+(MonteCarlo!$B$7^2)/2)*MonteCarlo!$B$8)/(MonteCarlo!$B$7*SQRT(MonteCarlo!$B$8)))-(MonteCarlo!$B$7*SQRT(MonteCarlo!$B$8))),TRUE)-F$1*_xlfn.NORM.S.DIST(-((LN(F$1/$A12)+(MonteCarlo!$B$9+(MonteCarlo!$B$7^2)/2)*MonteCarlo!$B$8)/(MonteCarlo!$B$7*SQRT(MonteCarlo!$B$8))),TRUE)),"")</f>
        <v/>
      </c>
      <c r="G12" t="str">
        <f ca="1">IFERROR(IF(OR(MonteCarlo!$B$4="C",MonteCarlo!$B$4="c"),G$1*_xlfn.NORM.S.DIST((LN(G$1/$A12)+(MonteCarlo!$B$9+(MonteCarlo!$B$7^2)/2)*MonteCarlo!$B$8)/(MonteCarlo!$B$7*SQRT(MonteCarlo!$B$8)),TRUE)-$A12*EXP(-MonteCarlo!$B$9*MonteCarlo!$B$8)*_xlfn.NORM.S.DIST(((LN(G$1/$A12)+(MonteCarlo!$B$9+(MonteCarlo!$B$7^2)/2)*MonteCarlo!$B$8)/(MonteCarlo!$B$7*SQRT(MonteCarlo!$B$8)))-(MonteCarlo!$B$7*SQRT(MonteCarlo!$B$8)),TRUE),$A12*EXP(-MonteCarlo!$B$9*MonteCarlo!$B$8)*_xlfn.NORM.S.DIST(-(((LN(G$1/$A12)+(MonteCarlo!$B$9+(MonteCarlo!$B$7^2)/2)*MonteCarlo!$B$8)/(MonteCarlo!$B$7*SQRT(MonteCarlo!$B$8)))-(MonteCarlo!$B$7*SQRT(MonteCarlo!$B$8))),TRUE)-G$1*_xlfn.NORM.S.DIST(-((LN(G$1/$A12)+(MonteCarlo!$B$9+(MonteCarlo!$B$7^2)/2)*MonteCarlo!$B$8)/(MonteCarlo!$B$7*SQRT(MonteCarlo!$B$8))),TRUE)),"")</f>
        <v/>
      </c>
      <c r="H12" t="str">
        <f ca="1">IFERROR(IF(OR(MonteCarlo!$B$4="C",MonteCarlo!$B$4="c"),H$1*_xlfn.NORM.S.DIST((LN(H$1/$A12)+(MonteCarlo!$B$9+(MonteCarlo!$B$7^2)/2)*MonteCarlo!$B$8)/(MonteCarlo!$B$7*SQRT(MonteCarlo!$B$8)),TRUE)-$A12*EXP(-MonteCarlo!$B$9*MonteCarlo!$B$8)*_xlfn.NORM.S.DIST(((LN(H$1/$A12)+(MonteCarlo!$B$9+(MonteCarlo!$B$7^2)/2)*MonteCarlo!$B$8)/(MonteCarlo!$B$7*SQRT(MonteCarlo!$B$8)))-(MonteCarlo!$B$7*SQRT(MonteCarlo!$B$8)),TRUE),$A12*EXP(-MonteCarlo!$B$9*MonteCarlo!$B$8)*_xlfn.NORM.S.DIST(-(((LN(H$1/$A12)+(MonteCarlo!$B$9+(MonteCarlo!$B$7^2)/2)*MonteCarlo!$B$8)/(MonteCarlo!$B$7*SQRT(MonteCarlo!$B$8)))-(MonteCarlo!$B$7*SQRT(MonteCarlo!$B$8))),TRUE)-H$1*_xlfn.NORM.S.DIST(-((LN(H$1/$A12)+(MonteCarlo!$B$9+(MonteCarlo!$B$7^2)/2)*MonteCarlo!$B$8)/(MonteCarlo!$B$7*SQRT(MonteCarlo!$B$8))),TRUE)),"")</f>
        <v/>
      </c>
      <c r="I12" t="str">
        <f ca="1">IFERROR(IF(OR(MonteCarlo!$B$4="C",MonteCarlo!$B$4="c"),I$1*_xlfn.NORM.S.DIST((LN(I$1/$A12)+(MonteCarlo!$B$9+(MonteCarlo!$B$7^2)/2)*MonteCarlo!$B$8)/(MonteCarlo!$B$7*SQRT(MonteCarlo!$B$8)),TRUE)-$A12*EXP(-MonteCarlo!$B$9*MonteCarlo!$B$8)*_xlfn.NORM.S.DIST(((LN(I$1/$A12)+(MonteCarlo!$B$9+(MonteCarlo!$B$7^2)/2)*MonteCarlo!$B$8)/(MonteCarlo!$B$7*SQRT(MonteCarlo!$B$8)))-(MonteCarlo!$B$7*SQRT(MonteCarlo!$B$8)),TRUE),$A12*EXP(-MonteCarlo!$B$9*MonteCarlo!$B$8)*_xlfn.NORM.S.DIST(-(((LN(I$1/$A12)+(MonteCarlo!$B$9+(MonteCarlo!$B$7^2)/2)*MonteCarlo!$B$8)/(MonteCarlo!$B$7*SQRT(MonteCarlo!$B$8)))-(MonteCarlo!$B$7*SQRT(MonteCarlo!$B$8))),TRUE)-I$1*_xlfn.NORM.S.DIST(-((LN(I$1/$A12)+(MonteCarlo!$B$9+(MonteCarlo!$B$7^2)/2)*MonteCarlo!$B$8)/(MonteCarlo!$B$7*SQRT(MonteCarlo!$B$8))),TRUE)),"")</f>
        <v/>
      </c>
      <c r="J12" t="str">
        <f ca="1">IFERROR(IF(OR(MonteCarlo!$B$4="C",MonteCarlo!$B$4="c"),J$1*_xlfn.NORM.S.DIST((LN(J$1/$A12)+(MonteCarlo!$B$9+(MonteCarlo!$B$7^2)/2)*MonteCarlo!$B$8)/(MonteCarlo!$B$7*SQRT(MonteCarlo!$B$8)),TRUE)-$A12*EXP(-MonteCarlo!$B$9*MonteCarlo!$B$8)*_xlfn.NORM.S.DIST(((LN(J$1/$A12)+(MonteCarlo!$B$9+(MonteCarlo!$B$7^2)/2)*MonteCarlo!$B$8)/(MonteCarlo!$B$7*SQRT(MonteCarlo!$B$8)))-(MonteCarlo!$B$7*SQRT(MonteCarlo!$B$8)),TRUE),$A12*EXP(-MonteCarlo!$B$9*MonteCarlo!$B$8)*_xlfn.NORM.S.DIST(-(((LN(J$1/$A12)+(MonteCarlo!$B$9+(MonteCarlo!$B$7^2)/2)*MonteCarlo!$B$8)/(MonteCarlo!$B$7*SQRT(MonteCarlo!$B$8)))-(MonteCarlo!$B$7*SQRT(MonteCarlo!$B$8))),TRUE)-J$1*_xlfn.NORM.S.DIST(-((LN(J$1/$A12)+(MonteCarlo!$B$9+(MonteCarlo!$B$7^2)/2)*MonteCarlo!$B$8)/(MonteCarlo!$B$7*SQRT(MonteCarlo!$B$8))),TRUE)),"")</f>
        <v/>
      </c>
      <c r="K12" t="str">
        <f ca="1">IFERROR(IF(OR(MonteCarlo!$B$4="C",MonteCarlo!$B$4="c"),K$1*_xlfn.NORM.S.DIST((LN(K$1/$A12)+(MonteCarlo!$B$9+(MonteCarlo!$B$7^2)/2)*MonteCarlo!$B$8)/(MonteCarlo!$B$7*SQRT(MonteCarlo!$B$8)),TRUE)-$A12*EXP(-MonteCarlo!$B$9*MonteCarlo!$B$8)*_xlfn.NORM.S.DIST(((LN(K$1/$A12)+(MonteCarlo!$B$9+(MonteCarlo!$B$7^2)/2)*MonteCarlo!$B$8)/(MonteCarlo!$B$7*SQRT(MonteCarlo!$B$8)))-(MonteCarlo!$B$7*SQRT(MonteCarlo!$B$8)),TRUE),$A12*EXP(-MonteCarlo!$B$9*MonteCarlo!$B$8)*_xlfn.NORM.S.DIST(-(((LN(K$1/$A12)+(MonteCarlo!$B$9+(MonteCarlo!$B$7^2)/2)*MonteCarlo!$B$8)/(MonteCarlo!$B$7*SQRT(MonteCarlo!$B$8)))-(MonteCarlo!$B$7*SQRT(MonteCarlo!$B$8))),TRUE)-K$1*_xlfn.NORM.S.DIST(-((LN(K$1/$A12)+(MonteCarlo!$B$9+(MonteCarlo!$B$7^2)/2)*MonteCarlo!$B$8)/(MonteCarlo!$B$7*SQRT(MonteCarlo!$B$8))),TRUE)),"")</f>
        <v/>
      </c>
      <c r="L12" t="str">
        <f ca="1">IFERROR(IF(OR(MonteCarlo!$B$4="C",MonteCarlo!$B$4="c"),L$1*_xlfn.NORM.S.DIST((LN(L$1/$A12)+(MonteCarlo!$B$9+(MonteCarlo!$B$7^2)/2)*MonteCarlo!$B$8)/(MonteCarlo!$B$7*SQRT(MonteCarlo!$B$8)),TRUE)-$A12*EXP(-MonteCarlo!$B$9*MonteCarlo!$B$8)*_xlfn.NORM.S.DIST(((LN(L$1/$A12)+(MonteCarlo!$B$9+(MonteCarlo!$B$7^2)/2)*MonteCarlo!$B$8)/(MonteCarlo!$B$7*SQRT(MonteCarlo!$B$8)))-(MonteCarlo!$B$7*SQRT(MonteCarlo!$B$8)),TRUE),$A12*EXP(-MonteCarlo!$B$9*MonteCarlo!$B$8)*_xlfn.NORM.S.DIST(-(((LN(L$1/$A12)+(MonteCarlo!$B$9+(MonteCarlo!$B$7^2)/2)*MonteCarlo!$B$8)/(MonteCarlo!$B$7*SQRT(MonteCarlo!$B$8)))-(MonteCarlo!$B$7*SQRT(MonteCarlo!$B$8))),TRUE)-L$1*_xlfn.NORM.S.DIST(-((LN(L$1/$A12)+(MonteCarlo!$B$9+(MonteCarlo!$B$7^2)/2)*MonteCarlo!$B$8)/(MonteCarlo!$B$7*SQRT(MonteCarlo!$B$8))),TRUE)),"")</f>
        <v/>
      </c>
      <c r="M12" t="str">
        <f ca="1">IFERROR(IF(OR(MonteCarlo!$B$4="C",MonteCarlo!$B$4="c"),M$1*_xlfn.NORM.S.DIST((LN(M$1/$A12)+(MonteCarlo!$B$9+(MonteCarlo!$B$7^2)/2)*MonteCarlo!$B$8)/(MonteCarlo!$B$7*SQRT(MonteCarlo!$B$8)),TRUE)-$A12*EXP(-MonteCarlo!$B$9*MonteCarlo!$B$8)*_xlfn.NORM.S.DIST(((LN(M$1/$A12)+(MonteCarlo!$B$9+(MonteCarlo!$B$7^2)/2)*MonteCarlo!$B$8)/(MonteCarlo!$B$7*SQRT(MonteCarlo!$B$8)))-(MonteCarlo!$B$7*SQRT(MonteCarlo!$B$8)),TRUE),$A12*EXP(-MonteCarlo!$B$9*MonteCarlo!$B$8)*_xlfn.NORM.S.DIST(-(((LN(M$1/$A12)+(MonteCarlo!$B$9+(MonteCarlo!$B$7^2)/2)*MonteCarlo!$B$8)/(MonteCarlo!$B$7*SQRT(MonteCarlo!$B$8)))-(MonteCarlo!$B$7*SQRT(MonteCarlo!$B$8))),TRUE)-M$1*_xlfn.NORM.S.DIST(-((LN(M$1/$A12)+(MonteCarlo!$B$9+(MonteCarlo!$B$7^2)/2)*MonteCarlo!$B$8)/(MonteCarlo!$B$7*SQRT(MonteCarlo!$B$8))),TRUE)),"")</f>
        <v/>
      </c>
      <c r="N12" t="str">
        <f ca="1">IFERROR(IF(OR(MonteCarlo!$B$4="C",MonteCarlo!$B$4="c"),N$1*_xlfn.NORM.S.DIST((LN(N$1/$A12)+(MonteCarlo!$B$9+(MonteCarlo!$B$7^2)/2)*MonteCarlo!$B$8)/(MonteCarlo!$B$7*SQRT(MonteCarlo!$B$8)),TRUE)-$A12*EXP(-MonteCarlo!$B$9*MonteCarlo!$B$8)*_xlfn.NORM.S.DIST(((LN(N$1/$A12)+(MonteCarlo!$B$9+(MonteCarlo!$B$7^2)/2)*MonteCarlo!$B$8)/(MonteCarlo!$B$7*SQRT(MonteCarlo!$B$8)))-(MonteCarlo!$B$7*SQRT(MonteCarlo!$B$8)),TRUE),$A12*EXP(-MonteCarlo!$B$9*MonteCarlo!$B$8)*_xlfn.NORM.S.DIST(-(((LN(N$1/$A12)+(MonteCarlo!$B$9+(MonteCarlo!$B$7^2)/2)*MonteCarlo!$B$8)/(MonteCarlo!$B$7*SQRT(MonteCarlo!$B$8)))-(MonteCarlo!$B$7*SQRT(MonteCarlo!$B$8))),TRUE)-N$1*_xlfn.NORM.S.DIST(-((LN(N$1/$A12)+(MonteCarlo!$B$9+(MonteCarlo!$B$7^2)/2)*MonteCarlo!$B$8)/(MonteCarlo!$B$7*SQRT(MonteCarlo!$B$8))),TRUE)),"")</f>
        <v/>
      </c>
      <c r="O12" t="str">
        <f ca="1">IFERROR(IF(OR(MonteCarlo!$B$4="C",MonteCarlo!$B$4="c"),O$1*_xlfn.NORM.S.DIST((LN(O$1/$A12)+(MonteCarlo!$B$9+(MonteCarlo!$B$7^2)/2)*MonteCarlo!$B$8)/(MonteCarlo!$B$7*SQRT(MonteCarlo!$B$8)),TRUE)-$A12*EXP(-MonteCarlo!$B$9*MonteCarlo!$B$8)*_xlfn.NORM.S.DIST(((LN(O$1/$A12)+(MonteCarlo!$B$9+(MonteCarlo!$B$7^2)/2)*MonteCarlo!$B$8)/(MonteCarlo!$B$7*SQRT(MonteCarlo!$B$8)))-(MonteCarlo!$B$7*SQRT(MonteCarlo!$B$8)),TRUE),$A12*EXP(-MonteCarlo!$B$9*MonteCarlo!$B$8)*_xlfn.NORM.S.DIST(-(((LN(O$1/$A12)+(MonteCarlo!$B$9+(MonteCarlo!$B$7^2)/2)*MonteCarlo!$B$8)/(MonteCarlo!$B$7*SQRT(MonteCarlo!$B$8)))-(MonteCarlo!$B$7*SQRT(MonteCarlo!$B$8))),TRUE)-O$1*_xlfn.NORM.S.DIST(-((LN(O$1/$A12)+(MonteCarlo!$B$9+(MonteCarlo!$B$7^2)/2)*MonteCarlo!$B$8)/(MonteCarlo!$B$7*SQRT(MonteCarlo!$B$8))),TRUE)),"")</f>
        <v/>
      </c>
      <c r="P12" t="str">
        <f ca="1">IFERROR(IF(OR(MonteCarlo!$B$4="C",MonteCarlo!$B$4="c"),P$1*_xlfn.NORM.S.DIST((LN(P$1/$A12)+(MonteCarlo!$B$9+(MonteCarlo!$B$7^2)/2)*MonteCarlo!$B$8)/(MonteCarlo!$B$7*SQRT(MonteCarlo!$B$8)),TRUE)-$A12*EXP(-MonteCarlo!$B$9*MonteCarlo!$B$8)*_xlfn.NORM.S.DIST(((LN(P$1/$A12)+(MonteCarlo!$B$9+(MonteCarlo!$B$7^2)/2)*MonteCarlo!$B$8)/(MonteCarlo!$B$7*SQRT(MonteCarlo!$B$8)))-(MonteCarlo!$B$7*SQRT(MonteCarlo!$B$8)),TRUE),$A12*EXP(-MonteCarlo!$B$9*MonteCarlo!$B$8)*_xlfn.NORM.S.DIST(-(((LN(P$1/$A12)+(MonteCarlo!$B$9+(MonteCarlo!$B$7^2)/2)*MonteCarlo!$B$8)/(MonteCarlo!$B$7*SQRT(MonteCarlo!$B$8)))-(MonteCarlo!$B$7*SQRT(MonteCarlo!$B$8))),TRUE)-P$1*_xlfn.NORM.S.DIST(-((LN(P$1/$A12)+(MonteCarlo!$B$9+(MonteCarlo!$B$7^2)/2)*MonteCarlo!$B$8)/(MonteCarlo!$B$7*SQRT(MonteCarlo!$B$8))),TRUE)),"")</f>
        <v/>
      </c>
      <c r="Q12" t="str">
        <f ca="1">IFERROR(IF(OR(MonteCarlo!$B$4="C",MonteCarlo!$B$4="c"),Q$1*_xlfn.NORM.S.DIST((LN(Q$1/$A12)+(MonteCarlo!$B$9+(MonteCarlo!$B$7^2)/2)*MonteCarlo!$B$8)/(MonteCarlo!$B$7*SQRT(MonteCarlo!$B$8)),TRUE)-$A12*EXP(-MonteCarlo!$B$9*MonteCarlo!$B$8)*_xlfn.NORM.S.DIST(((LN(Q$1/$A12)+(MonteCarlo!$B$9+(MonteCarlo!$B$7^2)/2)*MonteCarlo!$B$8)/(MonteCarlo!$B$7*SQRT(MonteCarlo!$B$8)))-(MonteCarlo!$B$7*SQRT(MonteCarlo!$B$8)),TRUE),$A12*EXP(-MonteCarlo!$B$9*MonteCarlo!$B$8)*_xlfn.NORM.S.DIST(-(((LN(Q$1/$A12)+(MonteCarlo!$B$9+(MonteCarlo!$B$7^2)/2)*MonteCarlo!$B$8)/(MonteCarlo!$B$7*SQRT(MonteCarlo!$B$8)))-(MonteCarlo!$B$7*SQRT(MonteCarlo!$B$8))),TRUE)-Q$1*_xlfn.NORM.S.DIST(-((LN(Q$1/$A12)+(MonteCarlo!$B$9+(MonteCarlo!$B$7^2)/2)*MonteCarlo!$B$8)/(MonteCarlo!$B$7*SQRT(MonteCarlo!$B$8))),TRUE)),"")</f>
        <v/>
      </c>
      <c r="R12" t="str">
        <f ca="1">IFERROR(IF(OR(MonteCarlo!$B$4="C",MonteCarlo!$B$4="c"),R$1*_xlfn.NORM.S.DIST((LN(R$1/$A12)+(MonteCarlo!$B$9+(MonteCarlo!$B$7^2)/2)*MonteCarlo!$B$8)/(MonteCarlo!$B$7*SQRT(MonteCarlo!$B$8)),TRUE)-$A12*EXP(-MonteCarlo!$B$9*MonteCarlo!$B$8)*_xlfn.NORM.S.DIST(((LN(R$1/$A12)+(MonteCarlo!$B$9+(MonteCarlo!$B$7^2)/2)*MonteCarlo!$B$8)/(MonteCarlo!$B$7*SQRT(MonteCarlo!$B$8)))-(MonteCarlo!$B$7*SQRT(MonteCarlo!$B$8)),TRUE),$A12*EXP(-MonteCarlo!$B$9*MonteCarlo!$B$8)*_xlfn.NORM.S.DIST(-(((LN(R$1/$A12)+(MonteCarlo!$B$9+(MonteCarlo!$B$7^2)/2)*MonteCarlo!$B$8)/(MonteCarlo!$B$7*SQRT(MonteCarlo!$B$8)))-(MonteCarlo!$B$7*SQRT(MonteCarlo!$B$8))),TRUE)-R$1*_xlfn.NORM.S.DIST(-((LN(R$1/$A12)+(MonteCarlo!$B$9+(MonteCarlo!$B$7^2)/2)*MonteCarlo!$B$8)/(MonteCarlo!$B$7*SQRT(MonteCarlo!$B$8))),TRUE)),"")</f>
        <v/>
      </c>
      <c r="S12" t="str">
        <f ca="1">IFERROR(IF(OR(MonteCarlo!$B$4="C",MonteCarlo!$B$4="c"),S$1*_xlfn.NORM.S.DIST((LN(S$1/$A12)+(MonteCarlo!$B$9+(MonteCarlo!$B$7^2)/2)*MonteCarlo!$B$8)/(MonteCarlo!$B$7*SQRT(MonteCarlo!$B$8)),TRUE)-$A12*EXP(-MonteCarlo!$B$9*MonteCarlo!$B$8)*_xlfn.NORM.S.DIST(((LN(S$1/$A12)+(MonteCarlo!$B$9+(MonteCarlo!$B$7^2)/2)*MonteCarlo!$B$8)/(MonteCarlo!$B$7*SQRT(MonteCarlo!$B$8)))-(MonteCarlo!$B$7*SQRT(MonteCarlo!$B$8)),TRUE),$A12*EXP(-MonteCarlo!$B$9*MonteCarlo!$B$8)*_xlfn.NORM.S.DIST(-(((LN(S$1/$A12)+(MonteCarlo!$B$9+(MonteCarlo!$B$7^2)/2)*MonteCarlo!$B$8)/(MonteCarlo!$B$7*SQRT(MonteCarlo!$B$8)))-(MonteCarlo!$B$7*SQRT(MonteCarlo!$B$8))),TRUE)-S$1*_xlfn.NORM.S.DIST(-((LN(S$1/$A12)+(MonteCarlo!$B$9+(MonteCarlo!$B$7^2)/2)*MonteCarlo!$B$8)/(MonteCarlo!$B$7*SQRT(MonteCarlo!$B$8))),TRUE)),"")</f>
        <v/>
      </c>
      <c r="T12" t="str">
        <f ca="1">IFERROR(IF(OR(MonteCarlo!$B$4="C",MonteCarlo!$B$4="c"),T$1*_xlfn.NORM.S.DIST((LN(T$1/$A12)+(MonteCarlo!$B$9+(MonteCarlo!$B$7^2)/2)*MonteCarlo!$B$8)/(MonteCarlo!$B$7*SQRT(MonteCarlo!$B$8)),TRUE)-$A12*EXP(-MonteCarlo!$B$9*MonteCarlo!$B$8)*_xlfn.NORM.S.DIST(((LN(T$1/$A12)+(MonteCarlo!$B$9+(MonteCarlo!$B$7^2)/2)*MonteCarlo!$B$8)/(MonteCarlo!$B$7*SQRT(MonteCarlo!$B$8)))-(MonteCarlo!$B$7*SQRT(MonteCarlo!$B$8)),TRUE),$A12*EXP(-MonteCarlo!$B$9*MonteCarlo!$B$8)*_xlfn.NORM.S.DIST(-(((LN(T$1/$A12)+(MonteCarlo!$B$9+(MonteCarlo!$B$7^2)/2)*MonteCarlo!$B$8)/(MonteCarlo!$B$7*SQRT(MonteCarlo!$B$8)))-(MonteCarlo!$B$7*SQRT(MonteCarlo!$B$8))),TRUE)-T$1*_xlfn.NORM.S.DIST(-((LN(T$1/$A12)+(MonteCarlo!$B$9+(MonteCarlo!$B$7^2)/2)*MonteCarlo!$B$8)/(MonteCarlo!$B$7*SQRT(MonteCarlo!$B$8))),TRUE)),"")</f>
        <v/>
      </c>
      <c r="U12" t="str">
        <f ca="1">IFERROR(IF(OR(MonteCarlo!$B$4="C",MonteCarlo!$B$4="c"),U$1*_xlfn.NORM.S.DIST((LN(U$1/$A12)+(MonteCarlo!$B$9+(MonteCarlo!$B$7^2)/2)*MonteCarlo!$B$8)/(MonteCarlo!$B$7*SQRT(MonteCarlo!$B$8)),TRUE)-$A12*EXP(-MonteCarlo!$B$9*MonteCarlo!$B$8)*_xlfn.NORM.S.DIST(((LN(U$1/$A12)+(MonteCarlo!$B$9+(MonteCarlo!$B$7^2)/2)*MonteCarlo!$B$8)/(MonteCarlo!$B$7*SQRT(MonteCarlo!$B$8)))-(MonteCarlo!$B$7*SQRT(MonteCarlo!$B$8)),TRUE),$A12*EXP(-MonteCarlo!$B$9*MonteCarlo!$B$8)*_xlfn.NORM.S.DIST(-(((LN(U$1/$A12)+(MonteCarlo!$B$9+(MonteCarlo!$B$7^2)/2)*MonteCarlo!$B$8)/(MonteCarlo!$B$7*SQRT(MonteCarlo!$B$8)))-(MonteCarlo!$B$7*SQRT(MonteCarlo!$B$8))),TRUE)-U$1*_xlfn.NORM.S.DIST(-((LN(U$1/$A12)+(MonteCarlo!$B$9+(MonteCarlo!$B$7^2)/2)*MonteCarlo!$B$8)/(MonteCarlo!$B$7*SQRT(MonteCarlo!$B$8))),TRUE)),"")</f>
        <v/>
      </c>
      <c r="V12" t="str">
        <f ca="1">IFERROR(IF(OR(MonteCarlo!$B$4="C",MonteCarlo!$B$4="c"),V$1*_xlfn.NORM.S.DIST((LN(V$1/$A12)+(MonteCarlo!$B$9+(MonteCarlo!$B$7^2)/2)*MonteCarlo!$B$8)/(MonteCarlo!$B$7*SQRT(MonteCarlo!$B$8)),TRUE)-$A12*EXP(-MonteCarlo!$B$9*MonteCarlo!$B$8)*_xlfn.NORM.S.DIST(((LN(V$1/$A12)+(MonteCarlo!$B$9+(MonteCarlo!$B$7^2)/2)*MonteCarlo!$B$8)/(MonteCarlo!$B$7*SQRT(MonteCarlo!$B$8)))-(MonteCarlo!$B$7*SQRT(MonteCarlo!$B$8)),TRUE),$A12*EXP(-MonteCarlo!$B$9*MonteCarlo!$B$8)*_xlfn.NORM.S.DIST(-(((LN(V$1/$A12)+(MonteCarlo!$B$9+(MonteCarlo!$B$7^2)/2)*MonteCarlo!$B$8)/(MonteCarlo!$B$7*SQRT(MonteCarlo!$B$8)))-(MonteCarlo!$B$7*SQRT(MonteCarlo!$B$8))),TRUE)-V$1*_xlfn.NORM.S.DIST(-((LN(V$1/$A12)+(MonteCarlo!$B$9+(MonteCarlo!$B$7^2)/2)*MonteCarlo!$B$8)/(MonteCarlo!$B$7*SQRT(MonteCarlo!$B$8))),TRUE)),"")</f>
        <v/>
      </c>
      <c r="W12" t="str">
        <f ca="1">IFERROR(IF(OR(MonteCarlo!$B$4="C",MonteCarlo!$B$4="c"),W$1*_xlfn.NORM.S.DIST((LN(W$1/$A12)+(MonteCarlo!$B$9+(MonteCarlo!$B$7^2)/2)*MonteCarlo!$B$8)/(MonteCarlo!$B$7*SQRT(MonteCarlo!$B$8)),TRUE)-$A12*EXP(-MonteCarlo!$B$9*MonteCarlo!$B$8)*_xlfn.NORM.S.DIST(((LN(W$1/$A12)+(MonteCarlo!$B$9+(MonteCarlo!$B$7^2)/2)*MonteCarlo!$B$8)/(MonteCarlo!$B$7*SQRT(MonteCarlo!$B$8)))-(MonteCarlo!$B$7*SQRT(MonteCarlo!$B$8)),TRUE),$A12*EXP(-MonteCarlo!$B$9*MonteCarlo!$B$8)*_xlfn.NORM.S.DIST(-(((LN(W$1/$A12)+(MonteCarlo!$B$9+(MonteCarlo!$B$7^2)/2)*MonteCarlo!$B$8)/(MonteCarlo!$B$7*SQRT(MonteCarlo!$B$8)))-(MonteCarlo!$B$7*SQRT(MonteCarlo!$B$8))),TRUE)-W$1*_xlfn.NORM.S.DIST(-((LN(W$1/$A12)+(MonteCarlo!$B$9+(MonteCarlo!$B$7^2)/2)*MonteCarlo!$B$8)/(MonteCarlo!$B$7*SQRT(MonteCarlo!$B$8))),TRUE)),"")</f>
        <v/>
      </c>
      <c r="X12" t="str">
        <f ca="1">IFERROR(IF(OR(MonteCarlo!$B$4="C",MonteCarlo!$B$4="c"),X$1*_xlfn.NORM.S.DIST((LN(X$1/$A12)+(MonteCarlo!$B$9+(MonteCarlo!$B$7^2)/2)*MonteCarlo!$B$8)/(MonteCarlo!$B$7*SQRT(MonteCarlo!$B$8)),TRUE)-$A12*EXP(-MonteCarlo!$B$9*MonteCarlo!$B$8)*_xlfn.NORM.S.DIST(((LN(X$1/$A12)+(MonteCarlo!$B$9+(MonteCarlo!$B$7^2)/2)*MonteCarlo!$B$8)/(MonteCarlo!$B$7*SQRT(MonteCarlo!$B$8)))-(MonteCarlo!$B$7*SQRT(MonteCarlo!$B$8)),TRUE),$A12*EXP(-MonteCarlo!$B$9*MonteCarlo!$B$8)*_xlfn.NORM.S.DIST(-(((LN(X$1/$A12)+(MonteCarlo!$B$9+(MonteCarlo!$B$7^2)/2)*MonteCarlo!$B$8)/(MonteCarlo!$B$7*SQRT(MonteCarlo!$B$8)))-(MonteCarlo!$B$7*SQRT(MonteCarlo!$B$8))),TRUE)-X$1*_xlfn.NORM.S.DIST(-((LN(X$1/$A12)+(MonteCarlo!$B$9+(MonteCarlo!$B$7^2)/2)*MonteCarlo!$B$8)/(MonteCarlo!$B$7*SQRT(MonteCarlo!$B$8))),TRUE)),"")</f>
        <v/>
      </c>
      <c r="Y12" t="str">
        <f ca="1">IFERROR(IF(OR(MonteCarlo!$B$4="C",MonteCarlo!$B$4="c"),Y$1*_xlfn.NORM.S.DIST((LN(Y$1/$A12)+(MonteCarlo!$B$9+(MonteCarlo!$B$7^2)/2)*MonteCarlo!$B$8)/(MonteCarlo!$B$7*SQRT(MonteCarlo!$B$8)),TRUE)-$A12*EXP(-MonteCarlo!$B$9*MonteCarlo!$B$8)*_xlfn.NORM.S.DIST(((LN(Y$1/$A12)+(MonteCarlo!$B$9+(MonteCarlo!$B$7^2)/2)*MonteCarlo!$B$8)/(MonteCarlo!$B$7*SQRT(MonteCarlo!$B$8)))-(MonteCarlo!$B$7*SQRT(MonteCarlo!$B$8)),TRUE),$A12*EXP(-MonteCarlo!$B$9*MonteCarlo!$B$8)*_xlfn.NORM.S.DIST(-(((LN(Y$1/$A12)+(MonteCarlo!$B$9+(MonteCarlo!$B$7^2)/2)*MonteCarlo!$B$8)/(MonteCarlo!$B$7*SQRT(MonteCarlo!$B$8)))-(MonteCarlo!$B$7*SQRT(MonteCarlo!$B$8))),TRUE)-Y$1*_xlfn.NORM.S.DIST(-((LN(Y$1/$A12)+(MonteCarlo!$B$9+(MonteCarlo!$B$7^2)/2)*MonteCarlo!$B$8)/(MonteCarlo!$B$7*SQRT(MonteCarlo!$B$8))),TRUE)),"")</f>
        <v/>
      </c>
      <c r="Z12" t="str">
        <f ca="1">IFERROR(IF(OR(MonteCarlo!$B$4="C",MonteCarlo!$B$4="c"),Z$1*_xlfn.NORM.S.DIST((LN(Z$1/$A12)+(MonteCarlo!$B$9+(MonteCarlo!$B$7^2)/2)*MonteCarlo!$B$8)/(MonteCarlo!$B$7*SQRT(MonteCarlo!$B$8)),TRUE)-$A12*EXP(-MonteCarlo!$B$9*MonteCarlo!$B$8)*_xlfn.NORM.S.DIST(((LN(Z$1/$A12)+(MonteCarlo!$B$9+(MonteCarlo!$B$7^2)/2)*MonteCarlo!$B$8)/(MonteCarlo!$B$7*SQRT(MonteCarlo!$B$8)))-(MonteCarlo!$B$7*SQRT(MonteCarlo!$B$8)),TRUE),$A12*EXP(-MonteCarlo!$B$9*MonteCarlo!$B$8)*_xlfn.NORM.S.DIST(-(((LN(Z$1/$A12)+(MonteCarlo!$B$9+(MonteCarlo!$B$7^2)/2)*MonteCarlo!$B$8)/(MonteCarlo!$B$7*SQRT(MonteCarlo!$B$8)))-(MonteCarlo!$B$7*SQRT(MonteCarlo!$B$8))),TRUE)-Z$1*_xlfn.NORM.S.DIST(-((LN(Z$1/$A12)+(MonteCarlo!$B$9+(MonteCarlo!$B$7^2)/2)*MonteCarlo!$B$8)/(MonteCarlo!$B$7*SQRT(MonteCarlo!$B$8))),TRUE)),"")</f>
        <v/>
      </c>
      <c r="AA12" t="str">
        <f ca="1">IFERROR(IF(OR(MonteCarlo!$B$4="C",MonteCarlo!$B$4="c"),AA$1*_xlfn.NORM.S.DIST((LN(AA$1/$A12)+(MonteCarlo!$B$9+(MonteCarlo!$B$7^2)/2)*MonteCarlo!$B$8)/(MonteCarlo!$B$7*SQRT(MonteCarlo!$B$8)),TRUE)-$A12*EXP(-MonteCarlo!$B$9*MonteCarlo!$B$8)*_xlfn.NORM.S.DIST(((LN(AA$1/$A12)+(MonteCarlo!$B$9+(MonteCarlo!$B$7^2)/2)*MonteCarlo!$B$8)/(MonteCarlo!$B$7*SQRT(MonteCarlo!$B$8)))-(MonteCarlo!$B$7*SQRT(MonteCarlo!$B$8)),TRUE),$A12*EXP(-MonteCarlo!$B$9*MonteCarlo!$B$8)*_xlfn.NORM.S.DIST(-(((LN(AA$1/$A12)+(MonteCarlo!$B$9+(MonteCarlo!$B$7^2)/2)*MonteCarlo!$B$8)/(MonteCarlo!$B$7*SQRT(MonteCarlo!$B$8)))-(MonteCarlo!$B$7*SQRT(MonteCarlo!$B$8))),TRUE)-AA$1*_xlfn.NORM.S.DIST(-((LN(AA$1/$A12)+(MonteCarlo!$B$9+(MonteCarlo!$B$7^2)/2)*MonteCarlo!$B$8)/(MonteCarlo!$B$7*SQRT(MonteCarlo!$B$8))),TRUE)),"")</f>
        <v/>
      </c>
      <c r="AB12" t="str">
        <f ca="1">IFERROR(IF(OR(MonteCarlo!$B$4="C",MonteCarlo!$B$4="c"),AB$1*_xlfn.NORM.S.DIST((LN(AB$1/$A12)+(MonteCarlo!$B$9+(MonteCarlo!$B$7^2)/2)*MonteCarlo!$B$8)/(MonteCarlo!$B$7*SQRT(MonteCarlo!$B$8)),TRUE)-$A12*EXP(-MonteCarlo!$B$9*MonteCarlo!$B$8)*_xlfn.NORM.S.DIST(((LN(AB$1/$A12)+(MonteCarlo!$B$9+(MonteCarlo!$B$7^2)/2)*MonteCarlo!$B$8)/(MonteCarlo!$B$7*SQRT(MonteCarlo!$B$8)))-(MonteCarlo!$B$7*SQRT(MonteCarlo!$B$8)),TRUE),$A12*EXP(-MonteCarlo!$B$9*MonteCarlo!$B$8)*_xlfn.NORM.S.DIST(-(((LN(AB$1/$A12)+(MonteCarlo!$B$9+(MonteCarlo!$B$7^2)/2)*MonteCarlo!$B$8)/(MonteCarlo!$B$7*SQRT(MonteCarlo!$B$8)))-(MonteCarlo!$B$7*SQRT(MonteCarlo!$B$8))),TRUE)-AB$1*_xlfn.NORM.S.DIST(-((LN(AB$1/$A12)+(MonteCarlo!$B$9+(MonteCarlo!$B$7^2)/2)*MonteCarlo!$B$8)/(MonteCarlo!$B$7*SQRT(MonteCarlo!$B$8))),TRUE)),"")</f>
        <v/>
      </c>
      <c r="AC12" t="str">
        <f ca="1">IFERROR(IF(OR(MonteCarlo!$B$4="C",MonteCarlo!$B$4="c"),AC$1*_xlfn.NORM.S.DIST((LN(AC$1/$A12)+(MonteCarlo!$B$9+(MonteCarlo!$B$7^2)/2)*MonteCarlo!$B$8)/(MonteCarlo!$B$7*SQRT(MonteCarlo!$B$8)),TRUE)-$A12*EXP(-MonteCarlo!$B$9*MonteCarlo!$B$8)*_xlfn.NORM.S.DIST(((LN(AC$1/$A12)+(MonteCarlo!$B$9+(MonteCarlo!$B$7^2)/2)*MonteCarlo!$B$8)/(MonteCarlo!$B$7*SQRT(MonteCarlo!$B$8)))-(MonteCarlo!$B$7*SQRT(MonteCarlo!$B$8)),TRUE),$A12*EXP(-MonteCarlo!$B$9*MonteCarlo!$B$8)*_xlfn.NORM.S.DIST(-(((LN(AC$1/$A12)+(MonteCarlo!$B$9+(MonteCarlo!$B$7^2)/2)*MonteCarlo!$B$8)/(MonteCarlo!$B$7*SQRT(MonteCarlo!$B$8)))-(MonteCarlo!$B$7*SQRT(MonteCarlo!$B$8))),TRUE)-AC$1*_xlfn.NORM.S.DIST(-((LN(AC$1/$A12)+(MonteCarlo!$B$9+(MonteCarlo!$B$7^2)/2)*MonteCarlo!$B$8)/(MonteCarlo!$B$7*SQRT(MonteCarlo!$B$8))),TRUE)),"")</f>
        <v/>
      </c>
      <c r="AD12" t="str">
        <f ca="1">IFERROR(IF(OR(MonteCarlo!$B$4="C",MonteCarlo!$B$4="c"),AD$1*_xlfn.NORM.S.DIST((LN(AD$1/$A12)+(MonteCarlo!$B$9+(MonteCarlo!$B$7^2)/2)*MonteCarlo!$B$8)/(MonteCarlo!$B$7*SQRT(MonteCarlo!$B$8)),TRUE)-$A12*EXP(-MonteCarlo!$B$9*MonteCarlo!$B$8)*_xlfn.NORM.S.DIST(((LN(AD$1/$A12)+(MonteCarlo!$B$9+(MonteCarlo!$B$7^2)/2)*MonteCarlo!$B$8)/(MonteCarlo!$B$7*SQRT(MonteCarlo!$B$8)))-(MonteCarlo!$B$7*SQRT(MonteCarlo!$B$8)),TRUE),$A12*EXP(-MonteCarlo!$B$9*MonteCarlo!$B$8)*_xlfn.NORM.S.DIST(-(((LN(AD$1/$A12)+(MonteCarlo!$B$9+(MonteCarlo!$B$7^2)/2)*MonteCarlo!$B$8)/(MonteCarlo!$B$7*SQRT(MonteCarlo!$B$8)))-(MonteCarlo!$B$7*SQRT(MonteCarlo!$B$8))),TRUE)-AD$1*_xlfn.NORM.S.DIST(-((LN(AD$1/$A12)+(MonteCarlo!$B$9+(MonteCarlo!$B$7^2)/2)*MonteCarlo!$B$8)/(MonteCarlo!$B$7*SQRT(MonteCarlo!$B$8))),TRUE)),"")</f>
        <v/>
      </c>
      <c r="AE12" t="str">
        <f ca="1">IFERROR(IF(OR(MonteCarlo!$B$4="C",MonteCarlo!$B$4="c"),AE$1*_xlfn.NORM.S.DIST((LN(AE$1/$A12)+(MonteCarlo!$B$9+(MonteCarlo!$B$7^2)/2)*MonteCarlo!$B$8)/(MonteCarlo!$B$7*SQRT(MonteCarlo!$B$8)),TRUE)-$A12*EXP(-MonteCarlo!$B$9*MonteCarlo!$B$8)*_xlfn.NORM.S.DIST(((LN(AE$1/$A12)+(MonteCarlo!$B$9+(MonteCarlo!$B$7^2)/2)*MonteCarlo!$B$8)/(MonteCarlo!$B$7*SQRT(MonteCarlo!$B$8)))-(MonteCarlo!$B$7*SQRT(MonteCarlo!$B$8)),TRUE),$A12*EXP(-MonteCarlo!$B$9*MonteCarlo!$B$8)*_xlfn.NORM.S.DIST(-(((LN(AE$1/$A12)+(MonteCarlo!$B$9+(MonteCarlo!$B$7^2)/2)*MonteCarlo!$B$8)/(MonteCarlo!$B$7*SQRT(MonteCarlo!$B$8)))-(MonteCarlo!$B$7*SQRT(MonteCarlo!$B$8))),TRUE)-AE$1*_xlfn.NORM.S.DIST(-((LN(AE$1/$A12)+(MonteCarlo!$B$9+(MonteCarlo!$B$7^2)/2)*MonteCarlo!$B$8)/(MonteCarlo!$B$7*SQRT(MonteCarlo!$B$8))),TRUE)),"")</f>
        <v/>
      </c>
      <c r="AF12" t="str">
        <f ca="1">IFERROR(IF(OR(MonteCarlo!$B$4="C",MonteCarlo!$B$4="c"),AF$1*_xlfn.NORM.S.DIST((LN(AF$1/$A12)+(MonteCarlo!$B$9+(MonteCarlo!$B$7^2)/2)*MonteCarlo!$B$8)/(MonteCarlo!$B$7*SQRT(MonteCarlo!$B$8)),TRUE)-$A12*EXP(-MonteCarlo!$B$9*MonteCarlo!$B$8)*_xlfn.NORM.S.DIST(((LN(AF$1/$A12)+(MonteCarlo!$B$9+(MonteCarlo!$B$7^2)/2)*MonteCarlo!$B$8)/(MonteCarlo!$B$7*SQRT(MonteCarlo!$B$8)))-(MonteCarlo!$B$7*SQRT(MonteCarlo!$B$8)),TRUE),$A12*EXP(-MonteCarlo!$B$9*MonteCarlo!$B$8)*_xlfn.NORM.S.DIST(-(((LN(AF$1/$A12)+(MonteCarlo!$B$9+(MonteCarlo!$B$7^2)/2)*MonteCarlo!$B$8)/(MonteCarlo!$B$7*SQRT(MonteCarlo!$B$8)))-(MonteCarlo!$B$7*SQRT(MonteCarlo!$B$8))),TRUE)-AF$1*_xlfn.NORM.S.DIST(-((LN(AF$1/$A12)+(MonteCarlo!$B$9+(MonteCarlo!$B$7^2)/2)*MonteCarlo!$B$8)/(MonteCarlo!$B$7*SQRT(MonteCarlo!$B$8))),TRUE)),"")</f>
        <v/>
      </c>
    </row>
    <row r="13" spans="2:32" x14ac:dyDescent="0.25">
      <c r="B13" t="str">
        <f ca="1">IFERROR(IF(OR(MonteCarlo!$B$4="C",MonteCarlo!$B$4="c"),B$1*_xlfn.NORM.S.DIST((LN(B$1/$A13)+(MonteCarlo!$B$9+(MonteCarlo!$B$7^2)/2)*MonteCarlo!$B$8)/(MonteCarlo!$B$7*SQRT(MonteCarlo!$B$8)),TRUE)-$A13*EXP(-MonteCarlo!$B$9*MonteCarlo!$B$8)*_xlfn.NORM.S.DIST(((LN(B$1/$A13)+(MonteCarlo!$B$9+(MonteCarlo!$B$7^2)/2)*MonteCarlo!$B$8)/(MonteCarlo!$B$7*SQRT(MonteCarlo!$B$8)))-(MonteCarlo!$B$7*SQRT(MonteCarlo!$B$8)),TRUE),$A13*EXP(-MonteCarlo!$B$9*MonteCarlo!$B$8)*_xlfn.NORM.S.DIST(-(((LN(B$1/$A13)+(MonteCarlo!$B$9+(MonteCarlo!$B$7^2)/2)*MonteCarlo!$B$8)/(MonteCarlo!$B$7*SQRT(MonteCarlo!$B$8)))-(MonteCarlo!$B$7*SQRT(MonteCarlo!$B$8))),TRUE)-B$1*_xlfn.NORM.S.DIST(-((LN(B$1/$A13)+(MonteCarlo!$B$9+(MonteCarlo!$B$7^2)/2)*MonteCarlo!$B$8)/(MonteCarlo!$B$7*SQRT(MonteCarlo!$B$8))),TRUE)),"")</f>
        <v/>
      </c>
      <c r="C13" t="str">
        <f ca="1">IFERROR(IF(OR(MonteCarlo!$B$4="C",MonteCarlo!$B$4="c"),C$1*_xlfn.NORM.S.DIST((LN(C$1/$A13)+(MonteCarlo!$B$9+(MonteCarlo!$B$7^2)/2)*MonteCarlo!$B$8)/(MonteCarlo!$B$7*SQRT(MonteCarlo!$B$8)),TRUE)-$A13*EXP(-MonteCarlo!$B$9*MonteCarlo!$B$8)*_xlfn.NORM.S.DIST(((LN(C$1/$A13)+(MonteCarlo!$B$9+(MonteCarlo!$B$7^2)/2)*MonteCarlo!$B$8)/(MonteCarlo!$B$7*SQRT(MonteCarlo!$B$8)))-(MonteCarlo!$B$7*SQRT(MonteCarlo!$B$8)),TRUE),$A13*EXP(-MonteCarlo!$B$9*MonteCarlo!$B$8)*_xlfn.NORM.S.DIST(-(((LN(C$1/$A13)+(MonteCarlo!$B$9+(MonteCarlo!$B$7^2)/2)*MonteCarlo!$B$8)/(MonteCarlo!$B$7*SQRT(MonteCarlo!$B$8)))-(MonteCarlo!$B$7*SQRT(MonteCarlo!$B$8))),TRUE)-C$1*_xlfn.NORM.S.DIST(-((LN(C$1/$A13)+(MonteCarlo!$B$9+(MonteCarlo!$B$7^2)/2)*MonteCarlo!$B$8)/(MonteCarlo!$B$7*SQRT(MonteCarlo!$B$8))),TRUE)),"")</f>
        <v/>
      </c>
      <c r="D13" t="str">
        <f ca="1">IFERROR(IF(OR(MonteCarlo!$B$4="C",MonteCarlo!$B$4="c"),D$1*_xlfn.NORM.S.DIST((LN(D$1/$A13)+(MonteCarlo!$B$9+(MonteCarlo!$B$7^2)/2)*MonteCarlo!$B$8)/(MonteCarlo!$B$7*SQRT(MonteCarlo!$B$8)),TRUE)-$A13*EXP(-MonteCarlo!$B$9*MonteCarlo!$B$8)*_xlfn.NORM.S.DIST(((LN(D$1/$A13)+(MonteCarlo!$B$9+(MonteCarlo!$B$7^2)/2)*MonteCarlo!$B$8)/(MonteCarlo!$B$7*SQRT(MonteCarlo!$B$8)))-(MonteCarlo!$B$7*SQRT(MonteCarlo!$B$8)),TRUE),$A13*EXP(-MonteCarlo!$B$9*MonteCarlo!$B$8)*_xlfn.NORM.S.DIST(-(((LN(D$1/$A13)+(MonteCarlo!$B$9+(MonteCarlo!$B$7^2)/2)*MonteCarlo!$B$8)/(MonteCarlo!$B$7*SQRT(MonteCarlo!$B$8)))-(MonteCarlo!$B$7*SQRT(MonteCarlo!$B$8))),TRUE)-D$1*_xlfn.NORM.S.DIST(-((LN(D$1/$A13)+(MonteCarlo!$B$9+(MonteCarlo!$B$7^2)/2)*MonteCarlo!$B$8)/(MonteCarlo!$B$7*SQRT(MonteCarlo!$B$8))),TRUE)),"")</f>
        <v/>
      </c>
      <c r="E13" t="str">
        <f ca="1">IFERROR(IF(OR(MonteCarlo!$B$4="C",MonteCarlo!$B$4="c"),E$1*_xlfn.NORM.S.DIST((LN(E$1/$A13)+(MonteCarlo!$B$9+(MonteCarlo!$B$7^2)/2)*MonteCarlo!$B$8)/(MonteCarlo!$B$7*SQRT(MonteCarlo!$B$8)),TRUE)-$A13*EXP(-MonteCarlo!$B$9*MonteCarlo!$B$8)*_xlfn.NORM.S.DIST(((LN(E$1/$A13)+(MonteCarlo!$B$9+(MonteCarlo!$B$7^2)/2)*MonteCarlo!$B$8)/(MonteCarlo!$B$7*SQRT(MonteCarlo!$B$8)))-(MonteCarlo!$B$7*SQRT(MonteCarlo!$B$8)),TRUE),$A13*EXP(-MonteCarlo!$B$9*MonteCarlo!$B$8)*_xlfn.NORM.S.DIST(-(((LN(E$1/$A13)+(MonteCarlo!$B$9+(MonteCarlo!$B$7^2)/2)*MonteCarlo!$B$8)/(MonteCarlo!$B$7*SQRT(MonteCarlo!$B$8)))-(MonteCarlo!$B$7*SQRT(MonteCarlo!$B$8))),TRUE)-E$1*_xlfn.NORM.S.DIST(-((LN(E$1/$A13)+(MonteCarlo!$B$9+(MonteCarlo!$B$7^2)/2)*MonteCarlo!$B$8)/(MonteCarlo!$B$7*SQRT(MonteCarlo!$B$8))),TRUE)),"")</f>
        <v/>
      </c>
      <c r="F13" t="str">
        <f ca="1">IFERROR(IF(OR(MonteCarlo!$B$4="C",MonteCarlo!$B$4="c"),F$1*_xlfn.NORM.S.DIST((LN(F$1/$A13)+(MonteCarlo!$B$9+(MonteCarlo!$B$7^2)/2)*MonteCarlo!$B$8)/(MonteCarlo!$B$7*SQRT(MonteCarlo!$B$8)),TRUE)-$A13*EXP(-MonteCarlo!$B$9*MonteCarlo!$B$8)*_xlfn.NORM.S.DIST(((LN(F$1/$A13)+(MonteCarlo!$B$9+(MonteCarlo!$B$7^2)/2)*MonteCarlo!$B$8)/(MonteCarlo!$B$7*SQRT(MonteCarlo!$B$8)))-(MonteCarlo!$B$7*SQRT(MonteCarlo!$B$8)),TRUE),$A13*EXP(-MonteCarlo!$B$9*MonteCarlo!$B$8)*_xlfn.NORM.S.DIST(-(((LN(F$1/$A13)+(MonteCarlo!$B$9+(MonteCarlo!$B$7^2)/2)*MonteCarlo!$B$8)/(MonteCarlo!$B$7*SQRT(MonteCarlo!$B$8)))-(MonteCarlo!$B$7*SQRT(MonteCarlo!$B$8))),TRUE)-F$1*_xlfn.NORM.S.DIST(-((LN(F$1/$A13)+(MonteCarlo!$B$9+(MonteCarlo!$B$7^2)/2)*MonteCarlo!$B$8)/(MonteCarlo!$B$7*SQRT(MonteCarlo!$B$8))),TRUE)),"")</f>
        <v/>
      </c>
      <c r="G13" t="str">
        <f ca="1">IFERROR(IF(OR(MonteCarlo!$B$4="C",MonteCarlo!$B$4="c"),G$1*_xlfn.NORM.S.DIST((LN(G$1/$A13)+(MonteCarlo!$B$9+(MonteCarlo!$B$7^2)/2)*MonteCarlo!$B$8)/(MonteCarlo!$B$7*SQRT(MonteCarlo!$B$8)),TRUE)-$A13*EXP(-MonteCarlo!$B$9*MonteCarlo!$B$8)*_xlfn.NORM.S.DIST(((LN(G$1/$A13)+(MonteCarlo!$B$9+(MonteCarlo!$B$7^2)/2)*MonteCarlo!$B$8)/(MonteCarlo!$B$7*SQRT(MonteCarlo!$B$8)))-(MonteCarlo!$B$7*SQRT(MonteCarlo!$B$8)),TRUE),$A13*EXP(-MonteCarlo!$B$9*MonteCarlo!$B$8)*_xlfn.NORM.S.DIST(-(((LN(G$1/$A13)+(MonteCarlo!$B$9+(MonteCarlo!$B$7^2)/2)*MonteCarlo!$B$8)/(MonteCarlo!$B$7*SQRT(MonteCarlo!$B$8)))-(MonteCarlo!$B$7*SQRT(MonteCarlo!$B$8))),TRUE)-G$1*_xlfn.NORM.S.DIST(-((LN(G$1/$A13)+(MonteCarlo!$B$9+(MonteCarlo!$B$7^2)/2)*MonteCarlo!$B$8)/(MonteCarlo!$B$7*SQRT(MonteCarlo!$B$8))),TRUE)),"")</f>
        <v/>
      </c>
      <c r="H13" t="str">
        <f ca="1">IFERROR(IF(OR(MonteCarlo!$B$4="C",MonteCarlo!$B$4="c"),H$1*_xlfn.NORM.S.DIST((LN(H$1/$A13)+(MonteCarlo!$B$9+(MonteCarlo!$B$7^2)/2)*MonteCarlo!$B$8)/(MonteCarlo!$B$7*SQRT(MonteCarlo!$B$8)),TRUE)-$A13*EXP(-MonteCarlo!$B$9*MonteCarlo!$B$8)*_xlfn.NORM.S.DIST(((LN(H$1/$A13)+(MonteCarlo!$B$9+(MonteCarlo!$B$7^2)/2)*MonteCarlo!$B$8)/(MonteCarlo!$B$7*SQRT(MonteCarlo!$B$8)))-(MonteCarlo!$B$7*SQRT(MonteCarlo!$B$8)),TRUE),$A13*EXP(-MonteCarlo!$B$9*MonteCarlo!$B$8)*_xlfn.NORM.S.DIST(-(((LN(H$1/$A13)+(MonteCarlo!$B$9+(MonteCarlo!$B$7^2)/2)*MonteCarlo!$B$8)/(MonteCarlo!$B$7*SQRT(MonteCarlo!$B$8)))-(MonteCarlo!$B$7*SQRT(MonteCarlo!$B$8))),TRUE)-H$1*_xlfn.NORM.S.DIST(-((LN(H$1/$A13)+(MonteCarlo!$B$9+(MonteCarlo!$B$7^2)/2)*MonteCarlo!$B$8)/(MonteCarlo!$B$7*SQRT(MonteCarlo!$B$8))),TRUE)),"")</f>
        <v/>
      </c>
      <c r="I13" t="str">
        <f ca="1">IFERROR(IF(OR(MonteCarlo!$B$4="C",MonteCarlo!$B$4="c"),I$1*_xlfn.NORM.S.DIST((LN(I$1/$A13)+(MonteCarlo!$B$9+(MonteCarlo!$B$7^2)/2)*MonteCarlo!$B$8)/(MonteCarlo!$B$7*SQRT(MonteCarlo!$B$8)),TRUE)-$A13*EXP(-MonteCarlo!$B$9*MonteCarlo!$B$8)*_xlfn.NORM.S.DIST(((LN(I$1/$A13)+(MonteCarlo!$B$9+(MonteCarlo!$B$7^2)/2)*MonteCarlo!$B$8)/(MonteCarlo!$B$7*SQRT(MonteCarlo!$B$8)))-(MonteCarlo!$B$7*SQRT(MonteCarlo!$B$8)),TRUE),$A13*EXP(-MonteCarlo!$B$9*MonteCarlo!$B$8)*_xlfn.NORM.S.DIST(-(((LN(I$1/$A13)+(MonteCarlo!$B$9+(MonteCarlo!$B$7^2)/2)*MonteCarlo!$B$8)/(MonteCarlo!$B$7*SQRT(MonteCarlo!$B$8)))-(MonteCarlo!$B$7*SQRT(MonteCarlo!$B$8))),TRUE)-I$1*_xlfn.NORM.S.DIST(-((LN(I$1/$A13)+(MonteCarlo!$B$9+(MonteCarlo!$B$7^2)/2)*MonteCarlo!$B$8)/(MonteCarlo!$B$7*SQRT(MonteCarlo!$B$8))),TRUE)),"")</f>
        <v/>
      </c>
      <c r="J13" t="str">
        <f ca="1">IFERROR(IF(OR(MonteCarlo!$B$4="C",MonteCarlo!$B$4="c"),J$1*_xlfn.NORM.S.DIST((LN(J$1/$A13)+(MonteCarlo!$B$9+(MonteCarlo!$B$7^2)/2)*MonteCarlo!$B$8)/(MonteCarlo!$B$7*SQRT(MonteCarlo!$B$8)),TRUE)-$A13*EXP(-MonteCarlo!$B$9*MonteCarlo!$B$8)*_xlfn.NORM.S.DIST(((LN(J$1/$A13)+(MonteCarlo!$B$9+(MonteCarlo!$B$7^2)/2)*MonteCarlo!$B$8)/(MonteCarlo!$B$7*SQRT(MonteCarlo!$B$8)))-(MonteCarlo!$B$7*SQRT(MonteCarlo!$B$8)),TRUE),$A13*EXP(-MonteCarlo!$B$9*MonteCarlo!$B$8)*_xlfn.NORM.S.DIST(-(((LN(J$1/$A13)+(MonteCarlo!$B$9+(MonteCarlo!$B$7^2)/2)*MonteCarlo!$B$8)/(MonteCarlo!$B$7*SQRT(MonteCarlo!$B$8)))-(MonteCarlo!$B$7*SQRT(MonteCarlo!$B$8))),TRUE)-J$1*_xlfn.NORM.S.DIST(-((LN(J$1/$A13)+(MonteCarlo!$B$9+(MonteCarlo!$B$7^2)/2)*MonteCarlo!$B$8)/(MonteCarlo!$B$7*SQRT(MonteCarlo!$B$8))),TRUE)),"")</f>
        <v/>
      </c>
      <c r="K13" t="str">
        <f ca="1">IFERROR(IF(OR(MonteCarlo!$B$4="C",MonteCarlo!$B$4="c"),K$1*_xlfn.NORM.S.DIST((LN(K$1/$A13)+(MonteCarlo!$B$9+(MonteCarlo!$B$7^2)/2)*MonteCarlo!$B$8)/(MonteCarlo!$B$7*SQRT(MonteCarlo!$B$8)),TRUE)-$A13*EXP(-MonteCarlo!$B$9*MonteCarlo!$B$8)*_xlfn.NORM.S.DIST(((LN(K$1/$A13)+(MonteCarlo!$B$9+(MonteCarlo!$B$7^2)/2)*MonteCarlo!$B$8)/(MonteCarlo!$B$7*SQRT(MonteCarlo!$B$8)))-(MonteCarlo!$B$7*SQRT(MonteCarlo!$B$8)),TRUE),$A13*EXP(-MonteCarlo!$B$9*MonteCarlo!$B$8)*_xlfn.NORM.S.DIST(-(((LN(K$1/$A13)+(MonteCarlo!$B$9+(MonteCarlo!$B$7^2)/2)*MonteCarlo!$B$8)/(MonteCarlo!$B$7*SQRT(MonteCarlo!$B$8)))-(MonteCarlo!$B$7*SQRT(MonteCarlo!$B$8))),TRUE)-K$1*_xlfn.NORM.S.DIST(-((LN(K$1/$A13)+(MonteCarlo!$B$9+(MonteCarlo!$B$7^2)/2)*MonteCarlo!$B$8)/(MonteCarlo!$B$7*SQRT(MonteCarlo!$B$8))),TRUE)),"")</f>
        <v/>
      </c>
      <c r="L13" t="str">
        <f ca="1">IFERROR(IF(OR(MonteCarlo!$B$4="C",MonteCarlo!$B$4="c"),L$1*_xlfn.NORM.S.DIST((LN(L$1/$A13)+(MonteCarlo!$B$9+(MonteCarlo!$B$7^2)/2)*MonteCarlo!$B$8)/(MonteCarlo!$B$7*SQRT(MonteCarlo!$B$8)),TRUE)-$A13*EXP(-MonteCarlo!$B$9*MonteCarlo!$B$8)*_xlfn.NORM.S.DIST(((LN(L$1/$A13)+(MonteCarlo!$B$9+(MonteCarlo!$B$7^2)/2)*MonteCarlo!$B$8)/(MonteCarlo!$B$7*SQRT(MonteCarlo!$B$8)))-(MonteCarlo!$B$7*SQRT(MonteCarlo!$B$8)),TRUE),$A13*EXP(-MonteCarlo!$B$9*MonteCarlo!$B$8)*_xlfn.NORM.S.DIST(-(((LN(L$1/$A13)+(MonteCarlo!$B$9+(MonteCarlo!$B$7^2)/2)*MonteCarlo!$B$8)/(MonteCarlo!$B$7*SQRT(MonteCarlo!$B$8)))-(MonteCarlo!$B$7*SQRT(MonteCarlo!$B$8))),TRUE)-L$1*_xlfn.NORM.S.DIST(-((LN(L$1/$A13)+(MonteCarlo!$B$9+(MonteCarlo!$B$7^2)/2)*MonteCarlo!$B$8)/(MonteCarlo!$B$7*SQRT(MonteCarlo!$B$8))),TRUE)),"")</f>
        <v/>
      </c>
      <c r="M13" t="str">
        <f ca="1">IFERROR(IF(OR(MonteCarlo!$B$4="C",MonteCarlo!$B$4="c"),M$1*_xlfn.NORM.S.DIST((LN(M$1/$A13)+(MonteCarlo!$B$9+(MonteCarlo!$B$7^2)/2)*MonteCarlo!$B$8)/(MonteCarlo!$B$7*SQRT(MonteCarlo!$B$8)),TRUE)-$A13*EXP(-MonteCarlo!$B$9*MonteCarlo!$B$8)*_xlfn.NORM.S.DIST(((LN(M$1/$A13)+(MonteCarlo!$B$9+(MonteCarlo!$B$7^2)/2)*MonteCarlo!$B$8)/(MonteCarlo!$B$7*SQRT(MonteCarlo!$B$8)))-(MonteCarlo!$B$7*SQRT(MonteCarlo!$B$8)),TRUE),$A13*EXP(-MonteCarlo!$B$9*MonteCarlo!$B$8)*_xlfn.NORM.S.DIST(-(((LN(M$1/$A13)+(MonteCarlo!$B$9+(MonteCarlo!$B$7^2)/2)*MonteCarlo!$B$8)/(MonteCarlo!$B$7*SQRT(MonteCarlo!$B$8)))-(MonteCarlo!$B$7*SQRT(MonteCarlo!$B$8))),TRUE)-M$1*_xlfn.NORM.S.DIST(-((LN(M$1/$A13)+(MonteCarlo!$B$9+(MonteCarlo!$B$7^2)/2)*MonteCarlo!$B$8)/(MonteCarlo!$B$7*SQRT(MonteCarlo!$B$8))),TRUE)),"")</f>
        <v/>
      </c>
      <c r="N13" t="str">
        <f ca="1">IFERROR(IF(OR(MonteCarlo!$B$4="C",MonteCarlo!$B$4="c"),N$1*_xlfn.NORM.S.DIST((LN(N$1/$A13)+(MonteCarlo!$B$9+(MonteCarlo!$B$7^2)/2)*MonteCarlo!$B$8)/(MonteCarlo!$B$7*SQRT(MonteCarlo!$B$8)),TRUE)-$A13*EXP(-MonteCarlo!$B$9*MonteCarlo!$B$8)*_xlfn.NORM.S.DIST(((LN(N$1/$A13)+(MonteCarlo!$B$9+(MonteCarlo!$B$7^2)/2)*MonteCarlo!$B$8)/(MonteCarlo!$B$7*SQRT(MonteCarlo!$B$8)))-(MonteCarlo!$B$7*SQRT(MonteCarlo!$B$8)),TRUE),$A13*EXP(-MonteCarlo!$B$9*MonteCarlo!$B$8)*_xlfn.NORM.S.DIST(-(((LN(N$1/$A13)+(MonteCarlo!$B$9+(MonteCarlo!$B$7^2)/2)*MonteCarlo!$B$8)/(MonteCarlo!$B$7*SQRT(MonteCarlo!$B$8)))-(MonteCarlo!$B$7*SQRT(MonteCarlo!$B$8))),TRUE)-N$1*_xlfn.NORM.S.DIST(-((LN(N$1/$A13)+(MonteCarlo!$B$9+(MonteCarlo!$B$7^2)/2)*MonteCarlo!$B$8)/(MonteCarlo!$B$7*SQRT(MonteCarlo!$B$8))),TRUE)),"")</f>
        <v/>
      </c>
      <c r="O13" t="str">
        <f ca="1">IFERROR(IF(OR(MonteCarlo!$B$4="C",MonteCarlo!$B$4="c"),O$1*_xlfn.NORM.S.DIST((LN(O$1/$A13)+(MonteCarlo!$B$9+(MonteCarlo!$B$7^2)/2)*MonteCarlo!$B$8)/(MonteCarlo!$B$7*SQRT(MonteCarlo!$B$8)),TRUE)-$A13*EXP(-MonteCarlo!$B$9*MonteCarlo!$B$8)*_xlfn.NORM.S.DIST(((LN(O$1/$A13)+(MonteCarlo!$B$9+(MonteCarlo!$B$7^2)/2)*MonteCarlo!$B$8)/(MonteCarlo!$B$7*SQRT(MonteCarlo!$B$8)))-(MonteCarlo!$B$7*SQRT(MonteCarlo!$B$8)),TRUE),$A13*EXP(-MonteCarlo!$B$9*MonteCarlo!$B$8)*_xlfn.NORM.S.DIST(-(((LN(O$1/$A13)+(MonteCarlo!$B$9+(MonteCarlo!$B$7^2)/2)*MonteCarlo!$B$8)/(MonteCarlo!$B$7*SQRT(MonteCarlo!$B$8)))-(MonteCarlo!$B$7*SQRT(MonteCarlo!$B$8))),TRUE)-O$1*_xlfn.NORM.S.DIST(-((LN(O$1/$A13)+(MonteCarlo!$B$9+(MonteCarlo!$B$7^2)/2)*MonteCarlo!$B$8)/(MonteCarlo!$B$7*SQRT(MonteCarlo!$B$8))),TRUE)),"")</f>
        <v/>
      </c>
      <c r="P13" t="str">
        <f ca="1">IFERROR(IF(OR(MonteCarlo!$B$4="C",MonteCarlo!$B$4="c"),P$1*_xlfn.NORM.S.DIST((LN(P$1/$A13)+(MonteCarlo!$B$9+(MonteCarlo!$B$7^2)/2)*MonteCarlo!$B$8)/(MonteCarlo!$B$7*SQRT(MonteCarlo!$B$8)),TRUE)-$A13*EXP(-MonteCarlo!$B$9*MonteCarlo!$B$8)*_xlfn.NORM.S.DIST(((LN(P$1/$A13)+(MonteCarlo!$B$9+(MonteCarlo!$B$7^2)/2)*MonteCarlo!$B$8)/(MonteCarlo!$B$7*SQRT(MonteCarlo!$B$8)))-(MonteCarlo!$B$7*SQRT(MonteCarlo!$B$8)),TRUE),$A13*EXP(-MonteCarlo!$B$9*MonteCarlo!$B$8)*_xlfn.NORM.S.DIST(-(((LN(P$1/$A13)+(MonteCarlo!$B$9+(MonteCarlo!$B$7^2)/2)*MonteCarlo!$B$8)/(MonteCarlo!$B$7*SQRT(MonteCarlo!$B$8)))-(MonteCarlo!$B$7*SQRT(MonteCarlo!$B$8))),TRUE)-P$1*_xlfn.NORM.S.DIST(-((LN(P$1/$A13)+(MonteCarlo!$B$9+(MonteCarlo!$B$7^2)/2)*MonteCarlo!$B$8)/(MonteCarlo!$B$7*SQRT(MonteCarlo!$B$8))),TRUE)),"")</f>
        <v/>
      </c>
      <c r="Q13" t="str">
        <f ca="1">IFERROR(IF(OR(MonteCarlo!$B$4="C",MonteCarlo!$B$4="c"),Q$1*_xlfn.NORM.S.DIST((LN(Q$1/$A13)+(MonteCarlo!$B$9+(MonteCarlo!$B$7^2)/2)*MonteCarlo!$B$8)/(MonteCarlo!$B$7*SQRT(MonteCarlo!$B$8)),TRUE)-$A13*EXP(-MonteCarlo!$B$9*MonteCarlo!$B$8)*_xlfn.NORM.S.DIST(((LN(Q$1/$A13)+(MonteCarlo!$B$9+(MonteCarlo!$B$7^2)/2)*MonteCarlo!$B$8)/(MonteCarlo!$B$7*SQRT(MonteCarlo!$B$8)))-(MonteCarlo!$B$7*SQRT(MonteCarlo!$B$8)),TRUE),$A13*EXP(-MonteCarlo!$B$9*MonteCarlo!$B$8)*_xlfn.NORM.S.DIST(-(((LN(Q$1/$A13)+(MonteCarlo!$B$9+(MonteCarlo!$B$7^2)/2)*MonteCarlo!$B$8)/(MonteCarlo!$B$7*SQRT(MonteCarlo!$B$8)))-(MonteCarlo!$B$7*SQRT(MonteCarlo!$B$8))),TRUE)-Q$1*_xlfn.NORM.S.DIST(-((LN(Q$1/$A13)+(MonteCarlo!$B$9+(MonteCarlo!$B$7^2)/2)*MonteCarlo!$B$8)/(MonteCarlo!$B$7*SQRT(MonteCarlo!$B$8))),TRUE)),"")</f>
        <v/>
      </c>
      <c r="R13" t="str">
        <f ca="1">IFERROR(IF(OR(MonteCarlo!$B$4="C",MonteCarlo!$B$4="c"),R$1*_xlfn.NORM.S.DIST((LN(R$1/$A13)+(MonteCarlo!$B$9+(MonteCarlo!$B$7^2)/2)*MonteCarlo!$B$8)/(MonteCarlo!$B$7*SQRT(MonteCarlo!$B$8)),TRUE)-$A13*EXP(-MonteCarlo!$B$9*MonteCarlo!$B$8)*_xlfn.NORM.S.DIST(((LN(R$1/$A13)+(MonteCarlo!$B$9+(MonteCarlo!$B$7^2)/2)*MonteCarlo!$B$8)/(MonteCarlo!$B$7*SQRT(MonteCarlo!$B$8)))-(MonteCarlo!$B$7*SQRT(MonteCarlo!$B$8)),TRUE),$A13*EXP(-MonteCarlo!$B$9*MonteCarlo!$B$8)*_xlfn.NORM.S.DIST(-(((LN(R$1/$A13)+(MonteCarlo!$B$9+(MonteCarlo!$B$7^2)/2)*MonteCarlo!$B$8)/(MonteCarlo!$B$7*SQRT(MonteCarlo!$B$8)))-(MonteCarlo!$B$7*SQRT(MonteCarlo!$B$8))),TRUE)-R$1*_xlfn.NORM.S.DIST(-((LN(R$1/$A13)+(MonteCarlo!$B$9+(MonteCarlo!$B$7^2)/2)*MonteCarlo!$B$8)/(MonteCarlo!$B$7*SQRT(MonteCarlo!$B$8))),TRUE)),"")</f>
        <v/>
      </c>
      <c r="S13" t="str">
        <f ca="1">IFERROR(IF(OR(MonteCarlo!$B$4="C",MonteCarlo!$B$4="c"),S$1*_xlfn.NORM.S.DIST((LN(S$1/$A13)+(MonteCarlo!$B$9+(MonteCarlo!$B$7^2)/2)*MonteCarlo!$B$8)/(MonteCarlo!$B$7*SQRT(MonteCarlo!$B$8)),TRUE)-$A13*EXP(-MonteCarlo!$B$9*MonteCarlo!$B$8)*_xlfn.NORM.S.DIST(((LN(S$1/$A13)+(MonteCarlo!$B$9+(MonteCarlo!$B$7^2)/2)*MonteCarlo!$B$8)/(MonteCarlo!$B$7*SQRT(MonteCarlo!$B$8)))-(MonteCarlo!$B$7*SQRT(MonteCarlo!$B$8)),TRUE),$A13*EXP(-MonteCarlo!$B$9*MonteCarlo!$B$8)*_xlfn.NORM.S.DIST(-(((LN(S$1/$A13)+(MonteCarlo!$B$9+(MonteCarlo!$B$7^2)/2)*MonteCarlo!$B$8)/(MonteCarlo!$B$7*SQRT(MonteCarlo!$B$8)))-(MonteCarlo!$B$7*SQRT(MonteCarlo!$B$8))),TRUE)-S$1*_xlfn.NORM.S.DIST(-((LN(S$1/$A13)+(MonteCarlo!$B$9+(MonteCarlo!$B$7^2)/2)*MonteCarlo!$B$8)/(MonteCarlo!$B$7*SQRT(MonteCarlo!$B$8))),TRUE)),"")</f>
        <v/>
      </c>
      <c r="T13" t="str">
        <f ca="1">IFERROR(IF(OR(MonteCarlo!$B$4="C",MonteCarlo!$B$4="c"),T$1*_xlfn.NORM.S.DIST((LN(T$1/$A13)+(MonteCarlo!$B$9+(MonteCarlo!$B$7^2)/2)*MonteCarlo!$B$8)/(MonteCarlo!$B$7*SQRT(MonteCarlo!$B$8)),TRUE)-$A13*EXP(-MonteCarlo!$B$9*MonteCarlo!$B$8)*_xlfn.NORM.S.DIST(((LN(T$1/$A13)+(MonteCarlo!$B$9+(MonteCarlo!$B$7^2)/2)*MonteCarlo!$B$8)/(MonteCarlo!$B$7*SQRT(MonteCarlo!$B$8)))-(MonteCarlo!$B$7*SQRT(MonteCarlo!$B$8)),TRUE),$A13*EXP(-MonteCarlo!$B$9*MonteCarlo!$B$8)*_xlfn.NORM.S.DIST(-(((LN(T$1/$A13)+(MonteCarlo!$B$9+(MonteCarlo!$B$7^2)/2)*MonteCarlo!$B$8)/(MonteCarlo!$B$7*SQRT(MonteCarlo!$B$8)))-(MonteCarlo!$B$7*SQRT(MonteCarlo!$B$8))),TRUE)-T$1*_xlfn.NORM.S.DIST(-((LN(T$1/$A13)+(MonteCarlo!$B$9+(MonteCarlo!$B$7^2)/2)*MonteCarlo!$B$8)/(MonteCarlo!$B$7*SQRT(MonteCarlo!$B$8))),TRUE)),"")</f>
        <v/>
      </c>
      <c r="U13" t="str">
        <f ca="1">IFERROR(IF(OR(MonteCarlo!$B$4="C",MonteCarlo!$B$4="c"),U$1*_xlfn.NORM.S.DIST((LN(U$1/$A13)+(MonteCarlo!$B$9+(MonteCarlo!$B$7^2)/2)*MonteCarlo!$B$8)/(MonteCarlo!$B$7*SQRT(MonteCarlo!$B$8)),TRUE)-$A13*EXP(-MonteCarlo!$B$9*MonteCarlo!$B$8)*_xlfn.NORM.S.DIST(((LN(U$1/$A13)+(MonteCarlo!$B$9+(MonteCarlo!$B$7^2)/2)*MonteCarlo!$B$8)/(MonteCarlo!$B$7*SQRT(MonteCarlo!$B$8)))-(MonteCarlo!$B$7*SQRT(MonteCarlo!$B$8)),TRUE),$A13*EXP(-MonteCarlo!$B$9*MonteCarlo!$B$8)*_xlfn.NORM.S.DIST(-(((LN(U$1/$A13)+(MonteCarlo!$B$9+(MonteCarlo!$B$7^2)/2)*MonteCarlo!$B$8)/(MonteCarlo!$B$7*SQRT(MonteCarlo!$B$8)))-(MonteCarlo!$B$7*SQRT(MonteCarlo!$B$8))),TRUE)-U$1*_xlfn.NORM.S.DIST(-((LN(U$1/$A13)+(MonteCarlo!$B$9+(MonteCarlo!$B$7^2)/2)*MonteCarlo!$B$8)/(MonteCarlo!$B$7*SQRT(MonteCarlo!$B$8))),TRUE)),"")</f>
        <v/>
      </c>
      <c r="V13" t="str">
        <f ca="1">IFERROR(IF(OR(MonteCarlo!$B$4="C",MonteCarlo!$B$4="c"),V$1*_xlfn.NORM.S.DIST((LN(V$1/$A13)+(MonteCarlo!$B$9+(MonteCarlo!$B$7^2)/2)*MonteCarlo!$B$8)/(MonteCarlo!$B$7*SQRT(MonteCarlo!$B$8)),TRUE)-$A13*EXP(-MonteCarlo!$B$9*MonteCarlo!$B$8)*_xlfn.NORM.S.DIST(((LN(V$1/$A13)+(MonteCarlo!$B$9+(MonteCarlo!$B$7^2)/2)*MonteCarlo!$B$8)/(MonteCarlo!$B$7*SQRT(MonteCarlo!$B$8)))-(MonteCarlo!$B$7*SQRT(MonteCarlo!$B$8)),TRUE),$A13*EXP(-MonteCarlo!$B$9*MonteCarlo!$B$8)*_xlfn.NORM.S.DIST(-(((LN(V$1/$A13)+(MonteCarlo!$B$9+(MonteCarlo!$B$7^2)/2)*MonteCarlo!$B$8)/(MonteCarlo!$B$7*SQRT(MonteCarlo!$B$8)))-(MonteCarlo!$B$7*SQRT(MonteCarlo!$B$8))),TRUE)-V$1*_xlfn.NORM.S.DIST(-((LN(V$1/$A13)+(MonteCarlo!$B$9+(MonteCarlo!$B$7^2)/2)*MonteCarlo!$B$8)/(MonteCarlo!$B$7*SQRT(MonteCarlo!$B$8))),TRUE)),"")</f>
        <v/>
      </c>
      <c r="W13" t="str">
        <f ca="1">IFERROR(IF(OR(MonteCarlo!$B$4="C",MonteCarlo!$B$4="c"),W$1*_xlfn.NORM.S.DIST((LN(W$1/$A13)+(MonteCarlo!$B$9+(MonteCarlo!$B$7^2)/2)*MonteCarlo!$B$8)/(MonteCarlo!$B$7*SQRT(MonteCarlo!$B$8)),TRUE)-$A13*EXP(-MonteCarlo!$B$9*MonteCarlo!$B$8)*_xlfn.NORM.S.DIST(((LN(W$1/$A13)+(MonteCarlo!$B$9+(MonteCarlo!$B$7^2)/2)*MonteCarlo!$B$8)/(MonteCarlo!$B$7*SQRT(MonteCarlo!$B$8)))-(MonteCarlo!$B$7*SQRT(MonteCarlo!$B$8)),TRUE),$A13*EXP(-MonteCarlo!$B$9*MonteCarlo!$B$8)*_xlfn.NORM.S.DIST(-(((LN(W$1/$A13)+(MonteCarlo!$B$9+(MonteCarlo!$B$7^2)/2)*MonteCarlo!$B$8)/(MonteCarlo!$B$7*SQRT(MonteCarlo!$B$8)))-(MonteCarlo!$B$7*SQRT(MonteCarlo!$B$8))),TRUE)-W$1*_xlfn.NORM.S.DIST(-((LN(W$1/$A13)+(MonteCarlo!$B$9+(MonteCarlo!$B$7^2)/2)*MonteCarlo!$B$8)/(MonteCarlo!$B$7*SQRT(MonteCarlo!$B$8))),TRUE)),"")</f>
        <v/>
      </c>
      <c r="X13" t="str">
        <f ca="1">IFERROR(IF(OR(MonteCarlo!$B$4="C",MonteCarlo!$B$4="c"),X$1*_xlfn.NORM.S.DIST((LN(X$1/$A13)+(MonteCarlo!$B$9+(MonteCarlo!$B$7^2)/2)*MonteCarlo!$B$8)/(MonteCarlo!$B$7*SQRT(MonteCarlo!$B$8)),TRUE)-$A13*EXP(-MonteCarlo!$B$9*MonteCarlo!$B$8)*_xlfn.NORM.S.DIST(((LN(X$1/$A13)+(MonteCarlo!$B$9+(MonteCarlo!$B$7^2)/2)*MonteCarlo!$B$8)/(MonteCarlo!$B$7*SQRT(MonteCarlo!$B$8)))-(MonteCarlo!$B$7*SQRT(MonteCarlo!$B$8)),TRUE),$A13*EXP(-MonteCarlo!$B$9*MonteCarlo!$B$8)*_xlfn.NORM.S.DIST(-(((LN(X$1/$A13)+(MonteCarlo!$B$9+(MonteCarlo!$B$7^2)/2)*MonteCarlo!$B$8)/(MonteCarlo!$B$7*SQRT(MonteCarlo!$B$8)))-(MonteCarlo!$B$7*SQRT(MonteCarlo!$B$8))),TRUE)-X$1*_xlfn.NORM.S.DIST(-((LN(X$1/$A13)+(MonteCarlo!$B$9+(MonteCarlo!$B$7^2)/2)*MonteCarlo!$B$8)/(MonteCarlo!$B$7*SQRT(MonteCarlo!$B$8))),TRUE)),"")</f>
        <v/>
      </c>
      <c r="Y13" t="str">
        <f ca="1">IFERROR(IF(OR(MonteCarlo!$B$4="C",MonteCarlo!$B$4="c"),Y$1*_xlfn.NORM.S.DIST((LN(Y$1/$A13)+(MonteCarlo!$B$9+(MonteCarlo!$B$7^2)/2)*MonteCarlo!$B$8)/(MonteCarlo!$B$7*SQRT(MonteCarlo!$B$8)),TRUE)-$A13*EXP(-MonteCarlo!$B$9*MonteCarlo!$B$8)*_xlfn.NORM.S.DIST(((LN(Y$1/$A13)+(MonteCarlo!$B$9+(MonteCarlo!$B$7^2)/2)*MonteCarlo!$B$8)/(MonteCarlo!$B$7*SQRT(MonteCarlo!$B$8)))-(MonteCarlo!$B$7*SQRT(MonteCarlo!$B$8)),TRUE),$A13*EXP(-MonteCarlo!$B$9*MonteCarlo!$B$8)*_xlfn.NORM.S.DIST(-(((LN(Y$1/$A13)+(MonteCarlo!$B$9+(MonteCarlo!$B$7^2)/2)*MonteCarlo!$B$8)/(MonteCarlo!$B$7*SQRT(MonteCarlo!$B$8)))-(MonteCarlo!$B$7*SQRT(MonteCarlo!$B$8))),TRUE)-Y$1*_xlfn.NORM.S.DIST(-((LN(Y$1/$A13)+(MonteCarlo!$B$9+(MonteCarlo!$B$7^2)/2)*MonteCarlo!$B$8)/(MonteCarlo!$B$7*SQRT(MonteCarlo!$B$8))),TRUE)),"")</f>
        <v/>
      </c>
      <c r="Z13" t="str">
        <f ca="1">IFERROR(IF(OR(MonteCarlo!$B$4="C",MonteCarlo!$B$4="c"),Z$1*_xlfn.NORM.S.DIST((LN(Z$1/$A13)+(MonteCarlo!$B$9+(MonteCarlo!$B$7^2)/2)*MonteCarlo!$B$8)/(MonteCarlo!$B$7*SQRT(MonteCarlo!$B$8)),TRUE)-$A13*EXP(-MonteCarlo!$B$9*MonteCarlo!$B$8)*_xlfn.NORM.S.DIST(((LN(Z$1/$A13)+(MonteCarlo!$B$9+(MonteCarlo!$B$7^2)/2)*MonteCarlo!$B$8)/(MonteCarlo!$B$7*SQRT(MonteCarlo!$B$8)))-(MonteCarlo!$B$7*SQRT(MonteCarlo!$B$8)),TRUE),$A13*EXP(-MonteCarlo!$B$9*MonteCarlo!$B$8)*_xlfn.NORM.S.DIST(-(((LN(Z$1/$A13)+(MonteCarlo!$B$9+(MonteCarlo!$B$7^2)/2)*MonteCarlo!$B$8)/(MonteCarlo!$B$7*SQRT(MonteCarlo!$B$8)))-(MonteCarlo!$B$7*SQRT(MonteCarlo!$B$8))),TRUE)-Z$1*_xlfn.NORM.S.DIST(-((LN(Z$1/$A13)+(MonteCarlo!$B$9+(MonteCarlo!$B$7^2)/2)*MonteCarlo!$B$8)/(MonteCarlo!$B$7*SQRT(MonteCarlo!$B$8))),TRUE)),"")</f>
        <v/>
      </c>
      <c r="AA13" t="str">
        <f ca="1">IFERROR(IF(OR(MonteCarlo!$B$4="C",MonteCarlo!$B$4="c"),AA$1*_xlfn.NORM.S.DIST((LN(AA$1/$A13)+(MonteCarlo!$B$9+(MonteCarlo!$B$7^2)/2)*MonteCarlo!$B$8)/(MonteCarlo!$B$7*SQRT(MonteCarlo!$B$8)),TRUE)-$A13*EXP(-MonteCarlo!$B$9*MonteCarlo!$B$8)*_xlfn.NORM.S.DIST(((LN(AA$1/$A13)+(MonteCarlo!$B$9+(MonteCarlo!$B$7^2)/2)*MonteCarlo!$B$8)/(MonteCarlo!$B$7*SQRT(MonteCarlo!$B$8)))-(MonteCarlo!$B$7*SQRT(MonteCarlo!$B$8)),TRUE),$A13*EXP(-MonteCarlo!$B$9*MonteCarlo!$B$8)*_xlfn.NORM.S.DIST(-(((LN(AA$1/$A13)+(MonteCarlo!$B$9+(MonteCarlo!$B$7^2)/2)*MonteCarlo!$B$8)/(MonteCarlo!$B$7*SQRT(MonteCarlo!$B$8)))-(MonteCarlo!$B$7*SQRT(MonteCarlo!$B$8))),TRUE)-AA$1*_xlfn.NORM.S.DIST(-((LN(AA$1/$A13)+(MonteCarlo!$B$9+(MonteCarlo!$B$7^2)/2)*MonteCarlo!$B$8)/(MonteCarlo!$B$7*SQRT(MonteCarlo!$B$8))),TRUE)),"")</f>
        <v/>
      </c>
      <c r="AB13" t="str">
        <f ca="1">IFERROR(IF(OR(MonteCarlo!$B$4="C",MonteCarlo!$B$4="c"),AB$1*_xlfn.NORM.S.DIST((LN(AB$1/$A13)+(MonteCarlo!$B$9+(MonteCarlo!$B$7^2)/2)*MonteCarlo!$B$8)/(MonteCarlo!$B$7*SQRT(MonteCarlo!$B$8)),TRUE)-$A13*EXP(-MonteCarlo!$B$9*MonteCarlo!$B$8)*_xlfn.NORM.S.DIST(((LN(AB$1/$A13)+(MonteCarlo!$B$9+(MonteCarlo!$B$7^2)/2)*MonteCarlo!$B$8)/(MonteCarlo!$B$7*SQRT(MonteCarlo!$B$8)))-(MonteCarlo!$B$7*SQRT(MonteCarlo!$B$8)),TRUE),$A13*EXP(-MonteCarlo!$B$9*MonteCarlo!$B$8)*_xlfn.NORM.S.DIST(-(((LN(AB$1/$A13)+(MonteCarlo!$B$9+(MonteCarlo!$B$7^2)/2)*MonteCarlo!$B$8)/(MonteCarlo!$B$7*SQRT(MonteCarlo!$B$8)))-(MonteCarlo!$B$7*SQRT(MonteCarlo!$B$8))),TRUE)-AB$1*_xlfn.NORM.S.DIST(-((LN(AB$1/$A13)+(MonteCarlo!$B$9+(MonteCarlo!$B$7^2)/2)*MonteCarlo!$B$8)/(MonteCarlo!$B$7*SQRT(MonteCarlo!$B$8))),TRUE)),"")</f>
        <v/>
      </c>
      <c r="AC13" t="str">
        <f ca="1">IFERROR(IF(OR(MonteCarlo!$B$4="C",MonteCarlo!$B$4="c"),AC$1*_xlfn.NORM.S.DIST((LN(AC$1/$A13)+(MonteCarlo!$B$9+(MonteCarlo!$B$7^2)/2)*MonteCarlo!$B$8)/(MonteCarlo!$B$7*SQRT(MonteCarlo!$B$8)),TRUE)-$A13*EXP(-MonteCarlo!$B$9*MonteCarlo!$B$8)*_xlfn.NORM.S.DIST(((LN(AC$1/$A13)+(MonteCarlo!$B$9+(MonteCarlo!$B$7^2)/2)*MonteCarlo!$B$8)/(MonteCarlo!$B$7*SQRT(MonteCarlo!$B$8)))-(MonteCarlo!$B$7*SQRT(MonteCarlo!$B$8)),TRUE),$A13*EXP(-MonteCarlo!$B$9*MonteCarlo!$B$8)*_xlfn.NORM.S.DIST(-(((LN(AC$1/$A13)+(MonteCarlo!$B$9+(MonteCarlo!$B$7^2)/2)*MonteCarlo!$B$8)/(MonteCarlo!$B$7*SQRT(MonteCarlo!$B$8)))-(MonteCarlo!$B$7*SQRT(MonteCarlo!$B$8))),TRUE)-AC$1*_xlfn.NORM.S.DIST(-((LN(AC$1/$A13)+(MonteCarlo!$B$9+(MonteCarlo!$B$7^2)/2)*MonteCarlo!$B$8)/(MonteCarlo!$B$7*SQRT(MonteCarlo!$B$8))),TRUE)),"")</f>
        <v/>
      </c>
      <c r="AD13" t="str">
        <f ca="1">IFERROR(IF(OR(MonteCarlo!$B$4="C",MonteCarlo!$B$4="c"),AD$1*_xlfn.NORM.S.DIST((LN(AD$1/$A13)+(MonteCarlo!$B$9+(MonteCarlo!$B$7^2)/2)*MonteCarlo!$B$8)/(MonteCarlo!$B$7*SQRT(MonteCarlo!$B$8)),TRUE)-$A13*EXP(-MonteCarlo!$B$9*MonteCarlo!$B$8)*_xlfn.NORM.S.DIST(((LN(AD$1/$A13)+(MonteCarlo!$B$9+(MonteCarlo!$B$7^2)/2)*MonteCarlo!$B$8)/(MonteCarlo!$B$7*SQRT(MonteCarlo!$B$8)))-(MonteCarlo!$B$7*SQRT(MonteCarlo!$B$8)),TRUE),$A13*EXP(-MonteCarlo!$B$9*MonteCarlo!$B$8)*_xlfn.NORM.S.DIST(-(((LN(AD$1/$A13)+(MonteCarlo!$B$9+(MonteCarlo!$B$7^2)/2)*MonteCarlo!$B$8)/(MonteCarlo!$B$7*SQRT(MonteCarlo!$B$8)))-(MonteCarlo!$B$7*SQRT(MonteCarlo!$B$8))),TRUE)-AD$1*_xlfn.NORM.S.DIST(-((LN(AD$1/$A13)+(MonteCarlo!$B$9+(MonteCarlo!$B$7^2)/2)*MonteCarlo!$B$8)/(MonteCarlo!$B$7*SQRT(MonteCarlo!$B$8))),TRUE)),"")</f>
        <v/>
      </c>
      <c r="AE13" t="str">
        <f ca="1">IFERROR(IF(OR(MonteCarlo!$B$4="C",MonteCarlo!$B$4="c"),AE$1*_xlfn.NORM.S.DIST((LN(AE$1/$A13)+(MonteCarlo!$B$9+(MonteCarlo!$B$7^2)/2)*MonteCarlo!$B$8)/(MonteCarlo!$B$7*SQRT(MonteCarlo!$B$8)),TRUE)-$A13*EXP(-MonteCarlo!$B$9*MonteCarlo!$B$8)*_xlfn.NORM.S.DIST(((LN(AE$1/$A13)+(MonteCarlo!$B$9+(MonteCarlo!$B$7^2)/2)*MonteCarlo!$B$8)/(MonteCarlo!$B$7*SQRT(MonteCarlo!$B$8)))-(MonteCarlo!$B$7*SQRT(MonteCarlo!$B$8)),TRUE),$A13*EXP(-MonteCarlo!$B$9*MonteCarlo!$B$8)*_xlfn.NORM.S.DIST(-(((LN(AE$1/$A13)+(MonteCarlo!$B$9+(MonteCarlo!$B$7^2)/2)*MonteCarlo!$B$8)/(MonteCarlo!$B$7*SQRT(MonteCarlo!$B$8)))-(MonteCarlo!$B$7*SQRT(MonteCarlo!$B$8))),TRUE)-AE$1*_xlfn.NORM.S.DIST(-((LN(AE$1/$A13)+(MonteCarlo!$B$9+(MonteCarlo!$B$7^2)/2)*MonteCarlo!$B$8)/(MonteCarlo!$B$7*SQRT(MonteCarlo!$B$8))),TRUE)),"")</f>
        <v/>
      </c>
      <c r="AF13" t="str">
        <f ca="1">IFERROR(IF(OR(MonteCarlo!$B$4="C",MonteCarlo!$B$4="c"),AF$1*_xlfn.NORM.S.DIST((LN(AF$1/$A13)+(MonteCarlo!$B$9+(MonteCarlo!$B$7^2)/2)*MonteCarlo!$B$8)/(MonteCarlo!$B$7*SQRT(MonteCarlo!$B$8)),TRUE)-$A13*EXP(-MonteCarlo!$B$9*MonteCarlo!$B$8)*_xlfn.NORM.S.DIST(((LN(AF$1/$A13)+(MonteCarlo!$B$9+(MonteCarlo!$B$7^2)/2)*MonteCarlo!$B$8)/(MonteCarlo!$B$7*SQRT(MonteCarlo!$B$8)))-(MonteCarlo!$B$7*SQRT(MonteCarlo!$B$8)),TRUE),$A13*EXP(-MonteCarlo!$B$9*MonteCarlo!$B$8)*_xlfn.NORM.S.DIST(-(((LN(AF$1/$A13)+(MonteCarlo!$B$9+(MonteCarlo!$B$7^2)/2)*MonteCarlo!$B$8)/(MonteCarlo!$B$7*SQRT(MonteCarlo!$B$8)))-(MonteCarlo!$B$7*SQRT(MonteCarlo!$B$8))),TRUE)-AF$1*_xlfn.NORM.S.DIST(-((LN(AF$1/$A13)+(MonteCarlo!$B$9+(MonteCarlo!$B$7^2)/2)*MonteCarlo!$B$8)/(MonteCarlo!$B$7*SQRT(MonteCarlo!$B$8))),TRUE)),"")</f>
        <v/>
      </c>
    </row>
    <row r="14" spans="2:32" x14ac:dyDescent="0.25">
      <c r="B14" t="str">
        <f ca="1">IFERROR(IF(OR(MonteCarlo!$B$4="C",MonteCarlo!$B$4="c"),B$1*_xlfn.NORM.S.DIST((LN(B$1/$A14)+(MonteCarlo!$B$9+(MonteCarlo!$B$7^2)/2)*MonteCarlo!$B$8)/(MonteCarlo!$B$7*SQRT(MonteCarlo!$B$8)),TRUE)-$A14*EXP(-MonteCarlo!$B$9*MonteCarlo!$B$8)*_xlfn.NORM.S.DIST(((LN(B$1/$A14)+(MonteCarlo!$B$9+(MonteCarlo!$B$7^2)/2)*MonteCarlo!$B$8)/(MonteCarlo!$B$7*SQRT(MonteCarlo!$B$8)))-(MonteCarlo!$B$7*SQRT(MonteCarlo!$B$8)),TRUE),$A14*EXP(-MonteCarlo!$B$9*MonteCarlo!$B$8)*_xlfn.NORM.S.DIST(-(((LN(B$1/$A14)+(MonteCarlo!$B$9+(MonteCarlo!$B$7^2)/2)*MonteCarlo!$B$8)/(MonteCarlo!$B$7*SQRT(MonteCarlo!$B$8)))-(MonteCarlo!$B$7*SQRT(MonteCarlo!$B$8))),TRUE)-B$1*_xlfn.NORM.S.DIST(-((LN(B$1/$A14)+(MonteCarlo!$B$9+(MonteCarlo!$B$7^2)/2)*MonteCarlo!$B$8)/(MonteCarlo!$B$7*SQRT(MonteCarlo!$B$8))),TRUE)),"")</f>
        <v/>
      </c>
      <c r="C14" t="str">
        <f ca="1">IFERROR(IF(OR(MonteCarlo!$B$4="C",MonteCarlo!$B$4="c"),C$1*_xlfn.NORM.S.DIST((LN(C$1/$A14)+(MonteCarlo!$B$9+(MonteCarlo!$B$7^2)/2)*MonteCarlo!$B$8)/(MonteCarlo!$B$7*SQRT(MonteCarlo!$B$8)),TRUE)-$A14*EXP(-MonteCarlo!$B$9*MonteCarlo!$B$8)*_xlfn.NORM.S.DIST(((LN(C$1/$A14)+(MonteCarlo!$B$9+(MonteCarlo!$B$7^2)/2)*MonteCarlo!$B$8)/(MonteCarlo!$B$7*SQRT(MonteCarlo!$B$8)))-(MonteCarlo!$B$7*SQRT(MonteCarlo!$B$8)),TRUE),$A14*EXP(-MonteCarlo!$B$9*MonteCarlo!$B$8)*_xlfn.NORM.S.DIST(-(((LN(C$1/$A14)+(MonteCarlo!$B$9+(MonteCarlo!$B$7^2)/2)*MonteCarlo!$B$8)/(MonteCarlo!$B$7*SQRT(MonteCarlo!$B$8)))-(MonteCarlo!$B$7*SQRT(MonteCarlo!$B$8))),TRUE)-C$1*_xlfn.NORM.S.DIST(-((LN(C$1/$A14)+(MonteCarlo!$B$9+(MonteCarlo!$B$7^2)/2)*MonteCarlo!$B$8)/(MonteCarlo!$B$7*SQRT(MonteCarlo!$B$8))),TRUE)),"")</f>
        <v/>
      </c>
      <c r="D14" t="str">
        <f ca="1">IFERROR(IF(OR(MonteCarlo!$B$4="C",MonteCarlo!$B$4="c"),D$1*_xlfn.NORM.S.DIST((LN(D$1/$A14)+(MonteCarlo!$B$9+(MonteCarlo!$B$7^2)/2)*MonteCarlo!$B$8)/(MonteCarlo!$B$7*SQRT(MonteCarlo!$B$8)),TRUE)-$A14*EXP(-MonteCarlo!$B$9*MonteCarlo!$B$8)*_xlfn.NORM.S.DIST(((LN(D$1/$A14)+(MonteCarlo!$B$9+(MonteCarlo!$B$7^2)/2)*MonteCarlo!$B$8)/(MonteCarlo!$B$7*SQRT(MonteCarlo!$B$8)))-(MonteCarlo!$B$7*SQRT(MonteCarlo!$B$8)),TRUE),$A14*EXP(-MonteCarlo!$B$9*MonteCarlo!$B$8)*_xlfn.NORM.S.DIST(-(((LN(D$1/$A14)+(MonteCarlo!$B$9+(MonteCarlo!$B$7^2)/2)*MonteCarlo!$B$8)/(MonteCarlo!$B$7*SQRT(MonteCarlo!$B$8)))-(MonteCarlo!$B$7*SQRT(MonteCarlo!$B$8))),TRUE)-D$1*_xlfn.NORM.S.DIST(-((LN(D$1/$A14)+(MonteCarlo!$B$9+(MonteCarlo!$B$7^2)/2)*MonteCarlo!$B$8)/(MonteCarlo!$B$7*SQRT(MonteCarlo!$B$8))),TRUE)),"")</f>
        <v/>
      </c>
      <c r="E14" t="str">
        <f ca="1">IFERROR(IF(OR(MonteCarlo!$B$4="C",MonteCarlo!$B$4="c"),E$1*_xlfn.NORM.S.DIST((LN(E$1/$A14)+(MonteCarlo!$B$9+(MonteCarlo!$B$7^2)/2)*MonteCarlo!$B$8)/(MonteCarlo!$B$7*SQRT(MonteCarlo!$B$8)),TRUE)-$A14*EXP(-MonteCarlo!$B$9*MonteCarlo!$B$8)*_xlfn.NORM.S.DIST(((LN(E$1/$A14)+(MonteCarlo!$B$9+(MonteCarlo!$B$7^2)/2)*MonteCarlo!$B$8)/(MonteCarlo!$B$7*SQRT(MonteCarlo!$B$8)))-(MonteCarlo!$B$7*SQRT(MonteCarlo!$B$8)),TRUE),$A14*EXP(-MonteCarlo!$B$9*MonteCarlo!$B$8)*_xlfn.NORM.S.DIST(-(((LN(E$1/$A14)+(MonteCarlo!$B$9+(MonteCarlo!$B$7^2)/2)*MonteCarlo!$B$8)/(MonteCarlo!$B$7*SQRT(MonteCarlo!$B$8)))-(MonteCarlo!$B$7*SQRT(MonteCarlo!$B$8))),TRUE)-E$1*_xlfn.NORM.S.DIST(-((LN(E$1/$A14)+(MonteCarlo!$B$9+(MonteCarlo!$B$7^2)/2)*MonteCarlo!$B$8)/(MonteCarlo!$B$7*SQRT(MonteCarlo!$B$8))),TRUE)),"")</f>
        <v/>
      </c>
      <c r="F14" t="str">
        <f ca="1">IFERROR(IF(OR(MonteCarlo!$B$4="C",MonteCarlo!$B$4="c"),F$1*_xlfn.NORM.S.DIST((LN(F$1/$A14)+(MonteCarlo!$B$9+(MonteCarlo!$B$7^2)/2)*MonteCarlo!$B$8)/(MonteCarlo!$B$7*SQRT(MonteCarlo!$B$8)),TRUE)-$A14*EXP(-MonteCarlo!$B$9*MonteCarlo!$B$8)*_xlfn.NORM.S.DIST(((LN(F$1/$A14)+(MonteCarlo!$B$9+(MonteCarlo!$B$7^2)/2)*MonteCarlo!$B$8)/(MonteCarlo!$B$7*SQRT(MonteCarlo!$B$8)))-(MonteCarlo!$B$7*SQRT(MonteCarlo!$B$8)),TRUE),$A14*EXP(-MonteCarlo!$B$9*MonteCarlo!$B$8)*_xlfn.NORM.S.DIST(-(((LN(F$1/$A14)+(MonteCarlo!$B$9+(MonteCarlo!$B$7^2)/2)*MonteCarlo!$B$8)/(MonteCarlo!$B$7*SQRT(MonteCarlo!$B$8)))-(MonteCarlo!$B$7*SQRT(MonteCarlo!$B$8))),TRUE)-F$1*_xlfn.NORM.S.DIST(-((LN(F$1/$A14)+(MonteCarlo!$B$9+(MonteCarlo!$B$7^2)/2)*MonteCarlo!$B$8)/(MonteCarlo!$B$7*SQRT(MonteCarlo!$B$8))),TRUE)),"")</f>
        <v/>
      </c>
      <c r="G14" t="str">
        <f ca="1">IFERROR(IF(OR(MonteCarlo!$B$4="C",MonteCarlo!$B$4="c"),G$1*_xlfn.NORM.S.DIST((LN(G$1/$A14)+(MonteCarlo!$B$9+(MonteCarlo!$B$7^2)/2)*MonteCarlo!$B$8)/(MonteCarlo!$B$7*SQRT(MonteCarlo!$B$8)),TRUE)-$A14*EXP(-MonteCarlo!$B$9*MonteCarlo!$B$8)*_xlfn.NORM.S.DIST(((LN(G$1/$A14)+(MonteCarlo!$B$9+(MonteCarlo!$B$7^2)/2)*MonteCarlo!$B$8)/(MonteCarlo!$B$7*SQRT(MonteCarlo!$B$8)))-(MonteCarlo!$B$7*SQRT(MonteCarlo!$B$8)),TRUE),$A14*EXP(-MonteCarlo!$B$9*MonteCarlo!$B$8)*_xlfn.NORM.S.DIST(-(((LN(G$1/$A14)+(MonteCarlo!$B$9+(MonteCarlo!$B$7^2)/2)*MonteCarlo!$B$8)/(MonteCarlo!$B$7*SQRT(MonteCarlo!$B$8)))-(MonteCarlo!$B$7*SQRT(MonteCarlo!$B$8))),TRUE)-G$1*_xlfn.NORM.S.DIST(-((LN(G$1/$A14)+(MonteCarlo!$B$9+(MonteCarlo!$B$7^2)/2)*MonteCarlo!$B$8)/(MonteCarlo!$B$7*SQRT(MonteCarlo!$B$8))),TRUE)),"")</f>
        <v/>
      </c>
      <c r="H14" t="str">
        <f ca="1">IFERROR(IF(OR(MonteCarlo!$B$4="C",MonteCarlo!$B$4="c"),H$1*_xlfn.NORM.S.DIST((LN(H$1/$A14)+(MonteCarlo!$B$9+(MonteCarlo!$B$7^2)/2)*MonteCarlo!$B$8)/(MonteCarlo!$B$7*SQRT(MonteCarlo!$B$8)),TRUE)-$A14*EXP(-MonteCarlo!$B$9*MonteCarlo!$B$8)*_xlfn.NORM.S.DIST(((LN(H$1/$A14)+(MonteCarlo!$B$9+(MonteCarlo!$B$7^2)/2)*MonteCarlo!$B$8)/(MonteCarlo!$B$7*SQRT(MonteCarlo!$B$8)))-(MonteCarlo!$B$7*SQRT(MonteCarlo!$B$8)),TRUE),$A14*EXP(-MonteCarlo!$B$9*MonteCarlo!$B$8)*_xlfn.NORM.S.DIST(-(((LN(H$1/$A14)+(MonteCarlo!$B$9+(MonteCarlo!$B$7^2)/2)*MonteCarlo!$B$8)/(MonteCarlo!$B$7*SQRT(MonteCarlo!$B$8)))-(MonteCarlo!$B$7*SQRT(MonteCarlo!$B$8))),TRUE)-H$1*_xlfn.NORM.S.DIST(-((LN(H$1/$A14)+(MonteCarlo!$B$9+(MonteCarlo!$B$7^2)/2)*MonteCarlo!$B$8)/(MonteCarlo!$B$7*SQRT(MonteCarlo!$B$8))),TRUE)),"")</f>
        <v/>
      </c>
      <c r="I14" t="str">
        <f ca="1">IFERROR(IF(OR(MonteCarlo!$B$4="C",MonteCarlo!$B$4="c"),I$1*_xlfn.NORM.S.DIST((LN(I$1/$A14)+(MonteCarlo!$B$9+(MonteCarlo!$B$7^2)/2)*MonteCarlo!$B$8)/(MonteCarlo!$B$7*SQRT(MonteCarlo!$B$8)),TRUE)-$A14*EXP(-MonteCarlo!$B$9*MonteCarlo!$B$8)*_xlfn.NORM.S.DIST(((LN(I$1/$A14)+(MonteCarlo!$B$9+(MonteCarlo!$B$7^2)/2)*MonteCarlo!$B$8)/(MonteCarlo!$B$7*SQRT(MonteCarlo!$B$8)))-(MonteCarlo!$B$7*SQRT(MonteCarlo!$B$8)),TRUE),$A14*EXP(-MonteCarlo!$B$9*MonteCarlo!$B$8)*_xlfn.NORM.S.DIST(-(((LN(I$1/$A14)+(MonteCarlo!$B$9+(MonteCarlo!$B$7^2)/2)*MonteCarlo!$B$8)/(MonteCarlo!$B$7*SQRT(MonteCarlo!$B$8)))-(MonteCarlo!$B$7*SQRT(MonteCarlo!$B$8))),TRUE)-I$1*_xlfn.NORM.S.DIST(-((LN(I$1/$A14)+(MonteCarlo!$B$9+(MonteCarlo!$B$7^2)/2)*MonteCarlo!$B$8)/(MonteCarlo!$B$7*SQRT(MonteCarlo!$B$8))),TRUE)),"")</f>
        <v/>
      </c>
      <c r="J14" t="str">
        <f ca="1">IFERROR(IF(OR(MonteCarlo!$B$4="C",MonteCarlo!$B$4="c"),J$1*_xlfn.NORM.S.DIST((LN(J$1/$A14)+(MonteCarlo!$B$9+(MonteCarlo!$B$7^2)/2)*MonteCarlo!$B$8)/(MonteCarlo!$B$7*SQRT(MonteCarlo!$B$8)),TRUE)-$A14*EXP(-MonteCarlo!$B$9*MonteCarlo!$B$8)*_xlfn.NORM.S.DIST(((LN(J$1/$A14)+(MonteCarlo!$B$9+(MonteCarlo!$B$7^2)/2)*MonteCarlo!$B$8)/(MonteCarlo!$B$7*SQRT(MonteCarlo!$B$8)))-(MonteCarlo!$B$7*SQRT(MonteCarlo!$B$8)),TRUE),$A14*EXP(-MonteCarlo!$B$9*MonteCarlo!$B$8)*_xlfn.NORM.S.DIST(-(((LN(J$1/$A14)+(MonteCarlo!$B$9+(MonteCarlo!$B$7^2)/2)*MonteCarlo!$B$8)/(MonteCarlo!$B$7*SQRT(MonteCarlo!$B$8)))-(MonteCarlo!$B$7*SQRT(MonteCarlo!$B$8))),TRUE)-J$1*_xlfn.NORM.S.DIST(-((LN(J$1/$A14)+(MonteCarlo!$B$9+(MonteCarlo!$B$7^2)/2)*MonteCarlo!$B$8)/(MonteCarlo!$B$7*SQRT(MonteCarlo!$B$8))),TRUE)),"")</f>
        <v/>
      </c>
      <c r="K14" t="str">
        <f ca="1">IFERROR(IF(OR(MonteCarlo!$B$4="C",MonteCarlo!$B$4="c"),K$1*_xlfn.NORM.S.DIST((LN(K$1/$A14)+(MonteCarlo!$B$9+(MonteCarlo!$B$7^2)/2)*MonteCarlo!$B$8)/(MonteCarlo!$B$7*SQRT(MonteCarlo!$B$8)),TRUE)-$A14*EXP(-MonteCarlo!$B$9*MonteCarlo!$B$8)*_xlfn.NORM.S.DIST(((LN(K$1/$A14)+(MonteCarlo!$B$9+(MonteCarlo!$B$7^2)/2)*MonteCarlo!$B$8)/(MonteCarlo!$B$7*SQRT(MonteCarlo!$B$8)))-(MonteCarlo!$B$7*SQRT(MonteCarlo!$B$8)),TRUE),$A14*EXP(-MonteCarlo!$B$9*MonteCarlo!$B$8)*_xlfn.NORM.S.DIST(-(((LN(K$1/$A14)+(MonteCarlo!$B$9+(MonteCarlo!$B$7^2)/2)*MonteCarlo!$B$8)/(MonteCarlo!$B$7*SQRT(MonteCarlo!$B$8)))-(MonteCarlo!$B$7*SQRT(MonteCarlo!$B$8))),TRUE)-K$1*_xlfn.NORM.S.DIST(-((LN(K$1/$A14)+(MonteCarlo!$B$9+(MonteCarlo!$B$7^2)/2)*MonteCarlo!$B$8)/(MonteCarlo!$B$7*SQRT(MonteCarlo!$B$8))),TRUE)),"")</f>
        <v/>
      </c>
      <c r="L14" t="str">
        <f ca="1">IFERROR(IF(OR(MonteCarlo!$B$4="C",MonteCarlo!$B$4="c"),L$1*_xlfn.NORM.S.DIST((LN(L$1/$A14)+(MonteCarlo!$B$9+(MonteCarlo!$B$7^2)/2)*MonteCarlo!$B$8)/(MonteCarlo!$B$7*SQRT(MonteCarlo!$B$8)),TRUE)-$A14*EXP(-MonteCarlo!$B$9*MonteCarlo!$B$8)*_xlfn.NORM.S.DIST(((LN(L$1/$A14)+(MonteCarlo!$B$9+(MonteCarlo!$B$7^2)/2)*MonteCarlo!$B$8)/(MonteCarlo!$B$7*SQRT(MonteCarlo!$B$8)))-(MonteCarlo!$B$7*SQRT(MonteCarlo!$B$8)),TRUE),$A14*EXP(-MonteCarlo!$B$9*MonteCarlo!$B$8)*_xlfn.NORM.S.DIST(-(((LN(L$1/$A14)+(MonteCarlo!$B$9+(MonteCarlo!$B$7^2)/2)*MonteCarlo!$B$8)/(MonteCarlo!$B$7*SQRT(MonteCarlo!$B$8)))-(MonteCarlo!$B$7*SQRT(MonteCarlo!$B$8))),TRUE)-L$1*_xlfn.NORM.S.DIST(-((LN(L$1/$A14)+(MonteCarlo!$B$9+(MonteCarlo!$B$7^2)/2)*MonteCarlo!$B$8)/(MonteCarlo!$B$7*SQRT(MonteCarlo!$B$8))),TRUE)),"")</f>
        <v/>
      </c>
      <c r="M14" t="str">
        <f ca="1">IFERROR(IF(OR(MonteCarlo!$B$4="C",MonteCarlo!$B$4="c"),M$1*_xlfn.NORM.S.DIST((LN(M$1/$A14)+(MonteCarlo!$B$9+(MonteCarlo!$B$7^2)/2)*MonteCarlo!$B$8)/(MonteCarlo!$B$7*SQRT(MonteCarlo!$B$8)),TRUE)-$A14*EXP(-MonteCarlo!$B$9*MonteCarlo!$B$8)*_xlfn.NORM.S.DIST(((LN(M$1/$A14)+(MonteCarlo!$B$9+(MonteCarlo!$B$7^2)/2)*MonteCarlo!$B$8)/(MonteCarlo!$B$7*SQRT(MonteCarlo!$B$8)))-(MonteCarlo!$B$7*SQRT(MonteCarlo!$B$8)),TRUE),$A14*EXP(-MonteCarlo!$B$9*MonteCarlo!$B$8)*_xlfn.NORM.S.DIST(-(((LN(M$1/$A14)+(MonteCarlo!$B$9+(MonteCarlo!$B$7^2)/2)*MonteCarlo!$B$8)/(MonteCarlo!$B$7*SQRT(MonteCarlo!$B$8)))-(MonteCarlo!$B$7*SQRT(MonteCarlo!$B$8))),TRUE)-M$1*_xlfn.NORM.S.DIST(-((LN(M$1/$A14)+(MonteCarlo!$B$9+(MonteCarlo!$B$7^2)/2)*MonteCarlo!$B$8)/(MonteCarlo!$B$7*SQRT(MonteCarlo!$B$8))),TRUE)),"")</f>
        <v/>
      </c>
      <c r="N14" t="str">
        <f ca="1">IFERROR(IF(OR(MonteCarlo!$B$4="C",MonteCarlo!$B$4="c"),N$1*_xlfn.NORM.S.DIST((LN(N$1/$A14)+(MonteCarlo!$B$9+(MonteCarlo!$B$7^2)/2)*MonteCarlo!$B$8)/(MonteCarlo!$B$7*SQRT(MonteCarlo!$B$8)),TRUE)-$A14*EXP(-MonteCarlo!$B$9*MonteCarlo!$B$8)*_xlfn.NORM.S.DIST(((LN(N$1/$A14)+(MonteCarlo!$B$9+(MonteCarlo!$B$7^2)/2)*MonteCarlo!$B$8)/(MonteCarlo!$B$7*SQRT(MonteCarlo!$B$8)))-(MonteCarlo!$B$7*SQRT(MonteCarlo!$B$8)),TRUE),$A14*EXP(-MonteCarlo!$B$9*MonteCarlo!$B$8)*_xlfn.NORM.S.DIST(-(((LN(N$1/$A14)+(MonteCarlo!$B$9+(MonteCarlo!$B$7^2)/2)*MonteCarlo!$B$8)/(MonteCarlo!$B$7*SQRT(MonteCarlo!$B$8)))-(MonteCarlo!$B$7*SQRT(MonteCarlo!$B$8))),TRUE)-N$1*_xlfn.NORM.S.DIST(-((LN(N$1/$A14)+(MonteCarlo!$B$9+(MonteCarlo!$B$7^2)/2)*MonteCarlo!$B$8)/(MonteCarlo!$B$7*SQRT(MonteCarlo!$B$8))),TRUE)),"")</f>
        <v/>
      </c>
      <c r="O14" t="str">
        <f ca="1">IFERROR(IF(OR(MonteCarlo!$B$4="C",MonteCarlo!$B$4="c"),O$1*_xlfn.NORM.S.DIST((LN(O$1/$A14)+(MonteCarlo!$B$9+(MonteCarlo!$B$7^2)/2)*MonteCarlo!$B$8)/(MonteCarlo!$B$7*SQRT(MonteCarlo!$B$8)),TRUE)-$A14*EXP(-MonteCarlo!$B$9*MonteCarlo!$B$8)*_xlfn.NORM.S.DIST(((LN(O$1/$A14)+(MonteCarlo!$B$9+(MonteCarlo!$B$7^2)/2)*MonteCarlo!$B$8)/(MonteCarlo!$B$7*SQRT(MonteCarlo!$B$8)))-(MonteCarlo!$B$7*SQRT(MonteCarlo!$B$8)),TRUE),$A14*EXP(-MonteCarlo!$B$9*MonteCarlo!$B$8)*_xlfn.NORM.S.DIST(-(((LN(O$1/$A14)+(MonteCarlo!$B$9+(MonteCarlo!$B$7^2)/2)*MonteCarlo!$B$8)/(MonteCarlo!$B$7*SQRT(MonteCarlo!$B$8)))-(MonteCarlo!$B$7*SQRT(MonteCarlo!$B$8))),TRUE)-O$1*_xlfn.NORM.S.DIST(-((LN(O$1/$A14)+(MonteCarlo!$B$9+(MonteCarlo!$B$7^2)/2)*MonteCarlo!$B$8)/(MonteCarlo!$B$7*SQRT(MonteCarlo!$B$8))),TRUE)),"")</f>
        <v/>
      </c>
      <c r="P14" t="str">
        <f ca="1">IFERROR(IF(OR(MonteCarlo!$B$4="C",MonteCarlo!$B$4="c"),P$1*_xlfn.NORM.S.DIST((LN(P$1/$A14)+(MonteCarlo!$B$9+(MonteCarlo!$B$7^2)/2)*MonteCarlo!$B$8)/(MonteCarlo!$B$7*SQRT(MonteCarlo!$B$8)),TRUE)-$A14*EXP(-MonteCarlo!$B$9*MonteCarlo!$B$8)*_xlfn.NORM.S.DIST(((LN(P$1/$A14)+(MonteCarlo!$B$9+(MonteCarlo!$B$7^2)/2)*MonteCarlo!$B$8)/(MonteCarlo!$B$7*SQRT(MonteCarlo!$B$8)))-(MonteCarlo!$B$7*SQRT(MonteCarlo!$B$8)),TRUE),$A14*EXP(-MonteCarlo!$B$9*MonteCarlo!$B$8)*_xlfn.NORM.S.DIST(-(((LN(P$1/$A14)+(MonteCarlo!$B$9+(MonteCarlo!$B$7^2)/2)*MonteCarlo!$B$8)/(MonteCarlo!$B$7*SQRT(MonteCarlo!$B$8)))-(MonteCarlo!$B$7*SQRT(MonteCarlo!$B$8))),TRUE)-P$1*_xlfn.NORM.S.DIST(-((LN(P$1/$A14)+(MonteCarlo!$B$9+(MonteCarlo!$B$7^2)/2)*MonteCarlo!$B$8)/(MonteCarlo!$B$7*SQRT(MonteCarlo!$B$8))),TRUE)),"")</f>
        <v/>
      </c>
      <c r="Q14" t="str">
        <f ca="1">IFERROR(IF(OR(MonteCarlo!$B$4="C",MonteCarlo!$B$4="c"),Q$1*_xlfn.NORM.S.DIST((LN(Q$1/$A14)+(MonteCarlo!$B$9+(MonteCarlo!$B$7^2)/2)*MonteCarlo!$B$8)/(MonteCarlo!$B$7*SQRT(MonteCarlo!$B$8)),TRUE)-$A14*EXP(-MonteCarlo!$B$9*MonteCarlo!$B$8)*_xlfn.NORM.S.DIST(((LN(Q$1/$A14)+(MonteCarlo!$B$9+(MonteCarlo!$B$7^2)/2)*MonteCarlo!$B$8)/(MonteCarlo!$B$7*SQRT(MonteCarlo!$B$8)))-(MonteCarlo!$B$7*SQRT(MonteCarlo!$B$8)),TRUE),$A14*EXP(-MonteCarlo!$B$9*MonteCarlo!$B$8)*_xlfn.NORM.S.DIST(-(((LN(Q$1/$A14)+(MonteCarlo!$B$9+(MonteCarlo!$B$7^2)/2)*MonteCarlo!$B$8)/(MonteCarlo!$B$7*SQRT(MonteCarlo!$B$8)))-(MonteCarlo!$B$7*SQRT(MonteCarlo!$B$8))),TRUE)-Q$1*_xlfn.NORM.S.DIST(-((LN(Q$1/$A14)+(MonteCarlo!$B$9+(MonteCarlo!$B$7^2)/2)*MonteCarlo!$B$8)/(MonteCarlo!$B$7*SQRT(MonteCarlo!$B$8))),TRUE)),"")</f>
        <v/>
      </c>
      <c r="R14" t="str">
        <f ca="1">IFERROR(IF(OR(MonteCarlo!$B$4="C",MonteCarlo!$B$4="c"),R$1*_xlfn.NORM.S.DIST((LN(R$1/$A14)+(MonteCarlo!$B$9+(MonteCarlo!$B$7^2)/2)*MonteCarlo!$B$8)/(MonteCarlo!$B$7*SQRT(MonteCarlo!$B$8)),TRUE)-$A14*EXP(-MonteCarlo!$B$9*MonteCarlo!$B$8)*_xlfn.NORM.S.DIST(((LN(R$1/$A14)+(MonteCarlo!$B$9+(MonteCarlo!$B$7^2)/2)*MonteCarlo!$B$8)/(MonteCarlo!$B$7*SQRT(MonteCarlo!$B$8)))-(MonteCarlo!$B$7*SQRT(MonteCarlo!$B$8)),TRUE),$A14*EXP(-MonteCarlo!$B$9*MonteCarlo!$B$8)*_xlfn.NORM.S.DIST(-(((LN(R$1/$A14)+(MonteCarlo!$B$9+(MonteCarlo!$B$7^2)/2)*MonteCarlo!$B$8)/(MonteCarlo!$B$7*SQRT(MonteCarlo!$B$8)))-(MonteCarlo!$B$7*SQRT(MonteCarlo!$B$8))),TRUE)-R$1*_xlfn.NORM.S.DIST(-((LN(R$1/$A14)+(MonteCarlo!$B$9+(MonteCarlo!$B$7^2)/2)*MonteCarlo!$B$8)/(MonteCarlo!$B$7*SQRT(MonteCarlo!$B$8))),TRUE)),"")</f>
        <v/>
      </c>
      <c r="S14" t="str">
        <f ca="1">IFERROR(IF(OR(MonteCarlo!$B$4="C",MonteCarlo!$B$4="c"),S$1*_xlfn.NORM.S.DIST((LN(S$1/$A14)+(MonteCarlo!$B$9+(MonteCarlo!$B$7^2)/2)*MonteCarlo!$B$8)/(MonteCarlo!$B$7*SQRT(MonteCarlo!$B$8)),TRUE)-$A14*EXP(-MonteCarlo!$B$9*MonteCarlo!$B$8)*_xlfn.NORM.S.DIST(((LN(S$1/$A14)+(MonteCarlo!$B$9+(MonteCarlo!$B$7^2)/2)*MonteCarlo!$B$8)/(MonteCarlo!$B$7*SQRT(MonteCarlo!$B$8)))-(MonteCarlo!$B$7*SQRT(MonteCarlo!$B$8)),TRUE),$A14*EXP(-MonteCarlo!$B$9*MonteCarlo!$B$8)*_xlfn.NORM.S.DIST(-(((LN(S$1/$A14)+(MonteCarlo!$B$9+(MonteCarlo!$B$7^2)/2)*MonteCarlo!$B$8)/(MonteCarlo!$B$7*SQRT(MonteCarlo!$B$8)))-(MonteCarlo!$B$7*SQRT(MonteCarlo!$B$8))),TRUE)-S$1*_xlfn.NORM.S.DIST(-((LN(S$1/$A14)+(MonteCarlo!$B$9+(MonteCarlo!$B$7^2)/2)*MonteCarlo!$B$8)/(MonteCarlo!$B$7*SQRT(MonteCarlo!$B$8))),TRUE)),"")</f>
        <v/>
      </c>
      <c r="T14" t="str">
        <f ca="1">IFERROR(IF(OR(MonteCarlo!$B$4="C",MonteCarlo!$B$4="c"),T$1*_xlfn.NORM.S.DIST((LN(T$1/$A14)+(MonteCarlo!$B$9+(MonteCarlo!$B$7^2)/2)*MonteCarlo!$B$8)/(MonteCarlo!$B$7*SQRT(MonteCarlo!$B$8)),TRUE)-$A14*EXP(-MonteCarlo!$B$9*MonteCarlo!$B$8)*_xlfn.NORM.S.DIST(((LN(T$1/$A14)+(MonteCarlo!$B$9+(MonteCarlo!$B$7^2)/2)*MonteCarlo!$B$8)/(MonteCarlo!$B$7*SQRT(MonteCarlo!$B$8)))-(MonteCarlo!$B$7*SQRT(MonteCarlo!$B$8)),TRUE),$A14*EXP(-MonteCarlo!$B$9*MonteCarlo!$B$8)*_xlfn.NORM.S.DIST(-(((LN(T$1/$A14)+(MonteCarlo!$B$9+(MonteCarlo!$B$7^2)/2)*MonteCarlo!$B$8)/(MonteCarlo!$B$7*SQRT(MonteCarlo!$B$8)))-(MonteCarlo!$B$7*SQRT(MonteCarlo!$B$8))),TRUE)-T$1*_xlfn.NORM.S.DIST(-((LN(T$1/$A14)+(MonteCarlo!$B$9+(MonteCarlo!$B$7^2)/2)*MonteCarlo!$B$8)/(MonteCarlo!$B$7*SQRT(MonteCarlo!$B$8))),TRUE)),"")</f>
        <v/>
      </c>
      <c r="U14" t="str">
        <f ca="1">IFERROR(IF(OR(MonteCarlo!$B$4="C",MonteCarlo!$B$4="c"),U$1*_xlfn.NORM.S.DIST((LN(U$1/$A14)+(MonteCarlo!$B$9+(MonteCarlo!$B$7^2)/2)*MonteCarlo!$B$8)/(MonteCarlo!$B$7*SQRT(MonteCarlo!$B$8)),TRUE)-$A14*EXP(-MonteCarlo!$B$9*MonteCarlo!$B$8)*_xlfn.NORM.S.DIST(((LN(U$1/$A14)+(MonteCarlo!$B$9+(MonteCarlo!$B$7^2)/2)*MonteCarlo!$B$8)/(MonteCarlo!$B$7*SQRT(MonteCarlo!$B$8)))-(MonteCarlo!$B$7*SQRT(MonteCarlo!$B$8)),TRUE),$A14*EXP(-MonteCarlo!$B$9*MonteCarlo!$B$8)*_xlfn.NORM.S.DIST(-(((LN(U$1/$A14)+(MonteCarlo!$B$9+(MonteCarlo!$B$7^2)/2)*MonteCarlo!$B$8)/(MonteCarlo!$B$7*SQRT(MonteCarlo!$B$8)))-(MonteCarlo!$B$7*SQRT(MonteCarlo!$B$8))),TRUE)-U$1*_xlfn.NORM.S.DIST(-((LN(U$1/$A14)+(MonteCarlo!$B$9+(MonteCarlo!$B$7^2)/2)*MonteCarlo!$B$8)/(MonteCarlo!$B$7*SQRT(MonteCarlo!$B$8))),TRUE)),"")</f>
        <v/>
      </c>
      <c r="V14" t="str">
        <f ca="1">IFERROR(IF(OR(MonteCarlo!$B$4="C",MonteCarlo!$B$4="c"),V$1*_xlfn.NORM.S.DIST((LN(V$1/$A14)+(MonteCarlo!$B$9+(MonteCarlo!$B$7^2)/2)*MonteCarlo!$B$8)/(MonteCarlo!$B$7*SQRT(MonteCarlo!$B$8)),TRUE)-$A14*EXP(-MonteCarlo!$B$9*MonteCarlo!$B$8)*_xlfn.NORM.S.DIST(((LN(V$1/$A14)+(MonteCarlo!$B$9+(MonteCarlo!$B$7^2)/2)*MonteCarlo!$B$8)/(MonteCarlo!$B$7*SQRT(MonteCarlo!$B$8)))-(MonteCarlo!$B$7*SQRT(MonteCarlo!$B$8)),TRUE),$A14*EXP(-MonteCarlo!$B$9*MonteCarlo!$B$8)*_xlfn.NORM.S.DIST(-(((LN(V$1/$A14)+(MonteCarlo!$B$9+(MonteCarlo!$B$7^2)/2)*MonteCarlo!$B$8)/(MonteCarlo!$B$7*SQRT(MonteCarlo!$B$8)))-(MonteCarlo!$B$7*SQRT(MonteCarlo!$B$8))),TRUE)-V$1*_xlfn.NORM.S.DIST(-((LN(V$1/$A14)+(MonteCarlo!$B$9+(MonteCarlo!$B$7^2)/2)*MonteCarlo!$B$8)/(MonteCarlo!$B$7*SQRT(MonteCarlo!$B$8))),TRUE)),"")</f>
        <v/>
      </c>
      <c r="W14" t="str">
        <f ca="1">IFERROR(IF(OR(MonteCarlo!$B$4="C",MonteCarlo!$B$4="c"),W$1*_xlfn.NORM.S.DIST((LN(W$1/$A14)+(MonteCarlo!$B$9+(MonteCarlo!$B$7^2)/2)*MonteCarlo!$B$8)/(MonteCarlo!$B$7*SQRT(MonteCarlo!$B$8)),TRUE)-$A14*EXP(-MonteCarlo!$B$9*MonteCarlo!$B$8)*_xlfn.NORM.S.DIST(((LN(W$1/$A14)+(MonteCarlo!$B$9+(MonteCarlo!$B$7^2)/2)*MonteCarlo!$B$8)/(MonteCarlo!$B$7*SQRT(MonteCarlo!$B$8)))-(MonteCarlo!$B$7*SQRT(MonteCarlo!$B$8)),TRUE),$A14*EXP(-MonteCarlo!$B$9*MonteCarlo!$B$8)*_xlfn.NORM.S.DIST(-(((LN(W$1/$A14)+(MonteCarlo!$B$9+(MonteCarlo!$B$7^2)/2)*MonteCarlo!$B$8)/(MonteCarlo!$B$7*SQRT(MonteCarlo!$B$8)))-(MonteCarlo!$B$7*SQRT(MonteCarlo!$B$8))),TRUE)-W$1*_xlfn.NORM.S.DIST(-((LN(W$1/$A14)+(MonteCarlo!$B$9+(MonteCarlo!$B$7^2)/2)*MonteCarlo!$B$8)/(MonteCarlo!$B$7*SQRT(MonteCarlo!$B$8))),TRUE)),"")</f>
        <v/>
      </c>
      <c r="X14" t="str">
        <f ca="1">IFERROR(IF(OR(MonteCarlo!$B$4="C",MonteCarlo!$B$4="c"),X$1*_xlfn.NORM.S.DIST((LN(X$1/$A14)+(MonteCarlo!$B$9+(MonteCarlo!$B$7^2)/2)*MonteCarlo!$B$8)/(MonteCarlo!$B$7*SQRT(MonteCarlo!$B$8)),TRUE)-$A14*EXP(-MonteCarlo!$B$9*MonteCarlo!$B$8)*_xlfn.NORM.S.DIST(((LN(X$1/$A14)+(MonteCarlo!$B$9+(MonteCarlo!$B$7^2)/2)*MonteCarlo!$B$8)/(MonteCarlo!$B$7*SQRT(MonteCarlo!$B$8)))-(MonteCarlo!$B$7*SQRT(MonteCarlo!$B$8)),TRUE),$A14*EXP(-MonteCarlo!$B$9*MonteCarlo!$B$8)*_xlfn.NORM.S.DIST(-(((LN(X$1/$A14)+(MonteCarlo!$B$9+(MonteCarlo!$B$7^2)/2)*MonteCarlo!$B$8)/(MonteCarlo!$B$7*SQRT(MonteCarlo!$B$8)))-(MonteCarlo!$B$7*SQRT(MonteCarlo!$B$8))),TRUE)-X$1*_xlfn.NORM.S.DIST(-((LN(X$1/$A14)+(MonteCarlo!$B$9+(MonteCarlo!$B$7^2)/2)*MonteCarlo!$B$8)/(MonteCarlo!$B$7*SQRT(MonteCarlo!$B$8))),TRUE)),"")</f>
        <v/>
      </c>
      <c r="Y14" t="str">
        <f ca="1">IFERROR(IF(OR(MonteCarlo!$B$4="C",MonteCarlo!$B$4="c"),Y$1*_xlfn.NORM.S.DIST((LN(Y$1/$A14)+(MonteCarlo!$B$9+(MonteCarlo!$B$7^2)/2)*MonteCarlo!$B$8)/(MonteCarlo!$B$7*SQRT(MonteCarlo!$B$8)),TRUE)-$A14*EXP(-MonteCarlo!$B$9*MonteCarlo!$B$8)*_xlfn.NORM.S.DIST(((LN(Y$1/$A14)+(MonteCarlo!$B$9+(MonteCarlo!$B$7^2)/2)*MonteCarlo!$B$8)/(MonteCarlo!$B$7*SQRT(MonteCarlo!$B$8)))-(MonteCarlo!$B$7*SQRT(MonteCarlo!$B$8)),TRUE),$A14*EXP(-MonteCarlo!$B$9*MonteCarlo!$B$8)*_xlfn.NORM.S.DIST(-(((LN(Y$1/$A14)+(MonteCarlo!$B$9+(MonteCarlo!$B$7^2)/2)*MonteCarlo!$B$8)/(MonteCarlo!$B$7*SQRT(MonteCarlo!$B$8)))-(MonteCarlo!$B$7*SQRT(MonteCarlo!$B$8))),TRUE)-Y$1*_xlfn.NORM.S.DIST(-((LN(Y$1/$A14)+(MonteCarlo!$B$9+(MonteCarlo!$B$7^2)/2)*MonteCarlo!$B$8)/(MonteCarlo!$B$7*SQRT(MonteCarlo!$B$8))),TRUE)),"")</f>
        <v/>
      </c>
      <c r="Z14" t="str">
        <f ca="1">IFERROR(IF(OR(MonteCarlo!$B$4="C",MonteCarlo!$B$4="c"),Z$1*_xlfn.NORM.S.DIST((LN(Z$1/$A14)+(MonteCarlo!$B$9+(MonteCarlo!$B$7^2)/2)*MonteCarlo!$B$8)/(MonteCarlo!$B$7*SQRT(MonteCarlo!$B$8)),TRUE)-$A14*EXP(-MonteCarlo!$B$9*MonteCarlo!$B$8)*_xlfn.NORM.S.DIST(((LN(Z$1/$A14)+(MonteCarlo!$B$9+(MonteCarlo!$B$7^2)/2)*MonteCarlo!$B$8)/(MonteCarlo!$B$7*SQRT(MonteCarlo!$B$8)))-(MonteCarlo!$B$7*SQRT(MonteCarlo!$B$8)),TRUE),$A14*EXP(-MonteCarlo!$B$9*MonteCarlo!$B$8)*_xlfn.NORM.S.DIST(-(((LN(Z$1/$A14)+(MonteCarlo!$B$9+(MonteCarlo!$B$7^2)/2)*MonteCarlo!$B$8)/(MonteCarlo!$B$7*SQRT(MonteCarlo!$B$8)))-(MonteCarlo!$B$7*SQRT(MonteCarlo!$B$8))),TRUE)-Z$1*_xlfn.NORM.S.DIST(-((LN(Z$1/$A14)+(MonteCarlo!$B$9+(MonteCarlo!$B$7^2)/2)*MonteCarlo!$B$8)/(MonteCarlo!$B$7*SQRT(MonteCarlo!$B$8))),TRUE)),"")</f>
        <v/>
      </c>
      <c r="AA14" t="str">
        <f ca="1">IFERROR(IF(OR(MonteCarlo!$B$4="C",MonteCarlo!$B$4="c"),AA$1*_xlfn.NORM.S.DIST((LN(AA$1/$A14)+(MonteCarlo!$B$9+(MonteCarlo!$B$7^2)/2)*MonteCarlo!$B$8)/(MonteCarlo!$B$7*SQRT(MonteCarlo!$B$8)),TRUE)-$A14*EXP(-MonteCarlo!$B$9*MonteCarlo!$B$8)*_xlfn.NORM.S.DIST(((LN(AA$1/$A14)+(MonteCarlo!$B$9+(MonteCarlo!$B$7^2)/2)*MonteCarlo!$B$8)/(MonteCarlo!$B$7*SQRT(MonteCarlo!$B$8)))-(MonteCarlo!$B$7*SQRT(MonteCarlo!$B$8)),TRUE),$A14*EXP(-MonteCarlo!$B$9*MonteCarlo!$B$8)*_xlfn.NORM.S.DIST(-(((LN(AA$1/$A14)+(MonteCarlo!$B$9+(MonteCarlo!$B$7^2)/2)*MonteCarlo!$B$8)/(MonteCarlo!$B$7*SQRT(MonteCarlo!$B$8)))-(MonteCarlo!$B$7*SQRT(MonteCarlo!$B$8))),TRUE)-AA$1*_xlfn.NORM.S.DIST(-((LN(AA$1/$A14)+(MonteCarlo!$B$9+(MonteCarlo!$B$7^2)/2)*MonteCarlo!$B$8)/(MonteCarlo!$B$7*SQRT(MonteCarlo!$B$8))),TRUE)),"")</f>
        <v/>
      </c>
      <c r="AB14" t="str">
        <f ca="1">IFERROR(IF(OR(MonteCarlo!$B$4="C",MonteCarlo!$B$4="c"),AB$1*_xlfn.NORM.S.DIST((LN(AB$1/$A14)+(MonteCarlo!$B$9+(MonteCarlo!$B$7^2)/2)*MonteCarlo!$B$8)/(MonteCarlo!$B$7*SQRT(MonteCarlo!$B$8)),TRUE)-$A14*EXP(-MonteCarlo!$B$9*MonteCarlo!$B$8)*_xlfn.NORM.S.DIST(((LN(AB$1/$A14)+(MonteCarlo!$B$9+(MonteCarlo!$B$7^2)/2)*MonteCarlo!$B$8)/(MonteCarlo!$B$7*SQRT(MonteCarlo!$B$8)))-(MonteCarlo!$B$7*SQRT(MonteCarlo!$B$8)),TRUE),$A14*EXP(-MonteCarlo!$B$9*MonteCarlo!$B$8)*_xlfn.NORM.S.DIST(-(((LN(AB$1/$A14)+(MonteCarlo!$B$9+(MonteCarlo!$B$7^2)/2)*MonteCarlo!$B$8)/(MonteCarlo!$B$7*SQRT(MonteCarlo!$B$8)))-(MonteCarlo!$B$7*SQRT(MonteCarlo!$B$8))),TRUE)-AB$1*_xlfn.NORM.S.DIST(-((LN(AB$1/$A14)+(MonteCarlo!$B$9+(MonteCarlo!$B$7^2)/2)*MonteCarlo!$B$8)/(MonteCarlo!$B$7*SQRT(MonteCarlo!$B$8))),TRUE)),"")</f>
        <v/>
      </c>
      <c r="AC14" t="str">
        <f ca="1">IFERROR(IF(OR(MonteCarlo!$B$4="C",MonteCarlo!$B$4="c"),AC$1*_xlfn.NORM.S.DIST((LN(AC$1/$A14)+(MonteCarlo!$B$9+(MonteCarlo!$B$7^2)/2)*MonteCarlo!$B$8)/(MonteCarlo!$B$7*SQRT(MonteCarlo!$B$8)),TRUE)-$A14*EXP(-MonteCarlo!$B$9*MonteCarlo!$B$8)*_xlfn.NORM.S.DIST(((LN(AC$1/$A14)+(MonteCarlo!$B$9+(MonteCarlo!$B$7^2)/2)*MonteCarlo!$B$8)/(MonteCarlo!$B$7*SQRT(MonteCarlo!$B$8)))-(MonteCarlo!$B$7*SQRT(MonteCarlo!$B$8)),TRUE),$A14*EXP(-MonteCarlo!$B$9*MonteCarlo!$B$8)*_xlfn.NORM.S.DIST(-(((LN(AC$1/$A14)+(MonteCarlo!$B$9+(MonteCarlo!$B$7^2)/2)*MonteCarlo!$B$8)/(MonteCarlo!$B$7*SQRT(MonteCarlo!$B$8)))-(MonteCarlo!$B$7*SQRT(MonteCarlo!$B$8))),TRUE)-AC$1*_xlfn.NORM.S.DIST(-((LN(AC$1/$A14)+(MonteCarlo!$B$9+(MonteCarlo!$B$7^2)/2)*MonteCarlo!$B$8)/(MonteCarlo!$B$7*SQRT(MonteCarlo!$B$8))),TRUE)),"")</f>
        <v/>
      </c>
      <c r="AD14" t="str">
        <f ca="1">IFERROR(IF(OR(MonteCarlo!$B$4="C",MonteCarlo!$B$4="c"),AD$1*_xlfn.NORM.S.DIST((LN(AD$1/$A14)+(MonteCarlo!$B$9+(MonteCarlo!$B$7^2)/2)*MonteCarlo!$B$8)/(MonteCarlo!$B$7*SQRT(MonteCarlo!$B$8)),TRUE)-$A14*EXP(-MonteCarlo!$B$9*MonteCarlo!$B$8)*_xlfn.NORM.S.DIST(((LN(AD$1/$A14)+(MonteCarlo!$B$9+(MonteCarlo!$B$7^2)/2)*MonteCarlo!$B$8)/(MonteCarlo!$B$7*SQRT(MonteCarlo!$B$8)))-(MonteCarlo!$B$7*SQRT(MonteCarlo!$B$8)),TRUE),$A14*EXP(-MonteCarlo!$B$9*MonteCarlo!$B$8)*_xlfn.NORM.S.DIST(-(((LN(AD$1/$A14)+(MonteCarlo!$B$9+(MonteCarlo!$B$7^2)/2)*MonteCarlo!$B$8)/(MonteCarlo!$B$7*SQRT(MonteCarlo!$B$8)))-(MonteCarlo!$B$7*SQRT(MonteCarlo!$B$8))),TRUE)-AD$1*_xlfn.NORM.S.DIST(-((LN(AD$1/$A14)+(MonteCarlo!$B$9+(MonteCarlo!$B$7^2)/2)*MonteCarlo!$B$8)/(MonteCarlo!$B$7*SQRT(MonteCarlo!$B$8))),TRUE)),"")</f>
        <v/>
      </c>
      <c r="AE14" t="str">
        <f ca="1">IFERROR(IF(OR(MonteCarlo!$B$4="C",MonteCarlo!$B$4="c"),AE$1*_xlfn.NORM.S.DIST((LN(AE$1/$A14)+(MonteCarlo!$B$9+(MonteCarlo!$B$7^2)/2)*MonteCarlo!$B$8)/(MonteCarlo!$B$7*SQRT(MonteCarlo!$B$8)),TRUE)-$A14*EXP(-MonteCarlo!$B$9*MonteCarlo!$B$8)*_xlfn.NORM.S.DIST(((LN(AE$1/$A14)+(MonteCarlo!$B$9+(MonteCarlo!$B$7^2)/2)*MonteCarlo!$B$8)/(MonteCarlo!$B$7*SQRT(MonteCarlo!$B$8)))-(MonteCarlo!$B$7*SQRT(MonteCarlo!$B$8)),TRUE),$A14*EXP(-MonteCarlo!$B$9*MonteCarlo!$B$8)*_xlfn.NORM.S.DIST(-(((LN(AE$1/$A14)+(MonteCarlo!$B$9+(MonteCarlo!$B$7^2)/2)*MonteCarlo!$B$8)/(MonteCarlo!$B$7*SQRT(MonteCarlo!$B$8)))-(MonteCarlo!$B$7*SQRT(MonteCarlo!$B$8))),TRUE)-AE$1*_xlfn.NORM.S.DIST(-((LN(AE$1/$A14)+(MonteCarlo!$B$9+(MonteCarlo!$B$7^2)/2)*MonteCarlo!$B$8)/(MonteCarlo!$B$7*SQRT(MonteCarlo!$B$8))),TRUE)),"")</f>
        <v/>
      </c>
      <c r="AF14" t="str">
        <f ca="1">IFERROR(IF(OR(MonteCarlo!$B$4="C",MonteCarlo!$B$4="c"),AF$1*_xlfn.NORM.S.DIST((LN(AF$1/$A14)+(MonteCarlo!$B$9+(MonteCarlo!$B$7^2)/2)*MonteCarlo!$B$8)/(MonteCarlo!$B$7*SQRT(MonteCarlo!$B$8)),TRUE)-$A14*EXP(-MonteCarlo!$B$9*MonteCarlo!$B$8)*_xlfn.NORM.S.DIST(((LN(AF$1/$A14)+(MonteCarlo!$B$9+(MonteCarlo!$B$7^2)/2)*MonteCarlo!$B$8)/(MonteCarlo!$B$7*SQRT(MonteCarlo!$B$8)))-(MonteCarlo!$B$7*SQRT(MonteCarlo!$B$8)),TRUE),$A14*EXP(-MonteCarlo!$B$9*MonteCarlo!$B$8)*_xlfn.NORM.S.DIST(-(((LN(AF$1/$A14)+(MonteCarlo!$B$9+(MonteCarlo!$B$7^2)/2)*MonteCarlo!$B$8)/(MonteCarlo!$B$7*SQRT(MonteCarlo!$B$8)))-(MonteCarlo!$B$7*SQRT(MonteCarlo!$B$8))),TRUE)-AF$1*_xlfn.NORM.S.DIST(-((LN(AF$1/$A14)+(MonteCarlo!$B$9+(MonteCarlo!$B$7^2)/2)*MonteCarlo!$B$8)/(MonteCarlo!$B$7*SQRT(MonteCarlo!$B$8))),TRUE)),"")</f>
        <v/>
      </c>
    </row>
    <row r="15" spans="2:32" x14ac:dyDescent="0.25">
      <c r="B15" t="str">
        <f ca="1">IFERROR(IF(OR(MonteCarlo!$B$4="C",MonteCarlo!$B$4="c"),B$1*_xlfn.NORM.S.DIST((LN(B$1/$A15)+(MonteCarlo!$B$9+(MonteCarlo!$B$7^2)/2)*MonteCarlo!$B$8)/(MonteCarlo!$B$7*SQRT(MonteCarlo!$B$8)),TRUE)-$A15*EXP(-MonteCarlo!$B$9*MonteCarlo!$B$8)*_xlfn.NORM.S.DIST(((LN(B$1/$A15)+(MonteCarlo!$B$9+(MonteCarlo!$B$7^2)/2)*MonteCarlo!$B$8)/(MonteCarlo!$B$7*SQRT(MonteCarlo!$B$8)))-(MonteCarlo!$B$7*SQRT(MonteCarlo!$B$8)),TRUE),$A15*EXP(-MonteCarlo!$B$9*MonteCarlo!$B$8)*_xlfn.NORM.S.DIST(-(((LN(B$1/$A15)+(MonteCarlo!$B$9+(MonteCarlo!$B$7^2)/2)*MonteCarlo!$B$8)/(MonteCarlo!$B$7*SQRT(MonteCarlo!$B$8)))-(MonteCarlo!$B$7*SQRT(MonteCarlo!$B$8))),TRUE)-B$1*_xlfn.NORM.S.DIST(-((LN(B$1/$A15)+(MonteCarlo!$B$9+(MonteCarlo!$B$7^2)/2)*MonteCarlo!$B$8)/(MonteCarlo!$B$7*SQRT(MonteCarlo!$B$8))),TRUE)),"")</f>
        <v/>
      </c>
      <c r="C15" t="str">
        <f ca="1">IFERROR(IF(OR(MonteCarlo!$B$4="C",MonteCarlo!$B$4="c"),C$1*_xlfn.NORM.S.DIST((LN(C$1/$A15)+(MonteCarlo!$B$9+(MonteCarlo!$B$7^2)/2)*MonteCarlo!$B$8)/(MonteCarlo!$B$7*SQRT(MonteCarlo!$B$8)),TRUE)-$A15*EXP(-MonteCarlo!$B$9*MonteCarlo!$B$8)*_xlfn.NORM.S.DIST(((LN(C$1/$A15)+(MonteCarlo!$B$9+(MonteCarlo!$B$7^2)/2)*MonteCarlo!$B$8)/(MonteCarlo!$B$7*SQRT(MonteCarlo!$B$8)))-(MonteCarlo!$B$7*SQRT(MonteCarlo!$B$8)),TRUE),$A15*EXP(-MonteCarlo!$B$9*MonteCarlo!$B$8)*_xlfn.NORM.S.DIST(-(((LN(C$1/$A15)+(MonteCarlo!$B$9+(MonteCarlo!$B$7^2)/2)*MonteCarlo!$B$8)/(MonteCarlo!$B$7*SQRT(MonteCarlo!$B$8)))-(MonteCarlo!$B$7*SQRT(MonteCarlo!$B$8))),TRUE)-C$1*_xlfn.NORM.S.DIST(-((LN(C$1/$A15)+(MonteCarlo!$B$9+(MonteCarlo!$B$7^2)/2)*MonteCarlo!$B$8)/(MonteCarlo!$B$7*SQRT(MonteCarlo!$B$8))),TRUE)),"")</f>
        <v/>
      </c>
      <c r="D15" t="str">
        <f ca="1">IFERROR(IF(OR(MonteCarlo!$B$4="C",MonteCarlo!$B$4="c"),D$1*_xlfn.NORM.S.DIST((LN(D$1/$A15)+(MonteCarlo!$B$9+(MonteCarlo!$B$7^2)/2)*MonteCarlo!$B$8)/(MonteCarlo!$B$7*SQRT(MonteCarlo!$B$8)),TRUE)-$A15*EXP(-MonteCarlo!$B$9*MonteCarlo!$B$8)*_xlfn.NORM.S.DIST(((LN(D$1/$A15)+(MonteCarlo!$B$9+(MonteCarlo!$B$7^2)/2)*MonteCarlo!$B$8)/(MonteCarlo!$B$7*SQRT(MonteCarlo!$B$8)))-(MonteCarlo!$B$7*SQRT(MonteCarlo!$B$8)),TRUE),$A15*EXP(-MonteCarlo!$B$9*MonteCarlo!$B$8)*_xlfn.NORM.S.DIST(-(((LN(D$1/$A15)+(MonteCarlo!$B$9+(MonteCarlo!$B$7^2)/2)*MonteCarlo!$B$8)/(MonteCarlo!$B$7*SQRT(MonteCarlo!$B$8)))-(MonteCarlo!$B$7*SQRT(MonteCarlo!$B$8))),TRUE)-D$1*_xlfn.NORM.S.DIST(-((LN(D$1/$A15)+(MonteCarlo!$B$9+(MonteCarlo!$B$7^2)/2)*MonteCarlo!$B$8)/(MonteCarlo!$B$7*SQRT(MonteCarlo!$B$8))),TRUE)),"")</f>
        <v/>
      </c>
      <c r="E15" t="str">
        <f ca="1">IFERROR(IF(OR(MonteCarlo!$B$4="C",MonteCarlo!$B$4="c"),E$1*_xlfn.NORM.S.DIST((LN(E$1/$A15)+(MonteCarlo!$B$9+(MonteCarlo!$B$7^2)/2)*MonteCarlo!$B$8)/(MonteCarlo!$B$7*SQRT(MonteCarlo!$B$8)),TRUE)-$A15*EXP(-MonteCarlo!$B$9*MonteCarlo!$B$8)*_xlfn.NORM.S.DIST(((LN(E$1/$A15)+(MonteCarlo!$B$9+(MonteCarlo!$B$7^2)/2)*MonteCarlo!$B$8)/(MonteCarlo!$B$7*SQRT(MonteCarlo!$B$8)))-(MonteCarlo!$B$7*SQRT(MonteCarlo!$B$8)),TRUE),$A15*EXP(-MonteCarlo!$B$9*MonteCarlo!$B$8)*_xlfn.NORM.S.DIST(-(((LN(E$1/$A15)+(MonteCarlo!$B$9+(MonteCarlo!$B$7^2)/2)*MonteCarlo!$B$8)/(MonteCarlo!$B$7*SQRT(MonteCarlo!$B$8)))-(MonteCarlo!$B$7*SQRT(MonteCarlo!$B$8))),TRUE)-E$1*_xlfn.NORM.S.DIST(-((LN(E$1/$A15)+(MonteCarlo!$B$9+(MonteCarlo!$B$7^2)/2)*MonteCarlo!$B$8)/(MonteCarlo!$B$7*SQRT(MonteCarlo!$B$8))),TRUE)),"")</f>
        <v/>
      </c>
      <c r="F15" t="str">
        <f ca="1">IFERROR(IF(OR(MonteCarlo!$B$4="C",MonteCarlo!$B$4="c"),F$1*_xlfn.NORM.S.DIST((LN(F$1/$A15)+(MonteCarlo!$B$9+(MonteCarlo!$B$7^2)/2)*MonteCarlo!$B$8)/(MonteCarlo!$B$7*SQRT(MonteCarlo!$B$8)),TRUE)-$A15*EXP(-MonteCarlo!$B$9*MonteCarlo!$B$8)*_xlfn.NORM.S.DIST(((LN(F$1/$A15)+(MonteCarlo!$B$9+(MonteCarlo!$B$7^2)/2)*MonteCarlo!$B$8)/(MonteCarlo!$B$7*SQRT(MonteCarlo!$B$8)))-(MonteCarlo!$B$7*SQRT(MonteCarlo!$B$8)),TRUE),$A15*EXP(-MonteCarlo!$B$9*MonteCarlo!$B$8)*_xlfn.NORM.S.DIST(-(((LN(F$1/$A15)+(MonteCarlo!$B$9+(MonteCarlo!$B$7^2)/2)*MonteCarlo!$B$8)/(MonteCarlo!$B$7*SQRT(MonteCarlo!$B$8)))-(MonteCarlo!$B$7*SQRT(MonteCarlo!$B$8))),TRUE)-F$1*_xlfn.NORM.S.DIST(-((LN(F$1/$A15)+(MonteCarlo!$B$9+(MonteCarlo!$B$7^2)/2)*MonteCarlo!$B$8)/(MonteCarlo!$B$7*SQRT(MonteCarlo!$B$8))),TRUE)),"")</f>
        <v/>
      </c>
      <c r="G15" t="str">
        <f ca="1">IFERROR(IF(OR(MonteCarlo!$B$4="C",MonteCarlo!$B$4="c"),G$1*_xlfn.NORM.S.DIST((LN(G$1/$A15)+(MonteCarlo!$B$9+(MonteCarlo!$B$7^2)/2)*MonteCarlo!$B$8)/(MonteCarlo!$B$7*SQRT(MonteCarlo!$B$8)),TRUE)-$A15*EXP(-MonteCarlo!$B$9*MonteCarlo!$B$8)*_xlfn.NORM.S.DIST(((LN(G$1/$A15)+(MonteCarlo!$B$9+(MonteCarlo!$B$7^2)/2)*MonteCarlo!$B$8)/(MonteCarlo!$B$7*SQRT(MonteCarlo!$B$8)))-(MonteCarlo!$B$7*SQRT(MonteCarlo!$B$8)),TRUE),$A15*EXP(-MonteCarlo!$B$9*MonteCarlo!$B$8)*_xlfn.NORM.S.DIST(-(((LN(G$1/$A15)+(MonteCarlo!$B$9+(MonteCarlo!$B$7^2)/2)*MonteCarlo!$B$8)/(MonteCarlo!$B$7*SQRT(MonteCarlo!$B$8)))-(MonteCarlo!$B$7*SQRT(MonteCarlo!$B$8))),TRUE)-G$1*_xlfn.NORM.S.DIST(-((LN(G$1/$A15)+(MonteCarlo!$B$9+(MonteCarlo!$B$7^2)/2)*MonteCarlo!$B$8)/(MonteCarlo!$B$7*SQRT(MonteCarlo!$B$8))),TRUE)),"")</f>
        <v/>
      </c>
      <c r="H15" t="str">
        <f ca="1">IFERROR(IF(OR(MonteCarlo!$B$4="C",MonteCarlo!$B$4="c"),H$1*_xlfn.NORM.S.DIST((LN(H$1/$A15)+(MonteCarlo!$B$9+(MonteCarlo!$B$7^2)/2)*MonteCarlo!$B$8)/(MonteCarlo!$B$7*SQRT(MonteCarlo!$B$8)),TRUE)-$A15*EXP(-MonteCarlo!$B$9*MonteCarlo!$B$8)*_xlfn.NORM.S.DIST(((LN(H$1/$A15)+(MonteCarlo!$B$9+(MonteCarlo!$B$7^2)/2)*MonteCarlo!$B$8)/(MonteCarlo!$B$7*SQRT(MonteCarlo!$B$8)))-(MonteCarlo!$B$7*SQRT(MonteCarlo!$B$8)),TRUE),$A15*EXP(-MonteCarlo!$B$9*MonteCarlo!$B$8)*_xlfn.NORM.S.DIST(-(((LN(H$1/$A15)+(MonteCarlo!$B$9+(MonteCarlo!$B$7^2)/2)*MonteCarlo!$B$8)/(MonteCarlo!$B$7*SQRT(MonteCarlo!$B$8)))-(MonteCarlo!$B$7*SQRT(MonteCarlo!$B$8))),TRUE)-H$1*_xlfn.NORM.S.DIST(-((LN(H$1/$A15)+(MonteCarlo!$B$9+(MonteCarlo!$B$7^2)/2)*MonteCarlo!$B$8)/(MonteCarlo!$B$7*SQRT(MonteCarlo!$B$8))),TRUE)),"")</f>
        <v/>
      </c>
      <c r="I15" t="str">
        <f ca="1">IFERROR(IF(OR(MonteCarlo!$B$4="C",MonteCarlo!$B$4="c"),I$1*_xlfn.NORM.S.DIST((LN(I$1/$A15)+(MonteCarlo!$B$9+(MonteCarlo!$B$7^2)/2)*MonteCarlo!$B$8)/(MonteCarlo!$B$7*SQRT(MonteCarlo!$B$8)),TRUE)-$A15*EXP(-MonteCarlo!$B$9*MonteCarlo!$B$8)*_xlfn.NORM.S.DIST(((LN(I$1/$A15)+(MonteCarlo!$B$9+(MonteCarlo!$B$7^2)/2)*MonteCarlo!$B$8)/(MonteCarlo!$B$7*SQRT(MonteCarlo!$B$8)))-(MonteCarlo!$B$7*SQRT(MonteCarlo!$B$8)),TRUE),$A15*EXP(-MonteCarlo!$B$9*MonteCarlo!$B$8)*_xlfn.NORM.S.DIST(-(((LN(I$1/$A15)+(MonteCarlo!$B$9+(MonteCarlo!$B$7^2)/2)*MonteCarlo!$B$8)/(MonteCarlo!$B$7*SQRT(MonteCarlo!$B$8)))-(MonteCarlo!$B$7*SQRT(MonteCarlo!$B$8))),TRUE)-I$1*_xlfn.NORM.S.DIST(-((LN(I$1/$A15)+(MonteCarlo!$B$9+(MonteCarlo!$B$7^2)/2)*MonteCarlo!$B$8)/(MonteCarlo!$B$7*SQRT(MonteCarlo!$B$8))),TRUE)),"")</f>
        <v/>
      </c>
      <c r="J15" t="str">
        <f ca="1">IFERROR(IF(OR(MonteCarlo!$B$4="C",MonteCarlo!$B$4="c"),J$1*_xlfn.NORM.S.DIST((LN(J$1/$A15)+(MonteCarlo!$B$9+(MonteCarlo!$B$7^2)/2)*MonteCarlo!$B$8)/(MonteCarlo!$B$7*SQRT(MonteCarlo!$B$8)),TRUE)-$A15*EXP(-MonteCarlo!$B$9*MonteCarlo!$B$8)*_xlfn.NORM.S.DIST(((LN(J$1/$A15)+(MonteCarlo!$B$9+(MonteCarlo!$B$7^2)/2)*MonteCarlo!$B$8)/(MonteCarlo!$B$7*SQRT(MonteCarlo!$B$8)))-(MonteCarlo!$B$7*SQRT(MonteCarlo!$B$8)),TRUE),$A15*EXP(-MonteCarlo!$B$9*MonteCarlo!$B$8)*_xlfn.NORM.S.DIST(-(((LN(J$1/$A15)+(MonteCarlo!$B$9+(MonteCarlo!$B$7^2)/2)*MonteCarlo!$B$8)/(MonteCarlo!$B$7*SQRT(MonteCarlo!$B$8)))-(MonteCarlo!$B$7*SQRT(MonteCarlo!$B$8))),TRUE)-J$1*_xlfn.NORM.S.DIST(-((LN(J$1/$A15)+(MonteCarlo!$B$9+(MonteCarlo!$B$7^2)/2)*MonteCarlo!$B$8)/(MonteCarlo!$B$7*SQRT(MonteCarlo!$B$8))),TRUE)),"")</f>
        <v/>
      </c>
      <c r="K15" t="str">
        <f ca="1">IFERROR(IF(OR(MonteCarlo!$B$4="C",MonteCarlo!$B$4="c"),K$1*_xlfn.NORM.S.DIST((LN(K$1/$A15)+(MonteCarlo!$B$9+(MonteCarlo!$B$7^2)/2)*MonteCarlo!$B$8)/(MonteCarlo!$B$7*SQRT(MonteCarlo!$B$8)),TRUE)-$A15*EXP(-MonteCarlo!$B$9*MonteCarlo!$B$8)*_xlfn.NORM.S.DIST(((LN(K$1/$A15)+(MonteCarlo!$B$9+(MonteCarlo!$B$7^2)/2)*MonteCarlo!$B$8)/(MonteCarlo!$B$7*SQRT(MonteCarlo!$B$8)))-(MonteCarlo!$B$7*SQRT(MonteCarlo!$B$8)),TRUE),$A15*EXP(-MonteCarlo!$B$9*MonteCarlo!$B$8)*_xlfn.NORM.S.DIST(-(((LN(K$1/$A15)+(MonteCarlo!$B$9+(MonteCarlo!$B$7^2)/2)*MonteCarlo!$B$8)/(MonteCarlo!$B$7*SQRT(MonteCarlo!$B$8)))-(MonteCarlo!$B$7*SQRT(MonteCarlo!$B$8))),TRUE)-K$1*_xlfn.NORM.S.DIST(-((LN(K$1/$A15)+(MonteCarlo!$B$9+(MonteCarlo!$B$7^2)/2)*MonteCarlo!$B$8)/(MonteCarlo!$B$7*SQRT(MonteCarlo!$B$8))),TRUE)),"")</f>
        <v/>
      </c>
      <c r="L15" t="str">
        <f ca="1">IFERROR(IF(OR(MonteCarlo!$B$4="C",MonteCarlo!$B$4="c"),L$1*_xlfn.NORM.S.DIST((LN(L$1/$A15)+(MonteCarlo!$B$9+(MonteCarlo!$B$7^2)/2)*MonteCarlo!$B$8)/(MonteCarlo!$B$7*SQRT(MonteCarlo!$B$8)),TRUE)-$A15*EXP(-MonteCarlo!$B$9*MonteCarlo!$B$8)*_xlfn.NORM.S.DIST(((LN(L$1/$A15)+(MonteCarlo!$B$9+(MonteCarlo!$B$7^2)/2)*MonteCarlo!$B$8)/(MonteCarlo!$B$7*SQRT(MonteCarlo!$B$8)))-(MonteCarlo!$B$7*SQRT(MonteCarlo!$B$8)),TRUE),$A15*EXP(-MonteCarlo!$B$9*MonteCarlo!$B$8)*_xlfn.NORM.S.DIST(-(((LN(L$1/$A15)+(MonteCarlo!$B$9+(MonteCarlo!$B$7^2)/2)*MonteCarlo!$B$8)/(MonteCarlo!$B$7*SQRT(MonteCarlo!$B$8)))-(MonteCarlo!$B$7*SQRT(MonteCarlo!$B$8))),TRUE)-L$1*_xlfn.NORM.S.DIST(-((LN(L$1/$A15)+(MonteCarlo!$B$9+(MonteCarlo!$B$7^2)/2)*MonteCarlo!$B$8)/(MonteCarlo!$B$7*SQRT(MonteCarlo!$B$8))),TRUE)),"")</f>
        <v/>
      </c>
      <c r="M15" t="str">
        <f ca="1">IFERROR(IF(OR(MonteCarlo!$B$4="C",MonteCarlo!$B$4="c"),M$1*_xlfn.NORM.S.DIST((LN(M$1/$A15)+(MonteCarlo!$B$9+(MonteCarlo!$B$7^2)/2)*MonteCarlo!$B$8)/(MonteCarlo!$B$7*SQRT(MonteCarlo!$B$8)),TRUE)-$A15*EXP(-MonteCarlo!$B$9*MonteCarlo!$B$8)*_xlfn.NORM.S.DIST(((LN(M$1/$A15)+(MonteCarlo!$B$9+(MonteCarlo!$B$7^2)/2)*MonteCarlo!$B$8)/(MonteCarlo!$B$7*SQRT(MonteCarlo!$B$8)))-(MonteCarlo!$B$7*SQRT(MonteCarlo!$B$8)),TRUE),$A15*EXP(-MonteCarlo!$B$9*MonteCarlo!$B$8)*_xlfn.NORM.S.DIST(-(((LN(M$1/$A15)+(MonteCarlo!$B$9+(MonteCarlo!$B$7^2)/2)*MonteCarlo!$B$8)/(MonteCarlo!$B$7*SQRT(MonteCarlo!$B$8)))-(MonteCarlo!$B$7*SQRT(MonteCarlo!$B$8))),TRUE)-M$1*_xlfn.NORM.S.DIST(-((LN(M$1/$A15)+(MonteCarlo!$B$9+(MonteCarlo!$B$7^2)/2)*MonteCarlo!$B$8)/(MonteCarlo!$B$7*SQRT(MonteCarlo!$B$8))),TRUE)),"")</f>
        <v/>
      </c>
      <c r="N15" t="str">
        <f ca="1">IFERROR(IF(OR(MonteCarlo!$B$4="C",MonteCarlo!$B$4="c"),N$1*_xlfn.NORM.S.DIST((LN(N$1/$A15)+(MonteCarlo!$B$9+(MonteCarlo!$B$7^2)/2)*MonteCarlo!$B$8)/(MonteCarlo!$B$7*SQRT(MonteCarlo!$B$8)),TRUE)-$A15*EXP(-MonteCarlo!$B$9*MonteCarlo!$B$8)*_xlfn.NORM.S.DIST(((LN(N$1/$A15)+(MonteCarlo!$B$9+(MonteCarlo!$B$7^2)/2)*MonteCarlo!$B$8)/(MonteCarlo!$B$7*SQRT(MonteCarlo!$B$8)))-(MonteCarlo!$B$7*SQRT(MonteCarlo!$B$8)),TRUE),$A15*EXP(-MonteCarlo!$B$9*MonteCarlo!$B$8)*_xlfn.NORM.S.DIST(-(((LN(N$1/$A15)+(MonteCarlo!$B$9+(MonteCarlo!$B$7^2)/2)*MonteCarlo!$B$8)/(MonteCarlo!$B$7*SQRT(MonteCarlo!$B$8)))-(MonteCarlo!$B$7*SQRT(MonteCarlo!$B$8))),TRUE)-N$1*_xlfn.NORM.S.DIST(-((LN(N$1/$A15)+(MonteCarlo!$B$9+(MonteCarlo!$B$7^2)/2)*MonteCarlo!$B$8)/(MonteCarlo!$B$7*SQRT(MonteCarlo!$B$8))),TRUE)),"")</f>
        <v/>
      </c>
      <c r="O15" t="str">
        <f ca="1">IFERROR(IF(OR(MonteCarlo!$B$4="C",MonteCarlo!$B$4="c"),O$1*_xlfn.NORM.S.DIST((LN(O$1/$A15)+(MonteCarlo!$B$9+(MonteCarlo!$B$7^2)/2)*MonteCarlo!$B$8)/(MonteCarlo!$B$7*SQRT(MonteCarlo!$B$8)),TRUE)-$A15*EXP(-MonteCarlo!$B$9*MonteCarlo!$B$8)*_xlfn.NORM.S.DIST(((LN(O$1/$A15)+(MonteCarlo!$B$9+(MonteCarlo!$B$7^2)/2)*MonteCarlo!$B$8)/(MonteCarlo!$B$7*SQRT(MonteCarlo!$B$8)))-(MonteCarlo!$B$7*SQRT(MonteCarlo!$B$8)),TRUE),$A15*EXP(-MonteCarlo!$B$9*MonteCarlo!$B$8)*_xlfn.NORM.S.DIST(-(((LN(O$1/$A15)+(MonteCarlo!$B$9+(MonteCarlo!$B$7^2)/2)*MonteCarlo!$B$8)/(MonteCarlo!$B$7*SQRT(MonteCarlo!$B$8)))-(MonteCarlo!$B$7*SQRT(MonteCarlo!$B$8))),TRUE)-O$1*_xlfn.NORM.S.DIST(-((LN(O$1/$A15)+(MonteCarlo!$B$9+(MonteCarlo!$B$7^2)/2)*MonteCarlo!$B$8)/(MonteCarlo!$B$7*SQRT(MonteCarlo!$B$8))),TRUE)),"")</f>
        <v/>
      </c>
      <c r="P15" t="str">
        <f ca="1">IFERROR(IF(OR(MonteCarlo!$B$4="C",MonteCarlo!$B$4="c"),P$1*_xlfn.NORM.S.DIST((LN(P$1/$A15)+(MonteCarlo!$B$9+(MonteCarlo!$B$7^2)/2)*MonteCarlo!$B$8)/(MonteCarlo!$B$7*SQRT(MonteCarlo!$B$8)),TRUE)-$A15*EXP(-MonteCarlo!$B$9*MonteCarlo!$B$8)*_xlfn.NORM.S.DIST(((LN(P$1/$A15)+(MonteCarlo!$B$9+(MonteCarlo!$B$7^2)/2)*MonteCarlo!$B$8)/(MonteCarlo!$B$7*SQRT(MonteCarlo!$B$8)))-(MonteCarlo!$B$7*SQRT(MonteCarlo!$B$8)),TRUE),$A15*EXP(-MonteCarlo!$B$9*MonteCarlo!$B$8)*_xlfn.NORM.S.DIST(-(((LN(P$1/$A15)+(MonteCarlo!$B$9+(MonteCarlo!$B$7^2)/2)*MonteCarlo!$B$8)/(MonteCarlo!$B$7*SQRT(MonteCarlo!$B$8)))-(MonteCarlo!$B$7*SQRT(MonteCarlo!$B$8))),TRUE)-P$1*_xlfn.NORM.S.DIST(-((LN(P$1/$A15)+(MonteCarlo!$B$9+(MonteCarlo!$B$7^2)/2)*MonteCarlo!$B$8)/(MonteCarlo!$B$7*SQRT(MonteCarlo!$B$8))),TRUE)),"")</f>
        <v/>
      </c>
      <c r="Q15" t="str">
        <f ca="1">IFERROR(IF(OR(MonteCarlo!$B$4="C",MonteCarlo!$B$4="c"),Q$1*_xlfn.NORM.S.DIST((LN(Q$1/$A15)+(MonteCarlo!$B$9+(MonteCarlo!$B$7^2)/2)*MonteCarlo!$B$8)/(MonteCarlo!$B$7*SQRT(MonteCarlo!$B$8)),TRUE)-$A15*EXP(-MonteCarlo!$B$9*MonteCarlo!$B$8)*_xlfn.NORM.S.DIST(((LN(Q$1/$A15)+(MonteCarlo!$B$9+(MonteCarlo!$B$7^2)/2)*MonteCarlo!$B$8)/(MonteCarlo!$B$7*SQRT(MonteCarlo!$B$8)))-(MonteCarlo!$B$7*SQRT(MonteCarlo!$B$8)),TRUE),$A15*EXP(-MonteCarlo!$B$9*MonteCarlo!$B$8)*_xlfn.NORM.S.DIST(-(((LN(Q$1/$A15)+(MonteCarlo!$B$9+(MonteCarlo!$B$7^2)/2)*MonteCarlo!$B$8)/(MonteCarlo!$B$7*SQRT(MonteCarlo!$B$8)))-(MonteCarlo!$B$7*SQRT(MonteCarlo!$B$8))),TRUE)-Q$1*_xlfn.NORM.S.DIST(-((LN(Q$1/$A15)+(MonteCarlo!$B$9+(MonteCarlo!$B$7^2)/2)*MonteCarlo!$B$8)/(MonteCarlo!$B$7*SQRT(MonteCarlo!$B$8))),TRUE)),"")</f>
        <v/>
      </c>
      <c r="R15" t="str">
        <f ca="1">IFERROR(IF(OR(MonteCarlo!$B$4="C",MonteCarlo!$B$4="c"),R$1*_xlfn.NORM.S.DIST((LN(R$1/$A15)+(MonteCarlo!$B$9+(MonteCarlo!$B$7^2)/2)*MonteCarlo!$B$8)/(MonteCarlo!$B$7*SQRT(MonteCarlo!$B$8)),TRUE)-$A15*EXP(-MonteCarlo!$B$9*MonteCarlo!$B$8)*_xlfn.NORM.S.DIST(((LN(R$1/$A15)+(MonteCarlo!$B$9+(MonteCarlo!$B$7^2)/2)*MonteCarlo!$B$8)/(MonteCarlo!$B$7*SQRT(MonteCarlo!$B$8)))-(MonteCarlo!$B$7*SQRT(MonteCarlo!$B$8)),TRUE),$A15*EXP(-MonteCarlo!$B$9*MonteCarlo!$B$8)*_xlfn.NORM.S.DIST(-(((LN(R$1/$A15)+(MonteCarlo!$B$9+(MonteCarlo!$B$7^2)/2)*MonteCarlo!$B$8)/(MonteCarlo!$B$7*SQRT(MonteCarlo!$B$8)))-(MonteCarlo!$B$7*SQRT(MonteCarlo!$B$8))),TRUE)-R$1*_xlfn.NORM.S.DIST(-((LN(R$1/$A15)+(MonteCarlo!$B$9+(MonteCarlo!$B$7^2)/2)*MonteCarlo!$B$8)/(MonteCarlo!$B$7*SQRT(MonteCarlo!$B$8))),TRUE)),"")</f>
        <v/>
      </c>
      <c r="S15" t="str">
        <f ca="1">IFERROR(IF(OR(MonteCarlo!$B$4="C",MonteCarlo!$B$4="c"),S$1*_xlfn.NORM.S.DIST((LN(S$1/$A15)+(MonteCarlo!$B$9+(MonteCarlo!$B$7^2)/2)*MonteCarlo!$B$8)/(MonteCarlo!$B$7*SQRT(MonteCarlo!$B$8)),TRUE)-$A15*EXP(-MonteCarlo!$B$9*MonteCarlo!$B$8)*_xlfn.NORM.S.DIST(((LN(S$1/$A15)+(MonteCarlo!$B$9+(MonteCarlo!$B$7^2)/2)*MonteCarlo!$B$8)/(MonteCarlo!$B$7*SQRT(MonteCarlo!$B$8)))-(MonteCarlo!$B$7*SQRT(MonteCarlo!$B$8)),TRUE),$A15*EXP(-MonteCarlo!$B$9*MonteCarlo!$B$8)*_xlfn.NORM.S.DIST(-(((LN(S$1/$A15)+(MonteCarlo!$B$9+(MonteCarlo!$B$7^2)/2)*MonteCarlo!$B$8)/(MonteCarlo!$B$7*SQRT(MonteCarlo!$B$8)))-(MonteCarlo!$B$7*SQRT(MonteCarlo!$B$8))),TRUE)-S$1*_xlfn.NORM.S.DIST(-((LN(S$1/$A15)+(MonteCarlo!$B$9+(MonteCarlo!$B$7^2)/2)*MonteCarlo!$B$8)/(MonteCarlo!$B$7*SQRT(MonteCarlo!$B$8))),TRUE)),"")</f>
        <v/>
      </c>
      <c r="T15" t="str">
        <f ca="1">IFERROR(IF(OR(MonteCarlo!$B$4="C",MonteCarlo!$B$4="c"),T$1*_xlfn.NORM.S.DIST((LN(T$1/$A15)+(MonteCarlo!$B$9+(MonteCarlo!$B$7^2)/2)*MonteCarlo!$B$8)/(MonteCarlo!$B$7*SQRT(MonteCarlo!$B$8)),TRUE)-$A15*EXP(-MonteCarlo!$B$9*MonteCarlo!$B$8)*_xlfn.NORM.S.DIST(((LN(T$1/$A15)+(MonteCarlo!$B$9+(MonteCarlo!$B$7^2)/2)*MonteCarlo!$B$8)/(MonteCarlo!$B$7*SQRT(MonteCarlo!$B$8)))-(MonteCarlo!$B$7*SQRT(MonteCarlo!$B$8)),TRUE),$A15*EXP(-MonteCarlo!$B$9*MonteCarlo!$B$8)*_xlfn.NORM.S.DIST(-(((LN(T$1/$A15)+(MonteCarlo!$B$9+(MonteCarlo!$B$7^2)/2)*MonteCarlo!$B$8)/(MonteCarlo!$B$7*SQRT(MonteCarlo!$B$8)))-(MonteCarlo!$B$7*SQRT(MonteCarlo!$B$8))),TRUE)-T$1*_xlfn.NORM.S.DIST(-((LN(T$1/$A15)+(MonteCarlo!$B$9+(MonteCarlo!$B$7^2)/2)*MonteCarlo!$B$8)/(MonteCarlo!$B$7*SQRT(MonteCarlo!$B$8))),TRUE)),"")</f>
        <v/>
      </c>
      <c r="U15" t="str">
        <f ca="1">IFERROR(IF(OR(MonteCarlo!$B$4="C",MonteCarlo!$B$4="c"),U$1*_xlfn.NORM.S.DIST((LN(U$1/$A15)+(MonteCarlo!$B$9+(MonteCarlo!$B$7^2)/2)*MonteCarlo!$B$8)/(MonteCarlo!$B$7*SQRT(MonteCarlo!$B$8)),TRUE)-$A15*EXP(-MonteCarlo!$B$9*MonteCarlo!$B$8)*_xlfn.NORM.S.DIST(((LN(U$1/$A15)+(MonteCarlo!$B$9+(MonteCarlo!$B$7^2)/2)*MonteCarlo!$B$8)/(MonteCarlo!$B$7*SQRT(MonteCarlo!$B$8)))-(MonteCarlo!$B$7*SQRT(MonteCarlo!$B$8)),TRUE),$A15*EXP(-MonteCarlo!$B$9*MonteCarlo!$B$8)*_xlfn.NORM.S.DIST(-(((LN(U$1/$A15)+(MonteCarlo!$B$9+(MonteCarlo!$B$7^2)/2)*MonteCarlo!$B$8)/(MonteCarlo!$B$7*SQRT(MonteCarlo!$B$8)))-(MonteCarlo!$B$7*SQRT(MonteCarlo!$B$8))),TRUE)-U$1*_xlfn.NORM.S.DIST(-((LN(U$1/$A15)+(MonteCarlo!$B$9+(MonteCarlo!$B$7^2)/2)*MonteCarlo!$B$8)/(MonteCarlo!$B$7*SQRT(MonteCarlo!$B$8))),TRUE)),"")</f>
        <v/>
      </c>
      <c r="V15" t="str">
        <f ca="1">IFERROR(IF(OR(MonteCarlo!$B$4="C",MonteCarlo!$B$4="c"),V$1*_xlfn.NORM.S.DIST((LN(V$1/$A15)+(MonteCarlo!$B$9+(MonteCarlo!$B$7^2)/2)*MonteCarlo!$B$8)/(MonteCarlo!$B$7*SQRT(MonteCarlo!$B$8)),TRUE)-$A15*EXP(-MonteCarlo!$B$9*MonteCarlo!$B$8)*_xlfn.NORM.S.DIST(((LN(V$1/$A15)+(MonteCarlo!$B$9+(MonteCarlo!$B$7^2)/2)*MonteCarlo!$B$8)/(MonteCarlo!$B$7*SQRT(MonteCarlo!$B$8)))-(MonteCarlo!$B$7*SQRT(MonteCarlo!$B$8)),TRUE),$A15*EXP(-MonteCarlo!$B$9*MonteCarlo!$B$8)*_xlfn.NORM.S.DIST(-(((LN(V$1/$A15)+(MonteCarlo!$B$9+(MonteCarlo!$B$7^2)/2)*MonteCarlo!$B$8)/(MonteCarlo!$B$7*SQRT(MonteCarlo!$B$8)))-(MonteCarlo!$B$7*SQRT(MonteCarlo!$B$8))),TRUE)-V$1*_xlfn.NORM.S.DIST(-((LN(V$1/$A15)+(MonteCarlo!$B$9+(MonteCarlo!$B$7^2)/2)*MonteCarlo!$B$8)/(MonteCarlo!$B$7*SQRT(MonteCarlo!$B$8))),TRUE)),"")</f>
        <v/>
      </c>
      <c r="W15" t="str">
        <f ca="1">IFERROR(IF(OR(MonteCarlo!$B$4="C",MonteCarlo!$B$4="c"),W$1*_xlfn.NORM.S.DIST((LN(W$1/$A15)+(MonteCarlo!$B$9+(MonteCarlo!$B$7^2)/2)*MonteCarlo!$B$8)/(MonteCarlo!$B$7*SQRT(MonteCarlo!$B$8)),TRUE)-$A15*EXP(-MonteCarlo!$B$9*MonteCarlo!$B$8)*_xlfn.NORM.S.DIST(((LN(W$1/$A15)+(MonteCarlo!$B$9+(MonteCarlo!$B$7^2)/2)*MonteCarlo!$B$8)/(MonteCarlo!$B$7*SQRT(MonteCarlo!$B$8)))-(MonteCarlo!$B$7*SQRT(MonteCarlo!$B$8)),TRUE),$A15*EXP(-MonteCarlo!$B$9*MonteCarlo!$B$8)*_xlfn.NORM.S.DIST(-(((LN(W$1/$A15)+(MonteCarlo!$B$9+(MonteCarlo!$B$7^2)/2)*MonteCarlo!$B$8)/(MonteCarlo!$B$7*SQRT(MonteCarlo!$B$8)))-(MonteCarlo!$B$7*SQRT(MonteCarlo!$B$8))),TRUE)-W$1*_xlfn.NORM.S.DIST(-((LN(W$1/$A15)+(MonteCarlo!$B$9+(MonteCarlo!$B$7^2)/2)*MonteCarlo!$B$8)/(MonteCarlo!$B$7*SQRT(MonteCarlo!$B$8))),TRUE)),"")</f>
        <v/>
      </c>
      <c r="X15" t="str">
        <f ca="1">IFERROR(IF(OR(MonteCarlo!$B$4="C",MonteCarlo!$B$4="c"),X$1*_xlfn.NORM.S.DIST((LN(X$1/$A15)+(MonteCarlo!$B$9+(MonteCarlo!$B$7^2)/2)*MonteCarlo!$B$8)/(MonteCarlo!$B$7*SQRT(MonteCarlo!$B$8)),TRUE)-$A15*EXP(-MonteCarlo!$B$9*MonteCarlo!$B$8)*_xlfn.NORM.S.DIST(((LN(X$1/$A15)+(MonteCarlo!$B$9+(MonteCarlo!$B$7^2)/2)*MonteCarlo!$B$8)/(MonteCarlo!$B$7*SQRT(MonteCarlo!$B$8)))-(MonteCarlo!$B$7*SQRT(MonteCarlo!$B$8)),TRUE),$A15*EXP(-MonteCarlo!$B$9*MonteCarlo!$B$8)*_xlfn.NORM.S.DIST(-(((LN(X$1/$A15)+(MonteCarlo!$B$9+(MonteCarlo!$B$7^2)/2)*MonteCarlo!$B$8)/(MonteCarlo!$B$7*SQRT(MonteCarlo!$B$8)))-(MonteCarlo!$B$7*SQRT(MonteCarlo!$B$8))),TRUE)-X$1*_xlfn.NORM.S.DIST(-((LN(X$1/$A15)+(MonteCarlo!$B$9+(MonteCarlo!$B$7^2)/2)*MonteCarlo!$B$8)/(MonteCarlo!$B$7*SQRT(MonteCarlo!$B$8))),TRUE)),"")</f>
        <v/>
      </c>
      <c r="Y15" t="str">
        <f ca="1">IFERROR(IF(OR(MonteCarlo!$B$4="C",MonteCarlo!$B$4="c"),Y$1*_xlfn.NORM.S.DIST((LN(Y$1/$A15)+(MonteCarlo!$B$9+(MonteCarlo!$B$7^2)/2)*MonteCarlo!$B$8)/(MonteCarlo!$B$7*SQRT(MonteCarlo!$B$8)),TRUE)-$A15*EXP(-MonteCarlo!$B$9*MonteCarlo!$B$8)*_xlfn.NORM.S.DIST(((LN(Y$1/$A15)+(MonteCarlo!$B$9+(MonteCarlo!$B$7^2)/2)*MonteCarlo!$B$8)/(MonteCarlo!$B$7*SQRT(MonteCarlo!$B$8)))-(MonteCarlo!$B$7*SQRT(MonteCarlo!$B$8)),TRUE),$A15*EXP(-MonteCarlo!$B$9*MonteCarlo!$B$8)*_xlfn.NORM.S.DIST(-(((LN(Y$1/$A15)+(MonteCarlo!$B$9+(MonteCarlo!$B$7^2)/2)*MonteCarlo!$B$8)/(MonteCarlo!$B$7*SQRT(MonteCarlo!$B$8)))-(MonteCarlo!$B$7*SQRT(MonteCarlo!$B$8))),TRUE)-Y$1*_xlfn.NORM.S.DIST(-((LN(Y$1/$A15)+(MonteCarlo!$B$9+(MonteCarlo!$B$7^2)/2)*MonteCarlo!$B$8)/(MonteCarlo!$B$7*SQRT(MonteCarlo!$B$8))),TRUE)),"")</f>
        <v/>
      </c>
      <c r="Z15" t="str">
        <f ca="1">IFERROR(IF(OR(MonteCarlo!$B$4="C",MonteCarlo!$B$4="c"),Z$1*_xlfn.NORM.S.DIST((LN(Z$1/$A15)+(MonteCarlo!$B$9+(MonteCarlo!$B$7^2)/2)*MonteCarlo!$B$8)/(MonteCarlo!$B$7*SQRT(MonteCarlo!$B$8)),TRUE)-$A15*EXP(-MonteCarlo!$B$9*MonteCarlo!$B$8)*_xlfn.NORM.S.DIST(((LN(Z$1/$A15)+(MonteCarlo!$B$9+(MonteCarlo!$B$7^2)/2)*MonteCarlo!$B$8)/(MonteCarlo!$B$7*SQRT(MonteCarlo!$B$8)))-(MonteCarlo!$B$7*SQRT(MonteCarlo!$B$8)),TRUE),$A15*EXP(-MonteCarlo!$B$9*MonteCarlo!$B$8)*_xlfn.NORM.S.DIST(-(((LN(Z$1/$A15)+(MonteCarlo!$B$9+(MonteCarlo!$B$7^2)/2)*MonteCarlo!$B$8)/(MonteCarlo!$B$7*SQRT(MonteCarlo!$B$8)))-(MonteCarlo!$B$7*SQRT(MonteCarlo!$B$8))),TRUE)-Z$1*_xlfn.NORM.S.DIST(-((LN(Z$1/$A15)+(MonteCarlo!$B$9+(MonteCarlo!$B$7^2)/2)*MonteCarlo!$B$8)/(MonteCarlo!$B$7*SQRT(MonteCarlo!$B$8))),TRUE)),"")</f>
        <v/>
      </c>
      <c r="AA15" t="str">
        <f ca="1">IFERROR(IF(OR(MonteCarlo!$B$4="C",MonteCarlo!$B$4="c"),AA$1*_xlfn.NORM.S.DIST((LN(AA$1/$A15)+(MonteCarlo!$B$9+(MonteCarlo!$B$7^2)/2)*MonteCarlo!$B$8)/(MonteCarlo!$B$7*SQRT(MonteCarlo!$B$8)),TRUE)-$A15*EXP(-MonteCarlo!$B$9*MonteCarlo!$B$8)*_xlfn.NORM.S.DIST(((LN(AA$1/$A15)+(MonteCarlo!$B$9+(MonteCarlo!$B$7^2)/2)*MonteCarlo!$B$8)/(MonteCarlo!$B$7*SQRT(MonteCarlo!$B$8)))-(MonteCarlo!$B$7*SQRT(MonteCarlo!$B$8)),TRUE),$A15*EXP(-MonteCarlo!$B$9*MonteCarlo!$B$8)*_xlfn.NORM.S.DIST(-(((LN(AA$1/$A15)+(MonteCarlo!$B$9+(MonteCarlo!$B$7^2)/2)*MonteCarlo!$B$8)/(MonteCarlo!$B$7*SQRT(MonteCarlo!$B$8)))-(MonteCarlo!$B$7*SQRT(MonteCarlo!$B$8))),TRUE)-AA$1*_xlfn.NORM.S.DIST(-((LN(AA$1/$A15)+(MonteCarlo!$B$9+(MonteCarlo!$B$7^2)/2)*MonteCarlo!$B$8)/(MonteCarlo!$B$7*SQRT(MonteCarlo!$B$8))),TRUE)),"")</f>
        <v/>
      </c>
      <c r="AB15" t="str">
        <f ca="1">IFERROR(IF(OR(MonteCarlo!$B$4="C",MonteCarlo!$B$4="c"),AB$1*_xlfn.NORM.S.DIST((LN(AB$1/$A15)+(MonteCarlo!$B$9+(MonteCarlo!$B$7^2)/2)*MonteCarlo!$B$8)/(MonteCarlo!$B$7*SQRT(MonteCarlo!$B$8)),TRUE)-$A15*EXP(-MonteCarlo!$B$9*MonteCarlo!$B$8)*_xlfn.NORM.S.DIST(((LN(AB$1/$A15)+(MonteCarlo!$B$9+(MonteCarlo!$B$7^2)/2)*MonteCarlo!$B$8)/(MonteCarlo!$B$7*SQRT(MonteCarlo!$B$8)))-(MonteCarlo!$B$7*SQRT(MonteCarlo!$B$8)),TRUE),$A15*EXP(-MonteCarlo!$B$9*MonteCarlo!$B$8)*_xlfn.NORM.S.DIST(-(((LN(AB$1/$A15)+(MonteCarlo!$B$9+(MonteCarlo!$B$7^2)/2)*MonteCarlo!$B$8)/(MonteCarlo!$B$7*SQRT(MonteCarlo!$B$8)))-(MonteCarlo!$B$7*SQRT(MonteCarlo!$B$8))),TRUE)-AB$1*_xlfn.NORM.S.DIST(-((LN(AB$1/$A15)+(MonteCarlo!$B$9+(MonteCarlo!$B$7^2)/2)*MonteCarlo!$B$8)/(MonteCarlo!$B$7*SQRT(MonteCarlo!$B$8))),TRUE)),"")</f>
        <v/>
      </c>
      <c r="AC15" t="str">
        <f ca="1">IFERROR(IF(OR(MonteCarlo!$B$4="C",MonteCarlo!$B$4="c"),AC$1*_xlfn.NORM.S.DIST((LN(AC$1/$A15)+(MonteCarlo!$B$9+(MonteCarlo!$B$7^2)/2)*MonteCarlo!$B$8)/(MonteCarlo!$B$7*SQRT(MonteCarlo!$B$8)),TRUE)-$A15*EXP(-MonteCarlo!$B$9*MonteCarlo!$B$8)*_xlfn.NORM.S.DIST(((LN(AC$1/$A15)+(MonteCarlo!$B$9+(MonteCarlo!$B$7^2)/2)*MonteCarlo!$B$8)/(MonteCarlo!$B$7*SQRT(MonteCarlo!$B$8)))-(MonteCarlo!$B$7*SQRT(MonteCarlo!$B$8)),TRUE),$A15*EXP(-MonteCarlo!$B$9*MonteCarlo!$B$8)*_xlfn.NORM.S.DIST(-(((LN(AC$1/$A15)+(MonteCarlo!$B$9+(MonteCarlo!$B$7^2)/2)*MonteCarlo!$B$8)/(MonteCarlo!$B$7*SQRT(MonteCarlo!$B$8)))-(MonteCarlo!$B$7*SQRT(MonteCarlo!$B$8))),TRUE)-AC$1*_xlfn.NORM.S.DIST(-((LN(AC$1/$A15)+(MonteCarlo!$B$9+(MonteCarlo!$B$7^2)/2)*MonteCarlo!$B$8)/(MonteCarlo!$B$7*SQRT(MonteCarlo!$B$8))),TRUE)),"")</f>
        <v/>
      </c>
      <c r="AD15" t="str">
        <f ca="1">IFERROR(IF(OR(MonteCarlo!$B$4="C",MonteCarlo!$B$4="c"),AD$1*_xlfn.NORM.S.DIST((LN(AD$1/$A15)+(MonteCarlo!$B$9+(MonteCarlo!$B$7^2)/2)*MonteCarlo!$B$8)/(MonteCarlo!$B$7*SQRT(MonteCarlo!$B$8)),TRUE)-$A15*EXP(-MonteCarlo!$B$9*MonteCarlo!$B$8)*_xlfn.NORM.S.DIST(((LN(AD$1/$A15)+(MonteCarlo!$B$9+(MonteCarlo!$B$7^2)/2)*MonteCarlo!$B$8)/(MonteCarlo!$B$7*SQRT(MonteCarlo!$B$8)))-(MonteCarlo!$B$7*SQRT(MonteCarlo!$B$8)),TRUE),$A15*EXP(-MonteCarlo!$B$9*MonteCarlo!$B$8)*_xlfn.NORM.S.DIST(-(((LN(AD$1/$A15)+(MonteCarlo!$B$9+(MonteCarlo!$B$7^2)/2)*MonteCarlo!$B$8)/(MonteCarlo!$B$7*SQRT(MonteCarlo!$B$8)))-(MonteCarlo!$B$7*SQRT(MonteCarlo!$B$8))),TRUE)-AD$1*_xlfn.NORM.S.DIST(-((LN(AD$1/$A15)+(MonteCarlo!$B$9+(MonteCarlo!$B$7^2)/2)*MonteCarlo!$B$8)/(MonteCarlo!$B$7*SQRT(MonteCarlo!$B$8))),TRUE)),"")</f>
        <v/>
      </c>
      <c r="AE15" t="str">
        <f ca="1">IFERROR(IF(OR(MonteCarlo!$B$4="C",MonteCarlo!$B$4="c"),AE$1*_xlfn.NORM.S.DIST((LN(AE$1/$A15)+(MonteCarlo!$B$9+(MonteCarlo!$B$7^2)/2)*MonteCarlo!$B$8)/(MonteCarlo!$B$7*SQRT(MonteCarlo!$B$8)),TRUE)-$A15*EXP(-MonteCarlo!$B$9*MonteCarlo!$B$8)*_xlfn.NORM.S.DIST(((LN(AE$1/$A15)+(MonteCarlo!$B$9+(MonteCarlo!$B$7^2)/2)*MonteCarlo!$B$8)/(MonteCarlo!$B$7*SQRT(MonteCarlo!$B$8)))-(MonteCarlo!$B$7*SQRT(MonteCarlo!$B$8)),TRUE),$A15*EXP(-MonteCarlo!$B$9*MonteCarlo!$B$8)*_xlfn.NORM.S.DIST(-(((LN(AE$1/$A15)+(MonteCarlo!$B$9+(MonteCarlo!$B$7^2)/2)*MonteCarlo!$B$8)/(MonteCarlo!$B$7*SQRT(MonteCarlo!$B$8)))-(MonteCarlo!$B$7*SQRT(MonteCarlo!$B$8))),TRUE)-AE$1*_xlfn.NORM.S.DIST(-((LN(AE$1/$A15)+(MonteCarlo!$B$9+(MonteCarlo!$B$7^2)/2)*MonteCarlo!$B$8)/(MonteCarlo!$B$7*SQRT(MonteCarlo!$B$8))),TRUE)),"")</f>
        <v/>
      </c>
      <c r="AF15" t="str">
        <f ca="1">IFERROR(IF(OR(MonteCarlo!$B$4="C",MonteCarlo!$B$4="c"),AF$1*_xlfn.NORM.S.DIST((LN(AF$1/$A15)+(MonteCarlo!$B$9+(MonteCarlo!$B$7^2)/2)*MonteCarlo!$B$8)/(MonteCarlo!$B$7*SQRT(MonteCarlo!$B$8)),TRUE)-$A15*EXP(-MonteCarlo!$B$9*MonteCarlo!$B$8)*_xlfn.NORM.S.DIST(((LN(AF$1/$A15)+(MonteCarlo!$B$9+(MonteCarlo!$B$7^2)/2)*MonteCarlo!$B$8)/(MonteCarlo!$B$7*SQRT(MonteCarlo!$B$8)))-(MonteCarlo!$B$7*SQRT(MonteCarlo!$B$8)),TRUE),$A15*EXP(-MonteCarlo!$B$9*MonteCarlo!$B$8)*_xlfn.NORM.S.DIST(-(((LN(AF$1/$A15)+(MonteCarlo!$B$9+(MonteCarlo!$B$7^2)/2)*MonteCarlo!$B$8)/(MonteCarlo!$B$7*SQRT(MonteCarlo!$B$8)))-(MonteCarlo!$B$7*SQRT(MonteCarlo!$B$8))),TRUE)-AF$1*_xlfn.NORM.S.DIST(-((LN(AF$1/$A15)+(MonteCarlo!$B$9+(MonteCarlo!$B$7^2)/2)*MonteCarlo!$B$8)/(MonteCarlo!$B$7*SQRT(MonteCarlo!$B$8))),TRUE)),"")</f>
        <v/>
      </c>
    </row>
    <row r="16" spans="2:32" x14ac:dyDescent="0.25">
      <c r="B16" t="str">
        <f ca="1">IFERROR(IF(OR(MonteCarlo!$B$4="C",MonteCarlo!$B$4="c"),B$1*_xlfn.NORM.S.DIST((LN(B$1/$A16)+(MonteCarlo!$B$9+(MonteCarlo!$B$7^2)/2)*MonteCarlo!$B$8)/(MonteCarlo!$B$7*SQRT(MonteCarlo!$B$8)),TRUE)-$A16*EXP(-MonteCarlo!$B$9*MonteCarlo!$B$8)*_xlfn.NORM.S.DIST(((LN(B$1/$A16)+(MonteCarlo!$B$9+(MonteCarlo!$B$7^2)/2)*MonteCarlo!$B$8)/(MonteCarlo!$B$7*SQRT(MonteCarlo!$B$8)))-(MonteCarlo!$B$7*SQRT(MonteCarlo!$B$8)),TRUE),$A16*EXP(-MonteCarlo!$B$9*MonteCarlo!$B$8)*_xlfn.NORM.S.DIST(-(((LN(B$1/$A16)+(MonteCarlo!$B$9+(MonteCarlo!$B$7^2)/2)*MonteCarlo!$B$8)/(MonteCarlo!$B$7*SQRT(MonteCarlo!$B$8)))-(MonteCarlo!$B$7*SQRT(MonteCarlo!$B$8))),TRUE)-B$1*_xlfn.NORM.S.DIST(-((LN(B$1/$A16)+(MonteCarlo!$B$9+(MonteCarlo!$B$7^2)/2)*MonteCarlo!$B$8)/(MonteCarlo!$B$7*SQRT(MonteCarlo!$B$8))),TRUE)),"")</f>
        <v/>
      </c>
      <c r="C16" t="str">
        <f ca="1">IFERROR(IF(OR(MonteCarlo!$B$4="C",MonteCarlo!$B$4="c"),C$1*_xlfn.NORM.S.DIST((LN(C$1/$A16)+(MonteCarlo!$B$9+(MonteCarlo!$B$7^2)/2)*MonteCarlo!$B$8)/(MonteCarlo!$B$7*SQRT(MonteCarlo!$B$8)),TRUE)-$A16*EXP(-MonteCarlo!$B$9*MonteCarlo!$B$8)*_xlfn.NORM.S.DIST(((LN(C$1/$A16)+(MonteCarlo!$B$9+(MonteCarlo!$B$7^2)/2)*MonteCarlo!$B$8)/(MonteCarlo!$B$7*SQRT(MonteCarlo!$B$8)))-(MonteCarlo!$B$7*SQRT(MonteCarlo!$B$8)),TRUE),$A16*EXP(-MonteCarlo!$B$9*MonteCarlo!$B$8)*_xlfn.NORM.S.DIST(-(((LN(C$1/$A16)+(MonteCarlo!$B$9+(MonteCarlo!$B$7^2)/2)*MonteCarlo!$B$8)/(MonteCarlo!$B$7*SQRT(MonteCarlo!$B$8)))-(MonteCarlo!$B$7*SQRT(MonteCarlo!$B$8))),TRUE)-C$1*_xlfn.NORM.S.DIST(-((LN(C$1/$A16)+(MonteCarlo!$B$9+(MonteCarlo!$B$7^2)/2)*MonteCarlo!$B$8)/(MonteCarlo!$B$7*SQRT(MonteCarlo!$B$8))),TRUE)),"")</f>
        <v/>
      </c>
      <c r="D16" t="str">
        <f ca="1">IFERROR(IF(OR(MonteCarlo!$B$4="C",MonteCarlo!$B$4="c"),D$1*_xlfn.NORM.S.DIST((LN(D$1/$A16)+(MonteCarlo!$B$9+(MonteCarlo!$B$7^2)/2)*MonteCarlo!$B$8)/(MonteCarlo!$B$7*SQRT(MonteCarlo!$B$8)),TRUE)-$A16*EXP(-MonteCarlo!$B$9*MonteCarlo!$B$8)*_xlfn.NORM.S.DIST(((LN(D$1/$A16)+(MonteCarlo!$B$9+(MonteCarlo!$B$7^2)/2)*MonteCarlo!$B$8)/(MonteCarlo!$B$7*SQRT(MonteCarlo!$B$8)))-(MonteCarlo!$B$7*SQRT(MonteCarlo!$B$8)),TRUE),$A16*EXP(-MonteCarlo!$B$9*MonteCarlo!$B$8)*_xlfn.NORM.S.DIST(-(((LN(D$1/$A16)+(MonteCarlo!$B$9+(MonteCarlo!$B$7^2)/2)*MonteCarlo!$B$8)/(MonteCarlo!$B$7*SQRT(MonteCarlo!$B$8)))-(MonteCarlo!$B$7*SQRT(MonteCarlo!$B$8))),TRUE)-D$1*_xlfn.NORM.S.DIST(-((LN(D$1/$A16)+(MonteCarlo!$B$9+(MonteCarlo!$B$7^2)/2)*MonteCarlo!$B$8)/(MonteCarlo!$B$7*SQRT(MonteCarlo!$B$8))),TRUE)),"")</f>
        <v/>
      </c>
      <c r="E16" t="str">
        <f ca="1">IFERROR(IF(OR(MonteCarlo!$B$4="C",MonteCarlo!$B$4="c"),E$1*_xlfn.NORM.S.DIST((LN(E$1/$A16)+(MonteCarlo!$B$9+(MonteCarlo!$B$7^2)/2)*MonteCarlo!$B$8)/(MonteCarlo!$B$7*SQRT(MonteCarlo!$B$8)),TRUE)-$A16*EXP(-MonteCarlo!$B$9*MonteCarlo!$B$8)*_xlfn.NORM.S.DIST(((LN(E$1/$A16)+(MonteCarlo!$B$9+(MonteCarlo!$B$7^2)/2)*MonteCarlo!$B$8)/(MonteCarlo!$B$7*SQRT(MonteCarlo!$B$8)))-(MonteCarlo!$B$7*SQRT(MonteCarlo!$B$8)),TRUE),$A16*EXP(-MonteCarlo!$B$9*MonteCarlo!$B$8)*_xlfn.NORM.S.DIST(-(((LN(E$1/$A16)+(MonteCarlo!$B$9+(MonteCarlo!$B$7^2)/2)*MonteCarlo!$B$8)/(MonteCarlo!$B$7*SQRT(MonteCarlo!$B$8)))-(MonteCarlo!$B$7*SQRT(MonteCarlo!$B$8))),TRUE)-E$1*_xlfn.NORM.S.DIST(-((LN(E$1/$A16)+(MonteCarlo!$B$9+(MonteCarlo!$B$7^2)/2)*MonteCarlo!$B$8)/(MonteCarlo!$B$7*SQRT(MonteCarlo!$B$8))),TRUE)),"")</f>
        <v/>
      </c>
      <c r="F16" t="str">
        <f ca="1">IFERROR(IF(OR(MonteCarlo!$B$4="C",MonteCarlo!$B$4="c"),F$1*_xlfn.NORM.S.DIST((LN(F$1/$A16)+(MonteCarlo!$B$9+(MonteCarlo!$B$7^2)/2)*MonteCarlo!$B$8)/(MonteCarlo!$B$7*SQRT(MonteCarlo!$B$8)),TRUE)-$A16*EXP(-MonteCarlo!$B$9*MonteCarlo!$B$8)*_xlfn.NORM.S.DIST(((LN(F$1/$A16)+(MonteCarlo!$B$9+(MonteCarlo!$B$7^2)/2)*MonteCarlo!$B$8)/(MonteCarlo!$B$7*SQRT(MonteCarlo!$B$8)))-(MonteCarlo!$B$7*SQRT(MonteCarlo!$B$8)),TRUE),$A16*EXP(-MonteCarlo!$B$9*MonteCarlo!$B$8)*_xlfn.NORM.S.DIST(-(((LN(F$1/$A16)+(MonteCarlo!$B$9+(MonteCarlo!$B$7^2)/2)*MonteCarlo!$B$8)/(MonteCarlo!$B$7*SQRT(MonteCarlo!$B$8)))-(MonteCarlo!$B$7*SQRT(MonteCarlo!$B$8))),TRUE)-F$1*_xlfn.NORM.S.DIST(-((LN(F$1/$A16)+(MonteCarlo!$B$9+(MonteCarlo!$B$7^2)/2)*MonteCarlo!$B$8)/(MonteCarlo!$B$7*SQRT(MonteCarlo!$B$8))),TRUE)),"")</f>
        <v/>
      </c>
      <c r="G16" t="str">
        <f ca="1">IFERROR(IF(OR(MonteCarlo!$B$4="C",MonteCarlo!$B$4="c"),G$1*_xlfn.NORM.S.DIST((LN(G$1/$A16)+(MonteCarlo!$B$9+(MonteCarlo!$B$7^2)/2)*MonteCarlo!$B$8)/(MonteCarlo!$B$7*SQRT(MonteCarlo!$B$8)),TRUE)-$A16*EXP(-MonteCarlo!$B$9*MonteCarlo!$B$8)*_xlfn.NORM.S.DIST(((LN(G$1/$A16)+(MonteCarlo!$B$9+(MonteCarlo!$B$7^2)/2)*MonteCarlo!$B$8)/(MonteCarlo!$B$7*SQRT(MonteCarlo!$B$8)))-(MonteCarlo!$B$7*SQRT(MonteCarlo!$B$8)),TRUE),$A16*EXP(-MonteCarlo!$B$9*MonteCarlo!$B$8)*_xlfn.NORM.S.DIST(-(((LN(G$1/$A16)+(MonteCarlo!$B$9+(MonteCarlo!$B$7^2)/2)*MonteCarlo!$B$8)/(MonteCarlo!$B$7*SQRT(MonteCarlo!$B$8)))-(MonteCarlo!$B$7*SQRT(MonteCarlo!$B$8))),TRUE)-G$1*_xlfn.NORM.S.DIST(-((LN(G$1/$A16)+(MonteCarlo!$B$9+(MonteCarlo!$B$7^2)/2)*MonteCarlo!$B$8)/(MonteCarlo!$B$7*SQRT(MonteCarlo!$B$8))),TRUE)),"")</f>
        <v/>
      </c>
      <c r="H16" t="str">
        <f ca="1">IFERROR(IF(OR(MonteCarlo!$B$4="C",MonteCarlo!$B$4="c"),H$1*_xlfn.NORM.S.DIST((LN(H$1/$A16)+(MonteCarlo!$B$9+(MonteCarlo!$B$7^2)/2)*MonteCarlo!$B$8)/(MonteCarlo!$B$7*SQRT(MonteCarlo!$B$8)),TRUE)-$A16*EXP(-MonteCarlo!$B$9*MonteCarlo!$B$8)*_xlfn.NORM.S.DIST(((LN(H$1/$A16)+(MonteCarlo!$B$9+(MonteCarlo!$B$7^2)/2)*MonteCarlo!$B$8)/(MonteCarlo!$B$7*SQRT(MonteCarlo!$B$8)))-(MonteCarlo!$B$7*SQRT(MonteCarlo!$B$8)),TRUE),$A16*EXP(-MonteCarlo!$B$9*MonteCarlo!$B$8)*_xlfn.NORM.S.DIST(-(((LN(H$1/$A16)+(MonteCarlo!$B$9+(MonteCarlo!$B$7^2)/2)*MonteCarlo!$B$8)/(MonteCarlo!$B$7*SQRT(MonteCarlo!$B$8)))-(MonteCarlo!$B$7*SQRT(MonteCarlo!$B$8))),TRUE)-H$1*_xlfn.NORM.S.DIST(-((LN(H$1/$A16)+(MonteCarlo!$B$9+(MonteCarlo!$B$7^2)/2)*MonteCarlo!$B$8)/(MonteCarlo!$B$7*SQRT(MonteCarlo!$B$8))),TRUE)),"")</f>
        <v/>
      </c>
      <c r="I16" t="str">
        <f ca="1">IFERROR(IF(OR(MonteCarlo!$B$4="C",MonteCarlo!$B$4="c"),I$1*_xlfn.NORM.S.DIST((LN(I$1/$A16)+(MonteCarlo!$B$9+(MonteCarlo!$B$7^2)/2)*MonteCarlo!$B$8)/(MonteCarlo!$B$7*SQRT(MonteCarlo!$B$8)),TRUE)-$A16*EXP(-MonteCarlo!$B$9*MonteCarlo!$B$8)*_xlfn.NORM.S.DIST(((LN(I$1/$A16)+(MonteCarlo!$B$9+(MonteCarlo!$B$7^2)/2)*MonteCarlo!$B$8)/(MonteCarlo!$B$7*SQRT(MonteCarlo!$B$8)))-(MonteCarlo!$B$7*SQRT(MonteCarlo!$B$8)),TRUE),$A16*EXP(-MonteCarlo!$B$9*MonteCarlo!$B$8)*_xlfn.NORM.S.DIST(-(((LN(I$1/$A16)+(MonteCarlo!$B$9+(MonteCarlo!$B$7^2)/2)*MonteCarlo!$B$8)/(MonteCarlo!$B$7*SQRT(MonteCarlo!$B$8)))-(MonteCarlo!$B$7*SQRT(MonteCarlo!$B$8))),TRUE)-I$1*_xlfn.NORM.S.DIST(-((LN(I$1/$A16)+(MonteCarlo!$B$9+(MonteCarlo!$B$7^2)/2)*MonteCarlo!$B$8)/(MonteCarlo!$B$7*SQRT(MonteCarlo!$B$8))),TRUE)),"")</f>
        <v/>
      </c>
      <c r="J16" t="str">
        <f ca="1">IFERROR(IF(OR(MonteCarlo!$B$4="C",MonteCarlo!$B$4="c"),J$1*_xlfn.NORM.S.DIST((LN(J$1/$A16)+(MonteCarlo!$B$9+(MonteCarlo!$B$7^2)/2)*MonteCarlo!$B$8)/(MonteCarlo!$B$7*SQRT(MonteCarlo!$B$8)),TRUE)-$A16*EXP(-MonteCarlo!$B$9*MonteCarlo!$B$8)*_xlfn.NORM.S.DIST(((LN(J$1/$A16)+(MonteCarlo!$B$9+(MonteCarlo!$B$7^2)/2)*MonteCarlo!$B$8)/(MonteCarlo!$B$7*SQRT(MonteCarlo!$B$8)))-(MonteCarlo!$B$7*SQRT(MonteCarlo!$B$8)),TRUE),$A16*EXP(-MonteCarlo!$B$9*MonteCarlo!$B$8)*_xlfn.NORM.S.DIST(-(((LN(J$1/$A16)+(MonteCarlo!$B$9+(MonteCarlo!$B$7^2)/2)*MonteCarlo!$B$8)/(MonteCarlo!$B$7*SQRT(MonteCarlo!$B$8)))-(MonteCarlo!$B$7*SQRT(MonteCarlo!$B$8))),TRUE)-J$1*_xlfn.NORM.S.DIST(-((LN(J$1/$A16)+(MonteCarlo!$B$9+(MonteCarlo!$B$7^2)/2)*MonteCarlo!$B$8)/(MonteCarlo!$B$7*SQRT(MonteCarlo!$B$8))),TRUE)),"")</f>
        <v/>
      </c>
      <c r="K16" t="str">
        <f ca="1">IFERROR(IF(OR(MonteCarlo!$B$4="C",MonteCarlo!$B$4="c"),K$1*_xlfn.NORM.S.DIST((LN(K$1/$A16)+(MonteCarlo!$B$9+(MonteCarlo!$B$7^2)/2)*MonteCarlo!$B$8)/(MonteCarlo!$B$7*SQRT(MonteCarlo!$B$8)),TRUE)-$A16*EXP(-MonteCarlo!$B$9*MonteCarlo!$B$8)*_xlfn.NORM.S.DIST(((LN(K$1/$A16)+(MonteCarlo!$B$9+(MonteCarlo!$B$7^2)/2)*MonteCarlo!$B$8)/(MonteCarlo!$B$7*SQRT(MonteCarlo!$B$8)))-(MonteCarlo!$B$7*SQRT(MonteCarlo!$B$8)),TRUE),$A16*EXP(-MonteCarlo!$B$9*MonteCarlo!$B$8)*_xlfn.NORM.S.DIST(-(((LN(K$1/$A16)+(MonteCarlo!$B$9+(MonteCarlo!$B$7^2)/2)*MonteCarlo!$B$8)/(MonteCarlo!$B$7*SQRT(MonteCarlo!$B$8)))-(MonteCarlo!$B$7*SQRT(MonteCarlo!$B$8))),TRUE)-K$1*_xlfn.NORM.S.DIST(-((LN(K$1/$A16)+(MonteCarlo!$B$9+(MonteCarlo!$B$7^2)/2)*MonteCarlo!$B$8)/(MonteCarlo!$B$7*SQRT(MonteCarlo!$B$8))),TRUE)),"")</f>
        <v/>
      </c>
      <c r="L16" t="str">
        <f ca="1">IFERROR(IF(OR(MonteCarlo!$B$4="C",MonteCarlo!$B$4="c"),L$1*_xlfn.NORM.S.DIST((LN(L$1/$A16)+(MonteCarlo!$B$9+(MonteCarlo!$B$7^2)/2)*MonteCarlo!$B$8)/(MonteCarlo!$B$7*SQRT(MonteCarlo!$B$8)),TRUE)-$A16*EXP(-MonteCarlo!$B$9*MonteCarlo!$B$8)*_xlfn.NORM.S.DIST(((LN(L$1/$A16)+(MonteCarlo!$B$9+(MonteCarlo!$B$7^2)/2)*MonteCarlo!$B$8)/(MonteCarlo!$B$7*SQRT(MonteCarlo!$B$8)))-(MonteCarlo!$B$7*SQRT(MonteCarlo!$B$8)),TRUE),$A16*EXP(-MonteCarlo!$B$9*MonteCarlo!$B$8)*_xlfn.NORM.S.DIST(-(((LN(L$1/$A16)+(MonteCarlo!$B$9+(MonteCarlo!$B$7^2)/2)*MonteCarlo!$B$8)/(MonteCarlo!$B$7*SQRT(MonteCarlo!$B$8)))-(MonteCarlo!$B$7*SQRT(MonteCarlo!$B$8))),TRUE)-L$1*_xlfn.NORM.S.DIST(-((LN(L$1/$A16)+(MonteCarlo!$B$9+(MonteCarlo!$B$7^2)/2)*MonteCarlo!$B$8)/(MonteCarlo!$B$7*SQRT(MonteCarlo!$B$8))),TRUE)),"")</f>
        <v/>
      </c>
      <c r="M16" t="str">
        <f ca="1">IFERROR(IF(OR(MonteCarlo!$B$4="C",MonteCarlo!$B$4="c"),M$1*_xlfn.NORM.S.DIST((LN(M$1/$A16)+(MonteCarlo!$B$9+(MonteCarlo!$B$7^2)/2)*MonteCarlo!$B$8)/(MonteCarlo!$B$7*SQRT(MonteCarlo!$B$8)),TRUE)-$A16*EXP(-MonteCarlo!$B$9*MonteCarlo!$B$8)*_xlfn.NORM.S.DIST(((LN(M$1/$A16)+(MonteCarlo!$B$9+(MonteCarlo!$B$7^2)/2)*MonteCarlo!$B$8)/(MonteCarlo!$B$7*SQRT(MonteCarlo!$B$8)))-(MonteCarlo!$B$7*SQRT(MonteCarlo!$B$8)),TRUE),$A16*EXP(-MonteCarlo!$B$9*MonteCarlo!$B$8)*_xlfn.NORM.S.DIST(-(((LN(M$1/$A16)+(MonteCarlo!$B$9+(MonteCarlo!$B$7^2)/2)*MonteCarlo!$B$8)/(MonteCarlo!$B$7*SQRT(MonteCarlo!$B$8)))-(MonteCarlo!$B$7*SQRT(MonteCarlo!$B$8))),TRUE)-M$1*_xlfn.NORM.S.DIST(-((LN(M$1/$A16)+(MonteCarlo!$B$9+(MonteCarlo!$B$7^2)/2)*MonteCarlo!$B$8)/(MonteCarlo!$B$7*SQRT(MonteCarlo!$B$8))),TRUE)),"")</f>
        <v/>
      </c>
      <c r="N16" t="str">
        <f ca="1">IFERROR(IF(OR(MonteCarlo!$B$4="C",MonteCarlo!$B$4="c"),N$1*_xlfn.NORM.S.DIST((LN(N$1/$A16)+(MonteCarlo!$B$9+(MonteCarlo!$B$7^2)/2)*MonteCarlo!$B$8)/(MonteCarlo!$B$7*SQRT(MonteCarlo!$B$8)),TRUE)-$A16*EXP(-MonteCarlo!$B$9*MonteCarlo!$B$8)*_xlfn.NORM.S.DIST(((LN(N$1/$A16)+(MonteCarlo!$B$9+(MonteCarlo!$B$7^2)/2)*MonteCarlo!$B$8)/(MonteCarlo!$B$7*SQRT(MonteCarlo!$B$8)))-(MonteCarlo!$B$7*SQRT(MonteCarlo!$B$8)),TRUE),$A16*EXP(-MonteCarlo!$B$9*MonteCarlo!$B$8)*_xlfn.NORM.S.DIST(-(((LN(N$1/$A16)+(MonteCarlo!$B$9+(MonteCarlo!$B$7^2)/2)*MonteCarlo!$B$8)/(MonteCarlo!$B$7*SQRT(MonteCarlo!$B$8)))-(MonteCarlo!$B$7*SQRT(MonteCarlo!$B$8))),TRUE)-N$1*_xlfn.NORM.S.DIST(-((LN(N$1/$A16)+(MonteCarlo!$B$9+(MonteCarlo!$B$7^2)/2)*MonteCarlo!$B$8)/(MonteCarlo!$B$7*SQRT(MonteCarlo!$B$8))),TRUE)),"")</f>
        <v/>
      </c>
      <c r="O16" t="str">
        <f ca="1">IFERROR(IF(OR(MonteCarlo!$B$4="C",MonteCarlo!$B$4="c"),O$1*_xlfn.NORM.S.DIST((LN(O$1/$A16)+(MonteCarlo!$B$9+(MonteCarlo!$B$7^2)/2)*MonteCarlo!$B$8)/(MonteCarlo!$B$7*SQRT(MonteCarlo!$B$8)),TRUE)-$A16*EXP(-MonteCarlo!$B$9*MonteCarlo!$B$8)*_xlfn.NORM.S.DIST(((LN(O$1/$A16)+(MonteCarlo!$B$9+(MonteCarlo!$B$7^2)/2)*MonteCarlo!$B$8)/(MonteCarlo!$B$7*SQRT(MonteCarlo!$B$8)))-(MonteCarlo!$B$7*SQRT(MonteCarlo!$B$8)),TRUE),$A16*EXP(-MonteCarlo!$B$9*MonteCarlo!$B$8)*_xlfn.NORM.S.DIST(-(((LN(O$1/$A16)+(MonteCarlo!$B$9+(MonteCarlo!$B$7^2)/2)*MonteCarlo!$B$8)/(MonteCarlo!$B$7*SQRT(MonteCarlo!$B$8)))-(MonteCarlo!$B$7*SQRT(MonteCarlo!$B$8))),TRUE)-O$1*_xlfn.NORM.S.DIST(-((LN(O$1/$A16)+(MonteCarlo!$B$9+(MonteCarlo!$B$7^2)/2)*MonteCarlo!$B$8)/(MonteCarlo!$B$7*SQRT(MonteCarlo!$B$8))),TRUE)),"")</f>
        <v/>
      </c>
      <c r="P16" t="str">
        <f ca="1">IFERROR(IF(OR(MonteCarlo!$B$4="C",MonteCarlo!$B$4="c"),P$1*_xlfn.NORM.S.DIST((LN(P$1/$A16)+(MonteCarlo!$B$9+(MonteCarlo!$B$7^2)/2)*MonteCarlo!$B$8)/(MonteCarlo!$B$7*SQRT(MonteCarlo!$B$8)),TRUE)-$A16*EXP(-MonteCarlo!$B$9*MonteCarlo!$B$8)*_xlfn.NORM.S.DIST(((LN(P$1/$A16)+(MonteCarlo!$B$9+(MonteCarlo!$B$7^2)/2)*MonteCarlo!$B$8)/(MonteCarlo!$B$7*SQRT(MonteCarlo!$B$8)))-(MonteCarlo!$B$7*SQRT(MonteCarlo!$B$8)),TRUE),$A16*EXP(-MonteCarlo!$B$9*MonteCarlo!$B$8)*_xlfn.NORM.S.DIST(-(((LN(P$1/$A16)+(MonteCarlo!$B$9+(MonteCarlo!$B$7^2)/2)*MonteCarlo!$B$8)/(MonteCarlo!$B$7*SQRT(MonteCarlo!$B$8)))-(MonteCarlo!$B$7*SQRT(MonteCarlo!$B$8))),TRUE)-P$1*_xlfn.NORM.S.DIST(-((LN(P$1/$A16)+(MonteCarlo!$B$9+(MonteCarlo!$B$7^2)/2)*MonteCarlo!$B$8)/(MonteCarlo!$B$7*SQRT(MonteCarlo!$B$8))),TRUE)),"")</f>
        <v/>
      </c>
      <c r="Q16" t="str">
        <f ca="1">IFERROR(IF(OR(MonteCarlo!$B$4="C",MonteCarlo!$B$4="c"),Q$1*_xlfn.NORM.S.DIST((LN(Q$1/$A16)+(MonteCarlo!$B$9+(MonteCarlo!$B$7^2)/2)*MonteCarlo!$B$8)/(MonteCarlo!$B$7*SQRT(MonteCarlo!$B$8)),TRUE)-$A16*EXP(-MonteCarlo!$B$9*MonteCarlo!$B$8)*_xlfn.NORM.S.DIST(((LN(Q$1/$A16)+(MonteCarlo!$B$9+(MonteCarlo!$B$7^2)/2)*MonteCarlo!$B$8)/(MonteCarlo!$B$7*SQRT(MonteCarlo!$B$8)))-(MonteCarlo!$B$7*SQRT(MonteCarlo!$B$8)),TRUE),$A16*EXP(-MonteCarlo!$B$9*MonteCarlo!$B$8)*_xlfn.NORM.S.DIST(-(((LN(Q$1/$A16)+(MonteCarlo!$B$9+(MonteCarlo!$B$7^2)/2)*MonteCarlo!$B$8)/(MonteCarlo!$B$7*SQRT(MonteCarlo!$B$8)))-(MonteCarlo!$B$7*SQRT(MonteCarlo!$B$8))),TRUE)-Q$1*_xlfn.NORM.S.DIST(-((LN(Q$1/$A16)+(MonteCarlo!$B$9+(MonteCarlo!$B$7^2)/2)*MonteCarlo!$B$8)/(MonteCarlo!$B$7*SQRT(MonteCarlo!$B$8))),TRUE)),"")</f>
        <v/>
      </c>
      <c r="R16" t="str">
        <f ca="1">IFERROR(IF(OR(MonteCarlo!$B$4="C",MonteCarlo!$B$4="c"),R$1*_xlfn.NORM.S.DIST((LN(R$1/$A16)+(MonteCarlo!$B$9+(MonteCarlo!$B$7^2)/2)*MonteCarlo!$B$8)/(MonteCarlo!$B$7*SQRT(MonteCarlo!$B$8)),TRUE)-$A16*EXP(-MonteCarlo!$B$9*MonteCarlo!$B$8)*_xlfn.NORM.S.DIST(((LN(R$1/$A16)+(MonteCarlo!$B$9+(MonteCarlo!$B$7^2)/2)*MonteCarlo!$B$8)/(MonteCarlo!$B$7*SQRT(MonteCarlo!$B$8)))-(MonteCarlo!$B$7*SQRT(MonteCarlo!$B$8)),TRUE),$A16*EXP(-MonteCarlo!$B$9*MonteCarlo!$B$8)*_xlfn.NORM.S.DIST(-(((LN(R$1/$A16)+(MonteCarlo!$B$9+(MonteCarlo!$B$7^2)/2)*MonteCarlo!$B$8)/(MonteCarlo!$B$7*SQRT(MonteCarlo!$B$8)))-(MonteCarlo!$B$7*SQRT(MonteCarlo!$B$8))),TRUE)-R$1*_xlfn.NORM.S.DIST(-((LN(R$1/$A16)+(MonteCarlo!$B$9+(MonteCarlo!$B$7^2)/2)*MonteCarlo!$B$8)/(MonteCarlo!$B$7*SQRT(MonteCarlo!$B$8))),TRUE)),"")</f>
        <v/>
      </c>
      <c r="S16" t="str">
        <f ca="1">IFERROR(IF(OR(MonteCarlo!$B$4="C",MonteCarlo!$B$4="c"),S$1*_xlfn.NORM.S.DIST((LN(S$1/$A16)+(MonteCarlo!$B$9+(MonteCarlo!$B$7^2)/2)*MonteCarlo!$B$8)/(MonteCarlo!$B$7*SQRT(MonteCarlo!$B$8)),TRUE)-$A16*EXP(-MonteCarlo!$B$9*MonteCarlo!$B$8)*_xlfn.NORM.S.DIST(((LN(S$1/$A16)+(MonteCarlo!$B$9+(MonteCarlo!$B$7^2)/2)*MonteCarlo!$B$8)/(MonteCarlo!$B$7*SQRT(MonteCarlo!$B$8)))-(MonteCarlo!$B$7*SQRT(MonteCarlo!$B$8)),TRUE),$A16*EXP(-MonteCarlo!$B$9*MonteCarlo!$B$8)*_xlfn.NORM.S.DIST(-(((LN(S$1/$A16)+(MonteCarlo!$B$9+(MonteCarlo!$B$7^2)/2)*MonteCarlo!$B$8)/(MonteCarlo!$B$7*SQRT(MonteCarlo!$B$8)))-(MonteCarlo!$B$7*SQRT(MonteCarlo!$B$8))),TRUE)-S$1*_xlfn.NORM.S.DIST(-((LN(S$1/$A16)+(MonteCarlo!$B$9+(MonteCarlo!$B$7^2)/2)*MonteCarlo!$B$8)/(MonteCarlo!$B$7*SQRT(MonteCarlo!$B$8))),TRUE)),"")</f>
        <v/>
      </c>
      <c r="T16" t="str">
        <f ca="1">IFERROR(IF(OR(MonteCarlo!$B$4="C",MonteCarlo!$B$4="c"),T$1*_xlfn.NORM.S.DIST((LN(T$1/$A16)+(MonteCarlo!$B$9+(MonteCarlo!$B$7^2)/2)*MonteCarlo!$B$8)/(MonteCarlo!$B$7*SQRT(MonteCarlo!$B$8)),TRUE)-$A16*EXP(-MonteCarlo!$B$9*MonteCarlo!$B$8)*_xlfn.NORM.S.DIST(((LN(T$1/$A16)+(MonteCarlo!$B$9+(MonteCarlo!$B$7^2)/2)*MonteCarlo!$B$8)/(MonteCarlo!$B$7*SQRT(MonteCarlo!$B$8)))-(MonteCarlo!$B$7*SQRT(MonteCarlo!$B$8)),TRUE),$A16*EXP(-MonteCarlo!$B$9*MonteCarlo!$B$8)*_xlfn.NORM.S.DIST(-(((LN(T$1/$A16)+(MonteCarlo!$B$9+(MonteCarlo!$B$7^2)/2)*MonteCarlo!$B$8)/(MonteCarlo!$B$7*SQRT(MonteCarlo!$B$8)))-(MonteCarlo!$B$7*SQRT(MonteCarlo!$B$8))),TRUE)-T$1*_xlfn.NORM.S.DIST(-((LN(T$1/$A16)+(MonteCarlo!$B$9+(MonteCarlo!$B$7^2)/2)*MonteCarlo!$B$8)/(MonteCarlo!$B$7*SQRT(MonteCarlo!$B$8))),TRUE)),"")</f>
        <v/>
      </c>
      <c r="U16" t="str">
        <f ca="1">IFERROR(IF(OR(MonteCarlo!$B$4="C",MonteCarlo!$B$4="c"),U$1*_xlfn.NORM.S.DIST((LN(U$1/$A16)+(MonteCarlo!$B$9+(MonteCarlo!$B$7^2)/2)*MonteCarlo!$B$8)/(MonteCarlo!$B$7*SQRT(MonteCarlo!$B$8)),TRUE)-$A16*EXP(-MonteCarlo!$B$9*MonteCarlo!$B$8)*_xlfn.NORM.S.DIST(((LN(U$1/$A16)+(MonteCarlo!$B$9+(MonteCarlo!$B$7^2)/2)*MonteCarlo!$B$8)/(MonteCarlo!$B$7*SQRT(MonteCarlo!$B$8)))-(MonteCarlo!$B$7*SQRT(MonteCarlo!$B$8)),TRUE),$A16*EXP(-MonteCarlo!$B$9*MonteCarlo!$B$8)*_xlfn.NORM.S.DIST(-(((LN(U$1/$A16)+(MonteCarlo!$B$9+(MonteCarlo!$B$7^2)/2)*MonteCarlo!$B$8)/(MonteCarlo!$B$7*SQRT(MonteCarlo!$B$8)))-(MonteCarlo!$B$7*SQRT(MonteCarlo!$B$8))),TRUE)-U$1*_xlfn.NORM.S.DIST(-((LN(U$1/$A16)+(MonteCarlo!$B$9+(MonteCarlo!$B$7^2)/2)*MonteCarlo!$B$8)/(MonteCarlo!$B$7*SQRT(MonteCarlo!$B$8))),TRUE)),"")</f>
        <v/>
      </c>
      <c r="V16" t="str">
        <f ca="1">IFERROR(IF(OR(MonteCarlo!$B$4="C",MonteCarlo!$B$4="c"),V$1*_xlfn.NORM.S.DIST((LN(V$1/$A16)+(MonteCarlo!$B$9+(MonteCarlo!$B$7^2)/2)*MonteCarlo!$B$8)/(MonteCarlo!$B$7*SQRT(MonteCarlo!$B$8)),TRUE)-$A16*EXP(-MonteCarlo!$B$9*MonteCarlo!$B$8)*_xlfn.NORM.S.DIST(((LN(V$1/$A16)+(MonteCarlo!$B$9+(MonteCarlo!$B$7^2)/2)*MonteCarlo!$B$8)/(MonteCarlo!$B$7*SQRT(MonteCarlo!$B$8)))-(MonteCarlo!$B$7*SQRT(MonteCarlo!$B$8)),TRUE),$A16*EXP(-MonteCarlo!$B$9*MonteCarlo!$B$8)*_xlfn.NORM.S.DIST(-(((LN(V$1/$A16)+(MonteCarlo!$B$9+(MonteCarlo!$B$7^2)/2)*MonteCarlo!$B$8)/(MonteCarlo!$B$7*SQRT(MonteCarlo!$B$8)))-(MonteCarlo!$B$7*SQRT(MonteCarlo!$B$8))),TRUE)-V$1*_xlfn.NORM.S.DIST(-((LN(V$1/$A16)+(MonteCarlo!$B$9+(MonteCarlo!$B$7^2)/2)*MonteCarlo!$B$8)/(MonteCarlo!$B$7*SQRT(MonteCarlo!$B$8))),TRUE)),"")</f>
        <v/>
      </c>
      <c r="W16" t="str">
        <f ca="1">IFERROR(IF(OR(MonteCarlo!$B$4="C",MonteCarlo!$B$4="c"),W$1*_xlfn.NORM.S.DIST((LN(W$1/$A16)+(MonteCarlo!$B$9+(MonteCarlo!$B$7^2)/2)*MonteCarlo!$B$8)/(MonteCarlo!$B$7*SQRT(MonteCarlo!$B$8)),TRUE)-$A16*EXP(-MonteCarlo!$B$9*MonteCarlo!$B$8)*_xlfn.NORM.S.DIST(((LN(W$1/$A16)+(MonteCarlo!$B$9+(MonteCarlo!$B$7^2)/2)*MonteCarlo!$B$8)/(MonteCarlo!$B$7*SQRT(MonteCarlo!$B$8)))-(MonteCarlo!$B$7*SQRT(MonteCarlo!$B$8)),TRUE),$A16*EXP(-MonteCarlo!$B$9*MonteCarlo!$B$8)*_xlfn.NORM.S.DIST(-(((LN(W$1/$A16)+(MonteCarlo!$B$9+(MonteCarlo!$B$7^2)/2)*MonteCarlo!$B$8)/(MonteCarlo!$B$7*SQRT(MonteCarlo!$B$8)))-(MonteCarlo!$B$7*SQRT(MonteCarlo!$B$8))),TRUE)-W$1*_xlfn.NORM.S.DIST(-((LN(W$1/$A16)+(MonteCarlo!$B$9+(MonteCarlo!$B$7^2)/2)*MonteCarlo!$B$8)/(MonteCarlo!$B$7*SQRT(MonteCarlo!$B$8))),TRUE)),"")</f>
        <v/>
      </c>
      <c r="X16" t="str">
        <f ca="1">IFERROR(IF(OR(MonteCarlo!$B$4="C",MonteCarlo!$B$4="c"),X$1*_xlfn.NORM.S.DIST((LN(X$1/$A16)+(MonteCarlo!$B$9+(MonteCarlo!$B$7^2)/2)*MonteCarlo!$B$8)/(MonteCarlo!$B$7*SQRT(MonteCarlo!$B$8)),TRUE)-$A16*EXP(-MonteCarlo!$B$9*MonteCarlo!$B$8)*_xlfn.NORM.S.DIST(((LN(X$1/$A16)+(MonteCarlo!$B$9+(MonteCarlo!$B$7^2)/2)*MonteCarlo!$B$8)/(MonteCarlo!$B$7*SQRT(MonteCarlo!$B$8)))-(MonteCarlo!$B$7*SQRT(MonteCarlo!$B$8)),TRUE),$A16*EXP(-MonteCarlo!$B$9*MonteCarlo!$B$8)*_xlfn.NORM.S.DIST(-(((LN(X$1/$A16)+(MonteCarlo!$B$9+(MonteCarlo!$B$7^2)/2)*MonteCarlo!$B$8)/(MonteCarlo!$B$7*SQRT(MonteCarlo!$B$8)))-(MonteCarlo!$B$7*SQRT(MonteCarlo!$B$8))),TRUE)-X$1*_xlfn.NORM.S.DIST(-((LN(X$1/$A16)+(MonteCarlo!$B$9+(MonteCarlo!$B$7^2)/2)*MonteCarlo!$B$8)/(MonteCarlo!$B$7*SQRT(MonteCarlo!$B$8))),TRUE)),"")</f>
        <v/>
      </c>
      <c r="Y16" t="str">
        <f ca="1">IFERROR(IF(OR(MonteCarlo!$B$4="C",MonteCarlo!$B$4="c"),Y$1*_xlfn.NORM.S.DIST((LN(Y$1/$A16)+(MonteCarlo!$B$9+(MonteCarlo!$B$7^2)/2)*MonteCarlo!$B$8)/(MonteCarlo!$B$7*SQRT(MonteCarlo!$B$8)),TRUE)-$A16*EXP(-MonteCarlo!$B$9*MonteCarlo!$B$8)*_xlfn.NORM.S.DIST(((LN(Y$1/$A16)+(MonteCarlo!$B$9+(MonteCarlo!$B$7^2)/2)*MonteCarlo!$B$8)/(MonteCarlo!$B$7*SQRT(MonteCarlo!$B$8)))-(MonteCarlo!$B$7*SQRT(MonteCarlo!$B$8)),TRUE),$A16*EXP(-MonteCarlo!$B$9*MonteCarlo!$B$8)*_xlfn.NORM.S.DIST(-(((LN(Y$1/$A16)+(MonteCarlo!$B$9+(MonteCarlo!$B$7^2)/2)*MonteCarlo!$B$8)/(MonteCarlo!$B$7*SQRT(MonteCarlo!$B$8)))-(MonteCarlo!$B$7*SQRT(MonteCarlo!$B$8))),TRUE)-Y$1*_xlfn.NORM.S.DIST(-((LN(Y$1/$A16)+(MonteCarlo!$B$9+(MonteCarlo!$B$7^2)/2)*MonteCarlo!$B$8)/(MonteCarlo!$B$7*SQRT(MonteCarlo!$B$8))),TRUE)),"")</f>
        <v/>
      </c>
      <c r="Z16" t="str">
        <f ca="1">IFERROR(IF(OR(MonteCarlo!$B$4="C",MonteCarlo!$B$4="c"),Z$1*_xlfn.NORM.S.DIST((LN(Z$1/$A16)+(MonteCarlo!$B$9+(MonteCarlo!$B$7^2)/2)*MonteCarlo!$B$8)/(MonteCarlo!$B$7*SQRT(MonteCarlo!$B$8)),TRUE)-$A16*EXP(-MonteCarlo!$B$9*MonteCarlo!$B$8)*_xlfn.NORM.S.DIST(((LN(Z$1/$A16)+(MonteCarlo!$B$9+(MonteCarlo!$B$7^2)/2)*MonteCarlo!$B$8)/(MonteCarlo!$B$7*SQRT(MonteCarlo!$B$8)))-(MonteCarlo!$B$7*SQRT(MonteCarlo!$B$8)),TRUE),$A16*EXP(-MonteCarlo!$B$9*MonteCarlo!$B$8)*_xlfn.NORM.S.DIST(-(((LN(Z$1/$A16)+(MonteCarlo!$B$9+(MonteCarlo!$B$7^2)/2)*MonteCarlo!$B$8)/(MonteCarlo!$B$7*SQRT(MonteCarlo!$B$8)))-(MonteCarlo!$B$7*SQRT(MonteCarlo!$B$8))),TRUE)-Z$1*_xlfn.NORM.S.DIST(-((LN(Z$1/$A16)+(MonteCarlo!$B$9+(MonteCarlo!$B$7^2)/2)*MonteCarlo!$B$8)/(MonteCarlo!$B$7*SQRT(MonteCarlo!$B$8))),TRUE)),"")</f>
        <v/>
      </c>
      <c r="AA16" t="str">
        <f ca="1">IFERROR(IF(OR(MonteCarlo!$B$4="C",MonteCarlo!$B$4="c"),AA$1*_xlfn.NORM.S.DIST((LN(AA$1/$A16)+(MonteCarlo!$B$9+(MonteCarlo!$B$7^2)/2)*MonteCarlo!$B$8)/(MonteCarlo!$B$7*SQRT(MonteCarlo!$B$8)),TRUE)-$A16*EXP(-MonteCarlo!$B$9*MonteCarlo!$B$8)*_xlfn.NORM.S.DIST(((LN(AA$1/$A16)+(MonteCarlo!$B$9+(MonteCarlo!$B$7^2)/2)*MonteCarlo!$B$8)/(MonteCarlo!$B$7*SQRT(MonteCarlo!$B$8)))-(MonteCarlo!$B$7*SQRT(MonteCarlo!$B$8)),TRUE),$A16*EXP(-MonteCarlo!$B$9*MonteCarlo!$B$8)*_xlfn.NORM.S.DIST(-(((LN(AA$1/$A16)+(MonteCarlo!$B$9+(MonteCarlo!$B$7^2)/2)*MonteCarlo!$B$8)/(MonteCarlo!$B$7*SQRT(MonteCarlo!$B$8)))-(MonteCarlo!$B$7*SQRT(MonteCarlo!$B$8))),TRUE)-AA$1*_xlfn.NORM.S.DIST(-((LN(AA$1/$A16)+(MonteCarlo!$B$9+(MonteCarlo!$B$7^2)/2)*MonteCarlo!$B$8)/(MonteCarlo!$B$7*SQRT(MonteCarlo!$B$8))),TRUE)),"")</f>
        <v/>
      </c>
      <c r="AB16" t="str">
        <f ca="1">IFERROR(IF(OR(MonteCarlo!$B$4="C",MonteCarlo!$B$4="c"),AB$1*_xlfn.NORM.S.DIST((LN(AB$1/$A16)+(MonteCarlo!$B$9+(MonteCarlo!$B$7^2)/2)*MonteCarlo!$B$8)/(MonteCarlo!$B$7*SQRT(MonteCarlo!$B$8)),TRUE)-$A16*EXP(-MonteCarlo!$B$9*MonteCarlo!$B$8)*_xlfn.NORM.S.DIST(((LN(AB$1/$A16)+(MonteCarlo!$B$9+(MonteCarlo!$B$7^2)/2)*MonteCarlo!$B$8)/(MonteCarlo!$B$7*SQRT(MonteCarlo!$B$8)))-(MonteCarlo!$B$7*SQRT(MonteCarlo!$B$8)),TRUE),$A16*EXP(-MonteCarlo!$B$9*MonteCarlo!$B$8)*_xlfn.NORM.S.DIST(-(((LN(AB$1/$A16)+(MonteCarlo!$B$9+(MonteCarlo!$B$7^2)/2)*MonteCarlo!$B$8)/(MonteCarlo!$B$7*SQRT(MonteCarlo!$B$8)))-(MonteCarlo!$B$7*SQRT(MonteCarlo!$B$8))),TRUE)-AB$1*_xlfn.NORM.S.DIST(-((LN(AB$1/$A16)+(MonteCarlo!$B$9+(MonteCarlo!$B$7^2)/2)*MonteCarlo!$B$8)/(MonteCarlo!$B$7*SQRT(MonteCarlo!$B$8))),TRUE)),"")</f>
        <v/>
      </c>
      <c r="AC16" t="str">
        <f ca="1">IFERROR(IF(OR(MonteCarlo!$B$4="C",MonteCarlo!$B$4="c"),AC$1*_xlfn.NORM.S.DIST((LN(AC$1/$A16)+(MonteCarlo!$B$9+(MonteCarlo!$B$7^2)/2)*MonteCarlo!$B$8)/(MonteCarlo!$B$7*SQRT(MonteCarlo!$B$8)),TRUE)-$A16*EXP(-MonteCarlo!$B$9*MonteCarlo!$B$8)*_xlfn.NORM.S.DIST(((LN(AC$1/$A16)+(MonteCarlo!$B$9+(MonteCarlo!$B$7^2)/2)*MonteCarlo!$B$8)/(MonteCarlo!$B$7*SQRT(MonteCarlo!$B$8)))-(MonteCarlo!$B$7*SQRT(MonteCarlo!$B$8)),TRUE),$A16*EXP(-MonteCarlo!$B$9*MonteCarlo!$B$8)*_xlfn.NORM.S.DIST(-(((LN(AC$1/$A16)+(MonteCarlo!$B$9+(MonteCarlo!$B$7^2)/2)*MonteCarlo!$B$8)/(MonteCarlo!$B$7*SQRT(MonteCarlo!$B$8)))-(MonteCarlo!$B$7*SQRT(MonteCarlo!$B$8))),TRUE)-AC$1*_xlfn.NORM.S.DIST(-((LN(AC$1/$A16)+(MonteCarlo!$B$9+(MonteCarlo!$B$7^2)/2)*MonteCarlo!$B$8)/(MonteCarlo!$B$7*SQRT(MonteCarlo!$B$8))),TRUE)),"")</f>
        <v/>
      </c>
      <c r="AD16" t="str">
        <f ca="1">IFERROR(IF(OR(MonteCarlo!$B$4="C",MonteCarlo!$B$4="c"),AD$1*_xlfn.NORM.S.DIST((LN(AD$1/$A16)+(MonteCarlo!$B$9+(MonteCarlo!$B$7^2)/2)*MonteCarlo!$B$8)/(MonteCarlo!$B$7*SQRT(MonteCarlo!$B$8)),TRUE)-$A16*EXP(-MonteCarlo!$B$9*MonteCarlo!$B$8)*_xlfn.NORM.S.DIST(((LN(AD$1/$A16)+(MonteCarlo!$B$9+(MonteCarlo!$B$7^2)/2)*MonteCarlo!$B$8)/(MonteCarlo!$B$7*SQRT(MonteCarlo!$B$8)))-(MonteCarlo!$B$7*SQRT(MonteCarlo!$B$8)),TRUE),$A16*EXP(-MonteCarlo!$B$9*MonteCarlo!$B$8)*_xlfn.NORM.S.DIST(-(((LN(AD$1/$A16)+(MonteCarlo!$B$9+(MonteCarlo!$B$7^2)/2)*MonteCarlo!$B$8)/(MonteCarlo!$B$7*SQRT(MonteCarlo!$B$8)))-(MonteCarlo!$B$7*SQRT(MonteCarlo!$B$8))),TRUE)-AD$1*_xlfn.NORM.S.DIST(-((LN(AD$1/$A16)+(MonteCarlo!$B$9+(MonteCarlo!$B$7^2)/2)*MonteCarlo!$B$8)/(MonteCarlo!$B$7*SQRT(MonteCarlo!$B$8))),TRUE)),"")</f>
        <v/>
      </c>
      <c r="AE16" t="str">
        <f ca="1">IFERROR(IF(OR(MonteCarlo!$B$4="C",MonteCarlo!$B$4="c"),AE$1*_xlfn.NORM.S.DIST((LN(AE$1/$A16)+(MonteCarlo!$B$9+(MonteCarlo!$B$7^2)/2)*MonteCarlo!$B$8)/(MonteCarlo!$B$7*SQRT(MonteCarlo!$B$8)),TRUE)-$A16*EXP(-MonteCarlo!$B$9*MonteCarlo!$B$8)*_xlfn.NORM.S.DIST(((LN(AE$1/$A16)+(MonteCarlo!$B$9+(MonteCarlo!$B$7^2)/2)*MonteCarlo!$B$8)/(MonteCarlo!$B$7*SQRT(MonteCarlo!$B$8)))-(MonteCarlo!$B$7*SQRT(MonteCarlo!$B$8)),TRUE),$A16*EXP(-MonteCarlo!$B$9*MonteCarlo!$B$8)*_xlfn.NORM.S.DIST(-(((LN(AE$1/$A16)+(MonteCarlo!$B$9+(MonteCarlo!$B$7^2)/2)*MonteCarlo!$B$8)/(MonteCarlo!$B$7*SQRT(MonteCarlo!$B$8)))-(MonteCarlo!$B$7*SQRT(MonteCarlo!$B$8))),TRUE)-AE$1*_xlfn.NORM.S.DIST(-((LN(AE$1/$A16)+(MonteCarlo!$B$9+(MonteCarlo!$B$7^2)/2)*MonteCarlo!$B$8)/(MonteCarlo!$B$7*SQRT(MonteCarlo!$B$8))),TRUE)),"")</f>
        <v/>
      </c>
      <c r="AF16" t="str">
        <f ca="1">IFERROR(IF(OR(MonteCarlo!$B$4="C",MonteCarlo!$B$4="c"),AF$1*_xlfn.NORM.S.DIST((LN(AF$1/$A16)+(MonteCarlo!$B$9+(MonteCarlo!$B$7^2)/2)*MonteCarlo!$B$8)/(MonteCarlo!$B$7*SQRT(MonteCarlo!$B$8)),TRUE)-$A16*EXP(-MonteCarlo!$B$9*MonteCarlo!$B$8)*_xlfn.NORM.S.DIST(((LN(AF$1/$A16)+(MonteCarlo!$B$9+(MonteCarlo!$B$7^2)/2)*MonteCarlo!$B$8)/(MonteCarlo!$B$7*SQRT(MonteCarlo!$B$8)))-(MonteCarlo!$B$7*SQRT(MonteCarlo!$B$8)),TRUE),$A16*EXP(-MonteCarlo!$B$9*MonteCarlo!$B$8)*_xlfn.NORM.S.DIST(-(((LN(AF$1/$A16)+(MonteCarlo!$B$9+(MonteCarlo!$B$7^2)/2)*MonteCarlo!$B$8)/(MonteCarlo!$B$7*SQRT(MonteCarlo!$B$8)))-(MonteCarlo!$B$7*SQRT(MonteCarlo!$B$8))),TRUE)-AF$1*_xlfn.NORM.S.DIST(-((LN(AF$1/$A16)+(MonteCarlo!$B$9+(MonteCarlo!$B$7^2)/2)*MonteCarlo!$B$8)/(MonteCarlo!$B$7*SQRT(MonteCarlo!$B$8))),TRUE)),"")</f>
        <v/>
      </c>
    </row>
    <row r="17" spans="2:32" x14ac:dyDescent="0.25">
      <c r="B17" t="str">
        <f ca="1">IFERROR(IF(OR(MonteCarlo!$B$4="C",MonteCarlo!$B$4="c"),B$1*_xlfn.NORM.S.DIST((LN(B$1/$A17)+(MonteCarlo!$B$9+(MonteCarlo!$B$7^2)/2)*MonteCarlo!$B$8)/(MonteCarlo!$B$7*SQRT(MonteCarlo!$B$8)),TRUE)-$A17*EXP(-MonteCarlo!$B$9*MonteCarlo!$B$8)*_xlfn.NORM.S.DIST(((LN(B$1/$A17)+(MonteCarlo!$B$9+(MonteCarlo!$B$7^2)/2)*MonteCarlo!$B$8)/(MonteCarlo!$B$7*SQRT(MonteCarlo!$B$8)))-(MonteCarlo!$B$7*SQRT(MonteCarlo!$B$8)),TRUE),$A17*EXP(-MonteCarlo!$B$9*MonteCarlo!$B$8)*_xlfn.NORM.S.DIST(-(((LN(B$1/$A17)+(MonteCarlo!$B$9+(MonteCarlo!$B$7^2)/2)*MonteCarlo!$B$8)/(MonteCarlo!$B$7*SQRT(MonteCarlo!$B$8)))-(MonteCarlo!$B$7*SQRT(MonteCarlo!$B$8))),TRUE)-B$1*_xlfn.NORM.S.DIST(-((LN(B$1/$A17)+(MonteCarlo!$B$9+(MonteCarlo!$B$7^2)/2)*MonteCarlo!$B$8)/(MonteCarlo!$B$7*SQRT(MonteCarlo!$B$8))),TRUE)),"")</f>
        <v/>
      </c>
      <c r="C17" t="str">
        <f ca="1">IFERROR(IF(OR(MonteCarlo!$B$4="C",MonteCarlo!$B$4="c"),C$1*_xlfn.NORM.S.DIST((LN(C$1/$A17)+(MonteCarlo!$B$9+(MonteCarlo!$B$7^2)/2)*MonteCarlo!$B$8)/(MonteCarlo!$B$7*SQRT(MonteCarlo!$B$8)),TRUE)-$A17*EXP(-MonteCarlo!$B$9*MonteCarlo!$B$8)*_xlfn.NORM.S.DIST(((LN(C$1/$A17)+(MonteCarlo!$B$9+(MonteCarlo!$B$7^2)/2)*MonteCarlo!$B$8)/(MonteCarlo!$B$7*SQRT(MonteCarlo!$B$8)))-(MonteCarlo!$B$7*SQRT(MonteCarlo!$B$8)),TRUE),$A17*EXP(-MonteCarlo!$B$9*MonteCarlo!$B$8)*_xlfn.NORM.S.DIST(-(((LN(C$1/$A17)+(MonteCarlo!$B$9+(MonteCarlo!$B$7^2)/2)*MonteCarlo!$B$8)/(MonteCarlo!$B$7*SQRT(MonteCarlo!$B$8)))-(MonteCarlo!$B$7*SQRT(MonteCarlo!$B$8))),TRUE)-C$1*_xlfn.NORM.S.DIST(-((LN(C$1/$A17)+(MonteCarlo!$B$9+(MonteCarlo!$B$7^2)/2)*MonteCarlo!$B$8)/(MonteCarlo!$B$7*SQRT(MonteCarlo!$B$8))),TRUE)),"")</f>
        <v/>
      </c>
      <c r="D17" t="str">
        <f ca="1">IFERROR(IF(OR(MonteCarlo!$B$4="C",MonteCarlo!$B$4="c"),D$1*_xlfn.NORM.S.DIST((LN(D$1/$A17)+(MonteCarlo!$B$9+(MonteCarlo!$B$7^2)/2)*MonteCarlo!$B$8)/(MonteCarlo!$B$7*SQRT(MonteCarlo!$B$8)),TRUE)-$A17*EXP(-MonteCarlo!$B$9*MonteCarlo!$B$8)*_xlfn.NORM.S.DIST(((LN(D$1/$A17)+(MonteCarlo!$B$9+(MonteCarlo!$B$7^2)/2)*MonteCarlo!$B$8)/(MonteCarlo!$B$7*SQRT(MonteCarlo!$B$8)))-(MonteCarlo!$B$7*SQRT(MonteCarlo!$B$8)),TRUE),$A17*EXP(-MonteCarlo!$B$9*MonteCarlo!$B$8)*_xlfn.NORM.S.DIST(-(((LN(D$1/$A17)+(MonteCarlo!$B$9+(MonteCarlo!$B$7^2)/2)*MonteCarlo!$B$8)/(MonteCarlo!$B$7*SQRT(MonteCarlo!$B$8)))-(MonteCarlo!$B$7*SQRT(MonteCarlo!$B$8))),TRUE)-D$1*_xlfn.NORM.S.DIST(-((LN(D$1/$A17)+(MonteCarlo!$B$9+(MonteCarlo!$B$7^2)/2)*MonteCarlo!$B$8)/(MonteCarlo!$B$7*SQRT(MonteCarlo!$B$8))),TRUE)),"")</f>
        <v/>
      </c>
      <c r="E17" t="str">
        <f ca="1">IFERROR(IF(OR(MonteCarlo!$B$4="C",MonteCarlo!$B$4="c"),E$1*_xlfn.NORM.S.DIST((LN(E$1/$A17)+(MonteCarlo!$B$9+(MonteCarlo!$B$7^2)/2)*MonteCarlo!$B$8)/(MonteCarlo!$B$7*SQRT(MonteCarlo!$B$8)),TRUE)-$A17*EXP(-MonteCarlo!$B$9*MonteCarlo!$B$8)*_xlfn.NORM.S.DIST(((LN(E$1/$A17)+(MonteCarlo!$B$9+(MonteCarlo!$B$7^2)/2)*MonteCarlo!$B$8)/(MonteCarlo!$B$7*SQRT(MonteCarlo!$B$8)))-(MonteCarlo!$B$7*SQRT(MonteCarlo!$B$8)),TRUE),$A17*EXP(-MonteCarlo!$B$9*MonteCarlo!$B$8)*_xlfn.NORM.S.DIST(-(((LN(E$1/$A17)+(MonteCarlo!$B$9+(MonteCarlo!$B$7^2)/2)*MonteCarlo!$B$8)/(MonteCarlo!$B$7*SQRT(MonteCarlo!$B$8)))-(MonteCarlo!$B$7*SQRT(MonteCarlo!$B$8))),TRUE)-E$1*_xlfn.NORM.S.DIST(-((LN(E$1/$A17)+(MonteCarlo!$B$9+(MonteCarlo!$B$7^2)/2)*MonteCarlo!$B$8)/(MonteCarlo!$B$7*SQRT(MonteCarlo!$B$8))),TRUE)),"")</f>
        <v/>
      </c>
      <c r="F17" t="str">
        <f ca="1">IFERROR(IF(OR(MonteCarlo!$B$4="C",MonteCarlo!$B$4="c"),F$1*_xlfn.NORM.S.DIST((LN(F$1/$A17)+(MonteCarlo!$B$9+(MonteCarlo!$B$7^2)/2)*MonteCarlo!$B$8)/(MonteCarlo!$B$7*SQRT(MonteCarlo!$B$8)),TRUE)-$A17*EXP(-MonteCarlo!$B$9*MonteCarlo!$B$8)*_xlfn.NORM.S.DIST(((LN(F$1/$A17)+(MonteCarlo!$B$9+(MonteCarlo!$B$7^2)/2)*MonteCarlo!$B$8)/(MonteCarlo!$B$7*SQRT(MonteCarlo!$B$8)))-(MonteCarlo!$B$7*SQRT(MonteCarlo!$B$8)),TRUE),$A17*EXP(-MonteCarlo!$B$9*MonteCarlo!$B$8)*_xlfn.NORM.S.DIST(-(((LN(F$1/$A17)+(MonteCarlo!$B$9+(MonteCarlo!$B$7^2)/2)*MonteCarlo!$B$8)/(MonteCarlo!$B$7*SQRT(MonteCarlo!$B$8)))-(MonteCarlo!$B$7*SQRT(MonteCarlo!$B$8))),TRUE)-F$1*_xlfn.NORM.S.DIST(-((LN(F$1/$A17)+(MonteCarlo!$B$9+(MonteCarlo!$B$7^2)/2)*MonteCarlo!$B$8)/(MonteCarlo!$B$7*SQRT(MonteCarlo!$B$8))),TRUE)),"")</f>
        <v/>
      </c>
      <c r="G17" t="str">
        <f ca="1">IFERROR(IF(OR(MonteCarlo!$B$4="C",MonteCarlo!$B$4="c"),G$1*_xlfn.NORM.S.DIST((LN(G$1/$A17)+(MonteCarlo!$B$9+(MonteCarlo!$B$7^2)/2)*MonteCarlo!$B$8)/(MonteCarlo!$B$7*SQRT(MonteCarlo!$B$8)),TRUE)-$A17*EXP(-MonteCarlo!$B$9*MonteCarlo!$B$8)*_xlfn.NORM.S.DIST(((LN(G$1/$A17)+(MonteCarlo!$B$9+(MonteCarlo!$B$7^2)/2)*MonteCarlo!$B$8)/(MonteCarlo!$B$7*SQRT(MonteCarlo!$B$8)))-(MonteCarlo!$B$7*SQRT(MonteCarlo!$B$8)),TRUE),$A17*EXP(-MonteCarlo!$B$9*MonteCarlo!$B$8)*_xlfn.NORM.S.DIST(-(((LN(G$1/$A17)+(MonteCarlo!$B$9+(MonteCarlo!$B$7^2)/2)*MonteCarlo!$B$8)/(MonteCarlo!$B$7*SQRT(MonteCarlo!$B$8)))-(MonteCarlo!$B$7*SQRT(MonteCarlo!$B$8))),TRUE)-G$1*_xlfn.NORM.S.DIST(-((LN(G$1/$A17)+(MonteCarlo!$B$9+(MonteCarlo!$B$7^2)/2)*MonteCarlo!$B$8)/(MonteCarlo!$B$7*SQRT(MonteCarlo!$B$8))),TRUE)),"")</f>
        <v/>
      </c>
      <c r="H17" t="str">
        <f ca="1">IFERROR(IF(OR(MonteCarlo!$B$4="C",MonteCarlo!$B$4="c"),H$1*_xlfn.NORM.S.DIST((LN(H$1/$A17)+(MonteCarlo!$B$9+(MonteCarlo!$B$7^2)/2)*MonteCarlo!$B$8)/(MonteCarlo!$B$7*SQRT(MonteCarlo!$B$8)),TRUE)-$A17*EXP(-MonteCarlo!$B$9*MonteCarlo!$B$8)*_xlfn.NORM.S.DIST(((LN(H$1/$A17)+(MonteCarlo!$B$9+(MonteCarlo!$B$7^2)/2)*MonteCarlo!$B$8)/(MonteCarlo!$B$7*SQRT(MonteCarlo!$B$8)))-(MonteCarlo!$B$7*SQRT(MonteCarlo!$B$8)),TRUE),$A17*EXP(-MonteCarlo!$B$9*MonteCarlo!$B$8)*_xlfn.NORM.S.DIST(-(((LN(H$1/$A17)+(MonteCarlo!$B$9+(MonteCarlo!$B$7^2)/2)*MonteCarlo!$B$8)/(MonteCarlo!$B$7*SQRT(MonteCarlo!$B$8)))-(MonteCarlo!$B$7*SQRT(MonteCarlo!$B$8))),TRUE)-H$1*_xlfn.NORM.S.DIST(-((LN(H$1/$A17)+(MonteCarlo!$B$9+(MonteCarlo!$B$7^2)/2)*MonteCarlo!$B$8)/(MonteCarlo!$B$7*SQRT(MonteCarlo!$B$8))),TRUE)),"")</f>
        <v/>
      </c>
      <c r="I17" t="str">
        <f ca="1">IFERROR(IF(OR(MonteCarlo!$B$4="C",MonteCarlo!$B$4="c"),I$1*_xlfn.NORM.S.DIST((LN(I$1/$A17)+(MonteCarlo!$B$9+(MonteCarlo!$B$7^2)/2)*MonteCarlo!$B$8)/(MonteCarlo!$B$7*SQRT(MonteCarlo!$B$8)),TRUE)-$A17*EXP(-MonteCarlo!$B$9*MonteCarlo!$B$8)*_xlfn.NORM.S.DIST(((LN(I$1/$A17)+(MonteCarlo!$B$9+(MonteCarlo!$B$7^2)/2)*MonteCarlo!$B$8)/(MonteCarlo!$B$7*SQRT(MonteCarlo!$B$8)))-(MonteCarlo!$B$7*SQRT(MonteCarlo!$B$8)),TRUE),$A17*EXP(-MonteCarlo!$B$9*MonteCarlo!$B$8)*_xlfn.NORM.S.DIST(-(((LN(I$1/$A17)+(MonteCarlo!$B$9+(MonteCarlo!$B$7^2)/2)*MonteCarlo!$B$8)/(MonteCarlo!$B$7*SQRT(MonteCarlo!$B$8)))-(MonteCarlo!$B$7*SQRT(MonteCarlo!$B$8))),TRUE)-I$1*_xlfn.NORM.S.DIST(-((LN(I$1/$A17)+(MonteCarlo!$B$9+(MonteCarlo!$B$7^2)/2)*MonteCarlo!$B$8)/(MonteCarlo!$B$7*SQRT(MonteCarlo!$B$8))),TRUE)),"")</f>
        <v/>
      </c>
      <c r="J17" t="str">
        <f ca="1">IFERROR(IF(OR(MonteCarlo!$B$4="C",MonteCarlo!$B$4="c"),J$1*_xlfn.NORM.S.DIST((LN(J$1/$A17)+(MonteCarlo!$B$9+(MonteCarlo!$B$7^2)/2)*MonteCarlo!$B$8)/(MonteCarlo!$B$7*SQRT(MonteCarlo!$B$8)),TRUE)-$A17*EXP(-MonteCarlo!$B$9*MonteCarlo!$B$8)*_xlfn.NORM.S.DIST(((LN(J$1/$A17)+(MonteCarlo!$B$9+(MonteCarlo!$B$7^2)/2)*MonteCarlo!$B$8)/(MonteCarlo!$B$7*SQRT(MonteCarlo!$B$8)))-(MonteCarlo!$B$7*SQRT(MonteCarlo!$B$8)),TRUE),$A17*EXP(-MonteCarlo!$B$9*MonteCarlo!$B$8)*_xlfn.NORM.S.DIST(-(((LN(J$1/$A17)+(MonteCarlo!$B$9+(MonteCarlo!$B$7^2)/2)*MonteCarlo!$B$8)/(MonteCarlo!$B$7*SQRT(MonteCarlo!$B$8)))-(MonteCarlo!$B$7*SQRT(MonteCarlo!$B$8))),TRUE)-J$1*_xlfn.NORM.S.DIST(-((LN(J$1/$A17)+(MonteCarlo!$B$9+(MonteCarlo!$B$7^2)/2)*MonteCarlo!$B$8)/(MonteCarlo!$B$7*SQRT(MonteCarlo!$B$8))),TRUE)),"")</f>
        <v/>
      </c>
      <c r="K17" t="str">
        <f ca="1">IFERROR(IF(OR(MonteCarlo!$B$4="C",MonteCarlo!$B$4="c"),K$1*_xlfn.NORM.S.DIST((LN(K$1/$A17)+(MonteCarlo!$B$9+(MonteCarlo!$B$7^2)/2)*MonteCarlo!$B$8)/(MonteCarlo!$B$7*SQRT(MonteCarlo!$B$8)),TRUE)-$A17*EXP(-MonteCarlo!$B$9*MonteCarlo!$B$8)*_xlfn.NORM.S.DIST(((LN(K$1/$A17)+(MonteCarlo!$B$9+(MonteCarlo!$B$7^2)/2)*MonteCarlo!$B$8)/(MonteCarlo!$B$7*SQRT(MonteCarlo!$B$8)))-(MonteCarlo!$B$7*SQRT(MonteCarlo!$B$8)),TRUE),$A17*EXP(-MonteCarlo!$B$9*MonteCarlo!$B$8)*_xlfn.NORM.S.DIST(-(((LN(K$1/$A17)+(MonteCarlo!$B$9+(MonteCarlo!$B$7^2)/2)*MonteCarlo!$B$8)/(MonteCarlo!$B$7*SQRT(MonteCarlo!$B$8)))-(MonteCarlo!$B$7*SQRT(MonteCarlo!$B$8))),TRUE)-K$1*_xlfn.NORM.S.DIST(-((LN(K$1/$A17)+(MonteCarlo!$B$9+(MonteCarlo!$B$7^2)/2)*MonteCarlo!$B$8)/(MonteCarlo!$B$7*SQRT(MonteCarlo!$B$8))),TRUE)),"")</f>
        <v/>
      </c>
      <c r="L17" t="str">
        <f ca="1">IFERROR(IF(OR(MonteCarlo!$B$4="C",MonteCarlo!$B$4="c"),L$1*_xlfn.NORM.S.DIST((LN(L$1/$A17)+(MonteCarlo!$B$9+(MonteCarlo!$B$7^2)/2)*MonteCarlo!$B$8)/(MonteCarlo!$B$7*SQRT(MonteCarlo!$B$8)),TRUE)-$A17*EXP(-MonteCarlo!$B$9*MonteCarlo!$B$8)*_xlfn.NORM.S.DIST(((LN(L$1/$A17)+(MonteCarlo!$B$9+(MonteCarlo!$B$7^2)/2)*MonteCarlo!$B$8)/(MonteCarlo!$B$7*SQRT(MonteCarlo!$B$8)))-(MonteCarlo!$B$7*SQRT(MonteCarlo!$B$8)),TRUE),$A17*EXP(-MonteCarlo!$B$9*MonteCarlo!$B$8)*_xlfn.NORM.S.DIST(-(((LN(L$1/$A17)+(MonteCarlo!$B$9+(MonteCarlo!$B$7^2)/2)*MonteCarlo!$B$8)/(MonteCarlo!$B$7*SQRT(MonteCarlo!$B$8)))-(MonteCarlo!$B$7*SQRT(MonteCarlo!$B$8))),TRUE)-L$1*_xlfn.NORM.S.DIST(-((LN(L$1/$A17)+(MonteCarlo!$B$9+(MonteCarlo!$B$7^2)/2)*MonteCarlo!$B$8)/(MonteCarlo!$B$7*SQRT(MonteCarlo!$B$8))),TRUE)),"")</f>
        <v/>
      </c>
      <c r="M17" t="str">
        <f ca="1">IFERROR(IF(OR(MonteCarlo!$B$4="C",MonteCarlo!$B$4="c"),M$1*_xlfn.NORM.S.DIST((LN(M$1/$A17)+(MonteCarlo!$B$9+(MonteCarlo!$B$7^2)/2)*MonteCarlo!$B$8)/(MonteCarlo!$B$7*SQRT(MonteCarlo!$B$8)),TRUE)-$A17*EXP(-MonteCarlo!$B$9*MonteCarlo!$B$8)*_xlfn.NORM.S.DIST(((LN(M$1/$A17)+(MonteCarlo!$B$9+(MonteCarlo!$B$7^2)/2)*MonteCarlo!$B$8)/(MonteCarlo!$B$7*SQRT(MonteCarlo!$B$8)))-(MonteCarlo!$B$7*SQRT(MonteCarlo!$B$8)),TRUE),$A17*EXP(-MonteCarlo!$B$9*MonteCarlo!$B$8)*_xlfn.NORM.S.DIST(-(((LN(M$1/$A17)+(MonteCarlo!$B$9+(MonteCarlo!$B$7^2)/2)*MonteCarlo!$B$8)/(MonteCarlo!$B$7*SQRT(MonteCarlo!$B$8)))-(MonteCarlo!$B$7*SQRT(MonteCarlo!$B$8))),TRUE)-M$1*_xlfn.NORM.S.DIST(-((LN(M$1/$A17)+(MonteCarlo!$B$9+(MonteCarlo!$B$7^2)/2)*MonteCarlo!$B$8)/(MonteCarlo!$B$7*SQRT(MonteCarlo!$B$8))),TRUE)),"")</f>
        <v/>
      </c>
      <c r="N17" t="str">
        <f ca="1">IFERROR(IF(OR(MonteCarlo!$B$4="C",MonteCarlo!$B$4="c"),N$1*_xlfn.NORM.S.DIST((LN(N$1/$A17)+(MonteCarlo!$B$9+(MonteCarlo!$B$7^2)/2)*MonteCarlo!$B$8)/(MonteCarlo!$B$7*SQRT(MonteCarlo!$B$8)),TRUE)-$A17*EXP(-MonteCarlo!$B$9*MonteCarlo!$B$8)*_xlfn.NORM.S.DIST(((LN(N$1/$A17)+(MonteCarlo!$B$9+(MonteCarlo!$B$7^2)/2)*MonteCarlo!$B$8)/(MonteCarlo!$B$7*SQRT(MonteCarlo!$B$8)))-(MonteCarlo!$B$7*SQRT(MonteCarlo!$B$8)),TRUE),$A17*EXP(-MonteCarlo!$B$9*MonteCarlo!$B$8)*_xlfn.NORM.S.DIST(-(((LN(N$1/$A17)+(MonteCarlo!$B$9+(MonteCarlo!$B$7^2)/2)*MonteCarlo!$B$8)/(MonteCarlo!$B$7*SQRT(MonteCarlo!$B$8)))-(MonteCarlo!$B$7*SQRT(MonteCarlo!$B$8))),TRUE)-N$1*_xlfn.NORM.S.DIST(-((LN(N$1/$A17)+(MonteCarlo!$B$9+(MonteCarlo!$B$7^2)/2)*MonteCarlo!$B$8)/(MonteCarlo!$B$7*SQRT(MonteCarlo!$B$8))),TRUE)),"")</f>
        <v/>
      </c>
      <c r="O17" t="str">
        <f ca="1">IFERROR(IF(OR(MonteCarlo!$B$4="C",MonteCarlo!$B$4="c"),O$1*_xlfn.NORM.S.DIST((LN(O$1/$A17)+(MonteCarlo!$B$9+(MonteCarlo!$B$7^2)/2)*MonteCarlo!$B$8)/(MonteCarlo!$B$7*SQRT(MonteCarlo!$B$8)),TRUE)-$A17*EXP(-MonteCarlo!$B$9*MonteCarlo!$B$8)*_xlfn.NORM.S.DIST(((LN(O$1/$A17)+(MonteCarlo!$B$9+(MonteCarlo!$B$7^2)/2)*MonteCarlo!$B$8)/(MonteCarlo!$B$7*SQRT(MonteCarlo!$B$8)))-(MonteCarlo!$B$7*SQRT(MonteCarlo!$B$8)),TRUE),$A17*EXP(-MonteCarlo!$B$9*MonteCarlo!$B$8)*_xlfn.NORM.S.DIST(-(((LN(O$1/$A17)+(MonteCarlo!$B$9+(MonteCarlo!$B$7^2)/2)*MonteCarlo!$B$8)/(MonteCarlo!$B$7*SQRT(MonteCarlo!$B$8)))-(MonteCarlo!$B$7*SQRT(MonteCarlo!$B$8))),TRUE)-O$1*_xlfn.NORM.S.DIST(-((LN(O$1/$A17)+(MonteCarlo!$B$9+(MonteCarlo!$B$7^2)/2)*MonteCarlo!$B$8)/(MonteCarlo!$B$7*SQRT(MonteCarlo!$B$8))),TRUE)),"")</f>
        <v/>
      </c>
      <c r="P17" t="str">
        <f ca="1">IFERROR(IF(OR(MonteCarlo!$B$4="C",MonteCarlo!$B$4="c"),P$1*_xlfn.NORM.S.DIST((LN(P$1/$A17)+(MonteCarlo!$B$9+(MonteCarlo!$B$7^2)/2)*MonteCarlo!$B$8)/(MonteCarlo!$B$7*SQRT(MonteCarlo!$B$8)),TRUE)-$A17*EXP(-MonteCarlo!$B$9*MonteCarlo!$B$8)*_xlfn.NORM.S.DIST(((LN(P$1/$A17)+(MonteCarlo!$B$9+(MonteCarlo!$B$7^2)/2)*MonteCarlo!$B$8)/(MonteCarlo!$B$7*SQRT(MonteCarlo!$B$8)))-(MonteCarlo!$B$7*SQRT(MonteCarlo!$B$8)),TRUE),$A17*EXP(-MonteCarlo!$B$9*MonteCarlo!$B$8)*_xlfn.NORM.S.DIST(-(((LN(P$1/$A17)+(MonteCarlo!$B$9+(MonteCarlo!$B$7^2)/2)*MonteCarlo!$B$8)/(MonteCarlo!$B$7*SQRT(MonteCarlo!$B$8)))-(MonteCarlo!$B$7*SQRT(MonteCarlo!$B$8))),TRUE)-P$1*_xlfn.NORM.S.DIST(-((LN(P$1/$A17)+(MonteCarlo!$B$9+(MonteCarlo!$B$7^2)/2)*MonteCarlo!$B$8)/(MonteCarlo!$B$7*SQRT(MonteCarlo!$B$8))),TRUE)),"")</f>
        <v/>
      </c>
      <c r="Q17" t="str">
        <f ca="1">IFERROR(IF(OR(MonteCarlo!$B$4="C",MonteCarlo!$B$4="c"),Q$1*_xlfn.NORM.S.DIST((LN(Q$1/$A17)+(MonteCarlo!$B$9+(MonteCarlo!$B$7^2)/2)*MonteCarlo!$B$8)/(MonteCarlo!$B$7*SQRT(MonteCarlo!$B$8)),TRUE)-$A17*EXP(-MonteCarlo!$B$9*MonteCarlo!$B$8)*_xlfn.NORM.S.DIST(((LN(Q$1/$A17)+(MonteCarlo!$B$9+(MonteCarlo!$B$7^2)/2)*MonteCarlo!$B$8)/(MonteCarlo!$B$7*SQRT(MonteCarlo!$B$8)))-(MonteCarlo!$B$7*SQRT(MonteCarlo!$B$8)),TRUE),$A17*EXP(-MonteCarlo!$B$9*MonteCarlo!$B$8)*_xlfn.NORM.S.DIST(-(((LN(Q$1/$A17)+(MonteCarlo!$B$9+(MonteCarlo!$B$7^2)/2)*MonteCarlo!$B$8)/(MonteCarlo!$B$7*SQRT(MonteCarlo!$B$8)))-(MonteCarlo!$B$7*SQRT(MonteCarlo!$B$8))),TRUE)-Q$1*_xlfn.NORM.S.DIST(-((LN(Q$1/$A17)+(MonteCarlo!$B$9+(MonteCarlo!$B$7^2)/2)*MonteCarlo!$B$8)/(MonteCarlo!$B$7*SQRT(MonteCarlo!$B$8))),TRUE)),"")</f>
        <v/>
      </c>
      <c r="R17" t="str">
        <f ca="1">IFERROR(IF(OR(MonteCarlo!$B$4="C",MonteCarlo!$B$4="c"),R$1*_xlfn.NORM.S.DIST((LN(R$1/$A17)+(MonteCarlo!$B$9+(MonteCarlo!$B$7^2)/2)*MonteCarlo!$B$8)/(MonteCarlo!$B$7*SQRT(MonteCarlo!$B$8)),TRUE)-$A17*EXP(-MonteCarlo!$B$9*MonteCarlo!$B$8)*_xlfn.NORM.S.DIST(((LN(R$1/$A17)+(MonteCarlo!$B$9+(MonteCarlo!$B$7^2)/2)*MonteCarlo!$B$8)/(MonteCarlo!$B$7*SQRT(MonteCarlo!$B$8)))-(MonteCarlo!$B$7*SQRT(MonteCarlo!$B$8)),TRUE),$A17*EXP(-MonteCarlo!$B$9*MonteCarlo!$B$8)*_xlfn.NORM.S.DIST(-(((LN(R$1/$A17)+(MonteCarlo!$B$9+(MonteCarlo!$B$7^2)/2)*MonteCarlo!$B$8)/(MonteCarlo!$B$7*SQRT(MonteCarlo!$B$8)))-(MonteCarlo!$B$7*SQRT(MonteCarlo!$B$8))),TRUE)-R$1*_xlfn.NORM.S.DIST(-((LN(R$1/$A17)+(MonteCarlo!$B$9+(MonteCarlo!$B$7^2)/2)*MonteCarlo!$B$8)/(MonteCarlo!$B$7*SQRT(MonteCarlo!$B$8))),TRUE)),"")</f>
        <v/>
      </c>
      <c r="S17" t="str">
        <f ca="1">IFERROR(IF(OR(MonteCarlo!$B$4="C",MonteCarlo!$B$4="c"),S$1*_xlfn.NORM.S.DIST((LN(S$1/$A17)+(MonteCarlo!$B$9+(MonteCarlo!$B$7^2)/2)*MonteCarlo!$B$8)/(MonteCarlo!$B$7*SQRT(MonteCarlo!$B$8)),TRUE)-$A17*EXP(-MonteCarlo!$B$9*MonteCarlo!$B$8)*_xlfn.NORM.S.DIST(((LN(S$1/$A17)+(MonteCarlo!$B$9+(MonteCarlo!$B$7^2)/2)*MonteCarlo!$B$8)/(MonteCarlo!$B$7*SQRT(MonteCarlo!$B$8)))-(MonteCarlo!$B$7*SQRT(MonteCarlo!$B$8)),TRUE),$A17*EXP(-MonteCarlo!$B$9*MonteCarlo!$B$8)*_xlfn.NORM.S.DIST(-(((LN(S$1/$A17)+(MonteCarlo!$B$9+(MonteCarlo!$B$7^2)/2)*MonteCarlo!$B$8)/(MonteCarlo!$B$7*SQRT(MonteCarlo!$B$8)))-(MonteCarlo!$B$7*SQRT(MonteCarlo!$B$8))),TRUE)-S$1*_xlfn.NORM.S.DIST(-((LN(S$1/$A17)+(MonteCarlo!$B$9+(MonteCarlo!$B$7^2)/2)*MonteCarlo!$B$8)/(MonteCarlo!$B$7*SQRT(MonteCarlo!$B$8))),TRUE)),"")</f>
        <v/>
      </c>
      <c r="T17" t="str">
        <f ca="1">IFERROR(IF(OR(MonteCarlo!$B$4="C",MonteCarlo!$B$4="c"),T$1*_xlfn.NORM.S.DIST((LN(T$1/$A17)+(MonteCarlo!$B$9+(MonteCarlo!$B$7^2)/2)*MonteCarlo!$B$8)/(MonteCarlo!$B$7*SQRT(MonteCarlo!$B$8)),TRUE)-$A17*EXP(-MonteCarlo!$B$9*MonteCarlo!$B$8)*_xlfn.NORM.S.DIST(((LN(T$1/$A17)+(MonteCarlo!$B$9+(MonteCarlo!$B$7^2)/2)*MonteCarlo!$B$8)/(MonteCarlo!$B$7*SQRT(MonteCarlo!$B$8)))-(MonteCarlo!$B$7*SQRT(MonteCarlo!$B$8)),TRUE),$A17*EXP(-MonteCarlo!$B$9*MonteCarlo!$B$8)*_xlfn.NORM.S.DIST(-(((LN(T$1/$A17)+(MonteCarlo!$B$9+(MonteCarlo!$B$7^2)/2)*MonteCarlo!$B$8)/(MonteCarlo!$B$7*SQRT(MonteCarlo!$B$8)))-(MonteCarlo!$B$7*SQRT(MonteCarlo!$B$8))),TRUE)-T$1*_xlfn.NORM.S.DIST(-((LN(T$1/$A17)+(MonteCarlo!$B$9+(MonteCarlo!$B$7^2)/2)*MonteCarlo!$B$8)/(MonteCarlo!$B$7*SQRT(MonteCarlo!$B$8))),TRUE)),"")</f>
        <v/>
      </c>
      <c r="U17" t="str">
        <f ca="1">IFERROR(IF(OR(MonteCarlo!$B$4="C",MonteCarlo!$B$4="c"),U$1*_xlfn.NORM.S.DIST((LN(U$1/$A17)+(MonteCarlo!$B$9+(MonteCarlo!$B$7^2)/2)*MonteCarlo!$B$8)/(MonteCarlo!$B$7*SQRT(MonteCarlo!$B$8)),TRUE)-$A17*EXP(-MonteCarlo!$B$9*MonteCarlo!$B$8)*_xlfn.NORM.S.DIST(((LN(U$1/$A17)+(MonteCarlo!$B$9+(MonteCarlo!$B$7^2)/2)*MonteCarlo!$B$8)/(MonteCarlo!$B$7*SQRT(MonteCarlo!$B$8)))-(MonteCarlo!$B$7*SQRT(MonteCarlo!$B$8)),TRUE),$A17*EXP(-MonteCarlo!$B$9*MonteCarlo!$B$8)*_xlfn.NORM.S.DIST(-(((LN(U$1/$A17)+(MonteCarlo!$B$9+(MonteCarlo!$B$7^2)/2)*MonteCarlo!$B$8)/(MonteCarlo!$B$7*SQRT(MonteCarlo!$B$8)))-(MonteCarlo!$B$7*SQRT(MonteCarlo!$B$8))),TRUE)-U$1*_xlfn.NORM.S.DIST(-((LN(U$1/$A17)+(MonteCarlo!$B$9+(MonteCarlo!$B$7^2)/2)*MonteCarlo!$B$8)/(MonteCarlo!$B$7*SQRT(MonteCarlo!$B$8))),TRUE)),"")</f>
        <v/>
      </c>
      <c r="V17" t="str">
        <f ca="1">IFERROR(IF(OR(MonteCarlo!$B$4="C",MonteCarlo!$B$4="c"),V$1*_xlfn.NORM.S.DIST((LN(V$1/$A17)+(MonteCarlo!$B$9+(MonteCarlo!$B$7^2)/2)*MonteCarlo!$B$8)/(MonteCarlo!$B$7*SQRT(MonteCarlo!$B$8)),TRUE)-$A17*EXP(-MonteCarlo!$B$9*MonteCarlo!$B$8)*_xlfn.NORM.S.DIST(((LN(V$1/$A17)+(MonteCarlo!$B$9+(MonteCarlo!$B$7^2)/2)*MonteCarlo!$B$8)/(MonteCarlo!$B$7*SQRT(MonteCarlo!$B$8)))-(MonteCarlo!$B$7*SQRT(MonteCarlo!$B$8)),TRUE),$A17*EXP(-MonteCarlo!$B$9*MonteCarlo!$B$8)*_xlfn.NORM.S.DIST(-(((LN(V$1/$A17)+(MonteCarlo!$B$9+(MonteCarlo!$B$7^2)/2)*MonteCarlo!$B$8)/(MonteCarlo!$B$7*SQRT(MonteCarlo!$B$8)))-(MonteCarlo!$B$7*SQRT(MonteCarlo!$B$8))),TRUE)-V$1*_xlfn.NORM.S.DIST(-((LN(V$1/$A17)+(MonteCarlo!$B$9+(MonteCarlo!$B$7^2)/2)*MonteCarlo!$B$8)/(MonteCarlo!$B$7*SQRT(MonteCarlo!$B$8))),TRUE)),"")</f>
        <v/>
      </c>
      <c r="W17" t="str">
        <f ca="1">IFERROR(IF(OR(MonteCarlo!$B$4="C",MonteCarlo!$B$4="c"),W$1*_xlfn.NORM.S.DIST((LN(W$1/$A17)+(MonteCarlo!$B$9+(MonteCarlo!$B$7^2)/2)*MonteCarlo!$B$8)/(MonteCarlo!$B$7*SQRT(MonteCarlo!$B$8)),TRUE)-$A17*EXP(-MonteCarlo!$B$9*MonteCarlo!$B$8)*_xlfn.NORM.S.DIST(((LN(W$1/$A17)+(MonteCarlo!$B$9+(MonteCarlo!$B$7^2)/2)*MonteCarlo!$B$8)/(MonteCarlo!$B$7*SQRT(MonteCarlo!$B$8)))-(MonteCarlo!$B$7*SQRT(MonteCarlo!$B$8)),TRUE),$A17*EXP(-MonteCarlo!$B$9*MonteCarlo!$B$8)*_xlfn.NORM.S.DIST(-(((LN(W$1/$A17)+(MonteCarlo!$B$9+(MonteCarlo!$B$7^2)/2)*MonteCarlo!$B$8)/(MonteCarlo!$B$7*SQRT(MonteCarlo!$B$8)))-(MonteCarlo!$B$7*SQRT(MonteCarlo!$B$8))),TRUE)-W$1*_xlfn.NORM.S.DIST(-((LN(W$1/$A17)+(MonteCarlo!$B$9+(MonteCarlo!$B$7^2)/2)*MonteCarlo!$B$8)/(MonteCarlo!$B$7*SQRT(MonteCarlo!$B$8))),TRUE)),"")</f>
        <v/>
      </c>
      <c r="X17" t="str">
        <f ca="1">IFERROR(IF(OR(MonteCarlo!$B$4="C",MonteCarlo!$B$4="c"),X$1*_xlfn.NORM.S.DIST((LN(X$1/$A17)+(MonteCarlo!$B$9+(MonteCarlo!$B$7^2)/2)*MonteCarlo!$B$8)/(MonteCarlo!$B$7*SQRT(MonteCarlo!$B$8)),TRUE)-$A17*EXP(-MonteCarlo!$B$9*MonteCarlo!$B$8)*_xlfn.NORM.S.DIST(((LN(X$1/$A17)+(MonteCarlo!$B$9+(MonteCarlo!$B$7^2)/2)*MonteCarlo!$B$8)/(MonteCarlo!$B$7*SQRT(MonteCarlo!$B$8)))-(MonteCarlo!$B$7*SQRT(MonteCarlo!$B$8)),TRUE),$A17*EXP(-MonteCarlo!$B$9*MonteCarlo!$B$8)*_xlfn.NORM.S.DIST(-(((LN(X$1/$A17)+(MonteCarlo!$B$9+(MonteCarlo!$B$7^2)/2)*MonteCarlo!$B$8)/(MonteCarlo!$B$7*SQRT(MonteCarlo!$B$8)))-(MonteCarlo!$B$7*SQRT(MonteCarlo!$B$8))),TRUE)-X$1*_xlfn.NORM.S.DIST(-((LN(X$1/$A17)+(MonteCarlo!$B$9+(MonteCarlo!$B$7^2)/2)*MonteCarlo!$B$8)/(MonteCarlo!$B$7*SQRT(MonteCarlo!$B$8))),TRUE)),"")</f>
        <v/>
      </c>
      <c r="Y17" t="str">
        <f ca="1">IFERROR(IF(OR(MonteCarlo!$B$4="C",MonteCarlo!$B$4="c"),Y$1*_xlfn.NORM.S.DIST((LN(Y$1/$A17)+(MonteCarlo!$B$9+(MonteCarlo!$B$7^2)/2)*MonteCarlo!$B$8)/(MonteCarlo!$B$7*SQRT(MonteCarlo!$B$8)),TRUE)-$A17*EXP(-MonteCarlo!$B$9*MonteCarlo!$B$8)*_xlfn.NORM.S.DIST(((LN(Y$1/$A17)+(MonteCarlo!$B$9+(MonteCarlo!$B$7^2)/2)*MonteCarlo!$B$8)/(MonteCarlo!$B$7*SQRT(MonteCarlo!$B$8)))-(MonteCarlo!$B$7*SQRT(MonteCarlo!$B$8)),TRUE),$A17*EXP(-MonteCarlo!$B$9*MonteCarlo!$B$8)*_xlfn.NORM.S.DIST(-(((LN(Y$1/$A17)+(MonteCarlo!$B$9+(MonteCarlo!$B$7^2)/2)*MonteCarlo!$B$8)/(MonteCarlo!$B$7*SQRT(MonteCarlo!$B$8)))-(MonteCarlo!$B$7*SQRT(MonteCarlo!$B$8))),TRUE)-Y$1*_xlfn.NORM.S.DIST(-((LN(Y$1/$A17)+(MonteCarlo!$B$9+(MonteCarlo!$B$7^2)/2)*MonteCarlo!$B$8)/(MonteCarlo!$B$7*SQRT(MonteCarlo!$B$8))),TRUE)),"")</f>
        <v/>
      </c>
      <c r="Z17" t="str">
        <f ca="1">IFERROR(IF(OR(MonteCarlo!$B$4="C",MonteCarlo!$B$4="c"),Z$1*_xlfn.NORM.S.DIST((LN(Z$1/$A17)+(MonteCarlo!$B$9+(MonteCarlo!$B$7^2)/2)*MonteCarlo!$B$8)/(MonteCarlo!$B$7*SQRT(MonteCarlo!$B$8)),TRUE)-$A17*EXP(-MonteCarlo!$B$9*MonteCarlo!$B$8)*_xlfn.NORM.S.DIST(((LN(Z$1/$A17)+(MonteCarlo!$B$9+(MonteCarlo!$B$7^2)/2)*MonteCarlo!$B$8)/(MonteCarlo!$B$7*SQRT(MonteCarlo!$B$8)))-(MonteCarlo!$B$7*SQRT(MonteCarlo!$B$8)),TRUE),$A17*EXP(-MonteCarlo!$B$9*MonteCarlo!$B$8)*_xlfn.NORM.S.DIST(-(((LN(Z$1/$A17)+(MonteCarlo!$B$9+(MonteCarlo!$B$7^2)/2)*MonteCarlo!$B$8)/(MonteCarlo!$B$7*SQRT(MonteCarlo!$B$8)))-(MonteCarlo!$B$7*SQRT(MonteCarlo!$B$8))),TRUE)-Z$1*_xlfn.NORM.S.DIST(-((LN(Z$1/$A17)+(MonteCarlo!$B$9+(MonteCarlo!$B$7^2)/2)*MonteCarlo!$B$8)/(MonteCarlo!$B$7*SQRT(MonteCarlo!$B$8))),TRUE)),"")</f>
        <v/>
      </c>
      <c r="AA17" t="str">
        <f ca="1">IFERROR(IF(OR(MonteCarlo!$B$4="C",MonteCarlo!$B$4="c"),AA$1*_xlfn.NORM.S.DIST((LN(AA$1/$A17)+(MonteCarlo!$B$9+(MonteCarlo!$B$7^2)/2)*MonteCarlo!$B$8)/(MonteCarlo!$B$7*SQRT(MonteCarlo!$B$8)),TRUE)-$A17*EXP(-MonteCarlo!$B$9*MonteCarlo!$B$8)*_xlfn.NORM.S.DIST(((LN(AA$1/$A17)+(MonteCarlo!$B$9+(MonteCarlo!$B$7^2)/2)*MonteCarlo!$B$8)/(MonteCarlo!$B$7*SQRT(MonteCarlo!$B$8)))-(MonteCarlo!$B$7*SQRT(MonteCarlo!$B$8)),TRUE),$A17*EXP(-MonteCarlo!$B$9*MonteCarlo!$B$8)*_xlfn.NORM.S.DIST(-(((LN(AA$1/$A17)+(MonteCarlo!$B$9+(MonteCarlo!$B$7^2)/2)*MonteCarlo!$B$8)/(MonteCarlo!$B$7*SQRT(MonteCarlo!$B$8)))-(MonteCarlo!$B$7*SQRT(MonteCarlo!$B$8))),TRUE)-AA$1*_xlfn.NORM.S.DIST(-((LN(AA$1/$A17)+(MonteCarlo!$B$9+(MonteCarlo!$B$7^2)/2)*MonteCarlo!$B$8)/(MonteCarlo!$B$7*SQRT(MonteCarlo!$B$8))),TRUE)),"")</f>
        <v/>
      </c>
      <c r="AB17" t="str">
        <f ca="1">IFERROR(IF(OR(MonteCarlo!$B$4="C",MonteCarlo!$B$4="c"),AB$1*_xlfn.NORM.S.DIST((LN(AB$1/$A17)+(MonteCarlo!$B$9+(MonteCarlo!$B$7^2)/2)*MonteCarlo!$B$8)/(MonteCarlo!$B$7*SQRT(MonteCarlo!$B$8)),TRUE)-$A17*EXP(-MonteCarlo!$B$9*MonteCarlo!$B$8)*_xlfn.NORM.S.DIST(((LN(AB$1/$A17)+(MonteCarlo!$B$9+(MonteCarlo!$B$7^2)/2)*MonteCarlo!$B$8)/(MonteCarlo!$B$7*SQRT(MonteCarlo!$B$8)))-(MonteCarlo!$B$7*SQRT(MonteCarlo!$B$8)),TRUE),$A17*EXP(-MonteCarlo!$B$9*MonteCarlo!$B$8)*_xlfn.NORM.S.DIST(-(((LN(AB$1/$A17)+(MonteCarlo!$B$9+(MonteCarlo!$B$7^2)/2)*MonteCarlo!$B$8)/(MonteCarlo!$B$7*SQRT(MonteCarlo!$B$8)))-(MonteCarlo!$B$7*SQRT(MonteCarlo!$B$8))),TRUE)-AB$1*_xlfn.NORM.S.DIST(-((LN(AB$1/$A17)+(MonteCarlo!$B$9+(MonteCarlo!$B$7^2)/2)*MonteCarlo!$B$8)/(MonteCarlo!$B$7*SQRT(MonteCarlo!$B$8))),TRUE)),"")</f>
        <v/>
      </c>
      <c r="AC17" t="str">
        <f ca="1">IFERROR(IF(OR(MonteCarlo!$B$4="C",MonteCarlo!$B$4="c"),AC$1*_xlfn.NORM.S.DIST((LN(AC$1/$A17)+(MonteCarlo!$B$9+(MonteCarlo!$B$7^2)/2)*MonteCarlo!$B$8)/(MonteCarlo!$B$7*SQRT(MonteCarlo!$B$8)),TRUE)-$A17*EXP(-MonteCarlo!$B$9*MonteCarlo!$B$8)*_xlfn.NORM.S.DIST(((LN(AC$1/$A17)+(MonteCarlo!$B$9+(MonteCarlo!$B$7^2)/2)*MonteCarlo!$B$8)/(MonteCarlo!$B$7*SQRT(MonteCarlo!$B$8)))-(MonteCarlo!$B$7*SQRT(MonteCarlo!$B$8)),TRUE),$A17*EXP(-MonteCarlo!$B$9*MonteCarlo!$B$8)*_xlfn.NORM.S.DIST(-(((LN(AC$1/$A17)+(MonteCarlo!$B$9+(MonteCarlo!$B$7^2)/2)*MonteCarlo!$B$8)/(MonteCarlo!$B$7*SQRT(MonteCarlo!$B$8)))-(MonteCarlo!$B$7*SQRT(MonteCarlo!$B$8))),TRUE)-AC$1*_xlfn.NORM.S.DIST(-((LN(AC$1/$A17)+(MonteCarlo!$B$9+(MonteCarlo!$B$7^2)/2)*MonteCarlo!$B$8)/(MonteCarlo!$B$7*SQRT(MonteCarlo!$B$8))),TRUE)),"")</f>
        <v/>
      </c>
      <c r="AD17" t="str">
        <f ca="1">IFERROR(IF(OR(MonteCarlo!$B$4="C",MonteCarlo!$B$4="c"),AD$1*_xlfn.NORM.S.DIST((LN(AD$1/$A17)+(MonteCarlo!$B$9+(MonteCarlo!$B$7^2)/2)*MonteCarlo!$B$8)/(MonteCarlo!$B$7*SQRT(MonteCarlo!$B$8)),TRUE)-$A17*EXP(-MonteCarlo!$B$9*MonteCarlo!$B$8)*_xlfn.NORM.S.DIST(((LN(AD$1/$A17)+(MonteCarlo!$B$9+(MonteCarlo!$B$7^2)/2)*MonteCarlo!$B$8)/(MonteCarlo!$B$7*SQRT(MonteCarlo!$B$8)))-(MonteCarlo!$B$7*SQRT(MonteCarlo!$B$8)),TRUE),$A17*EXP(-MonteCarlo!$B$9*MonteCarlo!$B$8)*_xlfn.NORM.S.DIST(-(((LN(AD$1/$A17)+(MonteCarlo!$B$9+(MonteCarlo!$B$7^2)/2)*MonteCarlo!$B$8)/(MonteCarlo!$B$7*SQRT(MonteCarlo!$B$8)))-(MonteCarlo!$B$7*SQRT(MonteCarlo!$B$8))),TRUE)-AD$1*_xlfn.NORM.S.DIST(-((LN(AD$1/$A17)+(MonteCarlo!$B$9+(MonteCarlo!$B$7^2)/2)*MonteCarlo!$B$8)/(MonteCarlo!$B$7*SQRT(MonteCarlo!$B$8))),TRUE)),"")</f>
        <v/>
      </c>
      <c r="AE17" t="str">
        <f ca="1">IFERROR(IF(OR(MonteCarlo!$B$4="C",MonteCarlo!$B$4="c"),AE$1*_xlfn.NORM.S.DIST((LN(AE$1/$A17)+(MonteCarlo!$B$9+(MonteCarlo!$B$7^2)/2)*MonteCarlo!$B$8)/(MonteCarlo!$B$7*SQRT(MonteCarlo!$B$8)),TRUE)-$A17*EXP(-MonteCarlo!$B$9*MonteCarlo!$B$8)*_xlfn.NORM.S.DIST(((LN(AE$1/$A17)+(MonteCarlo!$B$9+(MonteCarlo!$B$7^2)/2)*MonteCarlo!$B$8)/(MonteCarlo!$B$7*SQRT(MonteCarlo!$B$8)))-(MonteCarlo!$B$7*SQRT(MonteCarlo!$B$8)),TRUE),$A17*EXP(-MonteCarlo!$B$9*MonteCarlo!$B$8)*_xlfn.NORM.S.DIST(-(((LN(AE$1/$A17)+(MonteCarlo!$B$9+(MonteCarlo!$B$7^2)/2)*MonteCarlo!$B$8)/(MonteCarlo!$B$7*SQRT(MonteCarlo!$B$8)))-(MonteCarlo!$B$7*SQRT(MonteCarlo!$B$8))),TRUE)-AE$1*_xlfn.NORM.S.DIST(-((LN(AE$1/$A17)+(MonteCarlo!$B$9+(MonteCarlo!$B$7^2)/2)*MonteCarlo!$B$8)/(MonteCarlo!$B$7*SQRT(MonteCarlo!$B$8))),TRUE)),"")</f>
        <v/>
      </c>
      <c r="AF17" t="str">
        <f ca="1">IFERROR(IF(OR(MonteCarlo!$B$4="C",MonteCarlo!$B$4="c"),AF$1*_xlfn.NORM.S.DIST((LN(AF$1/$A17)+(MonteCarlo!$B$9+(MonteCarlo!$B$7^2)/2)*MonteCarlo!$B$8)/(MonteCarlo!$B$7*SQRT(MonteCarlo!$B$8)),TRUE)-$A17*EXP(-MonteCarlo!$B$9*MonteCarlo!$B$8)*_xlfn.NORM.S.DIST(((LN(AF$1/$A17)+(MonteCarlo!$B$9+(MonteCarlo!$B$7^2)/2)*MonteCarlo!$B$8)/(MonteCarlo!$B$7*SQRT(MonteCarlo!$B$8)))-(MonteCarlo!$B$7*SQRT(MonteCarlo!$B$8)),TRUE),$A17*EXP(-MonteCarlo!$B$9*MonteCarlo!$B$8)*_xlfn.NORM.S.DIST(-(((LN(AF$1/$A17)+(MonteCarlo!$B$9+(MonteCarlo!$B$7^2)/2)*MonteCarlo!$B$8)/(MonteCarlo!$B$7*SQRT(MonteCarlo!$B$8)))-(MonteCarlo!$B$7*SQRT(MonteCarlo!$B$8))),TRUE)-AF$1*_xlfn.NORM.S.DIST(-((LN(AF$1/$A17)+(MonteCarlo!$B$9+(MonteCarlo!$B$7^2)/2)*MonteCarlo!$B$8)/(MonteCarlo!$B$7*SQRT(MonteCarlo!$B$8))),TRUE)),"")</f>
        <v/>
      </c>
    </row>
    <row r="18" spans="2:32" x14ac:dyDescent="0.25">
      <c r="B18" t="str">
        <f ca="1">IFERROR(IF(OR(MonteCarlo!$B$4="C",MonteCarlo!$B$4="c"),B$1*_xlfn.NORM.S.DIST((LN(B$1/$A18)+(MonteCarlo!$B$9+(MonteCarlo!$B$7^2)/2)*MonteCarlo!$B$8)/(MonteCarlo!$B$7*SQRT(MonteCarlo!$B$8)),TRUE)-$A18*EXP(-MonteCarlo!$B$9*MonteCarlo!$B$8)*_xlfn.NORM.S.DIST(((LN(B$1/$A18)+(MonteCarlo!$B$9+(MonteCarlo!$B$7^2)/2)*MonteCarlo!$B$8)/(MonteCarlo!$B$7*SQRT(MonteCarlo!$B$8)))-(MonteCarlo!$B$7*SQRT(MonteCarlo!$B$8)),TRUE),$A18*EXP(-MonteCarlo!$B$9*MonteCarlo!$B$8)*_xlfn.NORM.S.DIST(-(((LN(B$1/$A18)+(MonteCarlo!$B$9+(MonteCarlo!$B$7^2)/2)*MonteCarlo!$B$8)/(MonteCarlo!$B$7*SQRT(MonteCarlo!$B$8)))-(MonteCarlo!$B$7*SQRT(MonteCarlo!$B$8))),TRUE)-B$1*_xlfn.NORM.S.DIST(-((LN(B$1/$A18)+(MonteCarlo!$B$9+(MonteCarlo!$B$7^2)/2)*MonteCarlo!$B$8)/(MonteCarlo!$B$7*SQRT(MonteCarlo!$B$8))),TRUE)),"")</f>
        <v/>
      </c>
      <c r="C18" t="str">
        <f ca="1">IFERROR(IF(OR(MonteCarlo!$B$4="C",MonteCarlo!$B$4="c"),C$1*_xlfn.NORM.S.DIST((LN(C$1/$A18)+(MonteCarlo!$B$9+(MonteCarlo!$B$7^2)/2)*MonteCarlo!$B$8)/(MonteCarlo!$B$7*SQRT(MonteCarlo!$B$8)),TRUE)-$A18*EXP(-MonteCarlo!$B$9*MonteCarlo!$B$8)*_xlfn.NORM.S.DIST(((LN(C$1/$A18)+(MonteCarlo!$B$9+(MonteCarlo!$B$7^2)/2)*MonteCarlo!$B$8)/(MonteCarlo!$B$7*SQRT(MonteCarlo!$B$8)))-(MonteCarlo!$B$7*SQRT(MonteCarlo!$B$8)),TRUE),$A18*EXP(-MonteCarlo!$B$9*MonteCarlo!$B$8)*_xlfn.NORM.S.DIST(-(((LN(C$1/$A18)+(MonteCarlo!$B$9+(MonteCarlo!$B$7^2)/2)*MonteCarlo!$B$8)/(MonteCarlo!$B$7*SQRT(MonteCarlo!$B$8)))-(MonteCarlo!$B$7*SQRT(MonteCarlo!$B$8))),TRUE)-C$1*_xlfn.NORM.S.DIST(-((LN(C$1/$A18)+(MonteCarlo!$B$9+(MonteCarlo!$B$7^2)/2)*MonteCarlo!$B$8)/(MonteCarlo!$B$7*SQRT(MonteCarlo!$B$8))),TRUE)),"")</f>
        <v/>
      </c>
      <c r="D18" t="str">
        <f ca="1">IFERROR(IF(OR(MonteCarlo!$B$4="C",MonteCarlo!$B$4="c"),D$1*_xlfn.NORM.S.DIST((LN(D$1/$A18)+(MonteCarlo!$B$9+(MonteCarlo!$B$7^2)/2)*MonteCarlo!$B$8)/(MonteCarlo!$B$7*SQRT(MonteCarlo!$B$8)),TRUE)-$A18*EXP(-MonteCarlo!$B$9*MonteCarlo!$B$8)*_xlfn.NORM.S.DIST(((LN(D$1/$A18)+(MonteCarlo!$B$9+(MonteCarlo!$B$7^2)/2)*MonteCarlo!$B$8)/(MonteCarlo!$B$7*SQRT(MonteCarlo!$B$8)))-(MonteCarlo!$B$7*SQRT(MonteCarlo!$B$8)),TRUE),$A18*EXP(-MonteCarlo!$B$9*MonteCarlo!$B$8)*_xlfn.NORM.S.DIST(-(((LN(D$1/$A18)+(MonteCarlo!$B$9+(MonteCarlo!$B$7^2)/2)*MonteCarlo!$B$8)/(MonteCarlo!$B$7*SQRT(MonteCarlo!$B$8)))-(MonteCarlo!$B$7*SQRT(MonteCarlo!$B$8))),TRUE)-D$1*_xlfn.NORM.S.DIST(-((LN(D$1/$A18)+(MonteCarlo!$B$9+(MonteCarlo!$B$7^2)/2)*MonteCarlo!$B$8)/(MonteCarlo!$B$7*SQRT(MonteCarlo!$B$8))),TRUE)),"")</f>
        <v/>
      </c>
      <c r="E18" t="str">
        <f ca="1">IFERROR(IF(OR(MonteCarlo!$B$4="C",MonteCarlo!$B$4="c"),E$1*_xlfn.NORM.S.DIST((LN(E$1/$A18)+(MonteCarlo!$B$9+(MonteCarlo!$B$7^2)/2)*MonteCarlo!$B$8)/(MonteCarlo!$B$7*SQRT(MonteCarlo!$B$8)),TRUE)-$A18*EXP(-MonteCarlo!$B$9*MonteCarlo!$B$8)*_xlfn.NORM.S.DIST(((LN(E$1/$A18)+(MonteCarlo!$B$9+(MonteCarlo!$B$7^2)/2)*MonteCarlo!$B$8)/(MonteCarlo!$B$7*SQRT(MonteCarlo!$B$8)))-(MonteCarlo!$B$7*SQRT(MonteCarlo!$B$8)),TRUE),$A18*EXP(-MonteCarlo!$B$9*MonteCarlo!$B$8)*_xlfn.NORM.S.DIST(-(((LN(E$1/$A18)+(MonteCarlo!$B$9+(MonteCarlo!$B$7^2)/2)*MonteCarlo!$B$8)/(MonteCarlo!$B$7*SQRT(MonteCarlo!$B$8)))-(MonteCarlo!$B$7*SQRT(MonteCarlo!$B$8))),TRUE)-E$1*_xlfn.NORM.S.DIST(-((LN(E$1/$A18)+(MonteCarlo!$B$9+(MonteCarlo!$B$7^2)/2)*MonteCarlo!$B$8)/(MonteCarlo!$B$7*SQRT(MonteCarlo!$B$8))),TRUE)),"")</f>
        <v/>
      </c>
      <c r="F18" t="str">
        <f ca="1">IFERROR(IF(OR(MonteCarlo!$B$4="C",MonteCarlo!$B$4="c"),F$1*_xlfn.NORM.S.DIST((LN(F$1/$A18)+(MonteCarlo!$B$9+(MonteCarlo!$B$7^2)/2)*MonteCarlo!$B$8)/(MonteCarlo!$B$7*SQRT(MonteCarlo!$B$8)),TRUE)-$A18*EXP(-MonteCarlo!$B$9*MonteCarlo!$B$8)*_xlfn.NORM.S.DIST(((LN(F$1/$A18)+(MonteCarlo!$B$9+(MonteCarlo!$B$7^2)/2)*MonteCarlo!$B$8)/(MonteCarlo!$B$7*SQRT(MonteCarlo!$B$8)))-(MonteCarlo!$B$7*SQRT(MonteCarlo!$B$8)),TRUE),$A18*EXP(-MonteCarlo!$B$9*MonteCarlo!$B$8)*_xlfn.NORM.S.DIST(-(((LN(F$1/$A18)+(MonteCarlo!$B$9+(MonteCarlo!$B$7^2)/2)*MonteCarlo!$B$8)/(MonteCarlo!$B$7*SQRT(MonteCarlo!$B$8)))-(MonteCarlo!$B$7*SQRT(MonteCarlo!$B$8))),TRUE)-F$1*_xlfn.NORM.S.DIST(-((LN(F$1/$A18)+(MonteCarlo!$B$9+(MonteCarlo!$B$7^2)/2)*MonteCarlo!$B$8)/(MonteCarlo!$B$7*SQRT(MonteCarlo!$B$8))),TRUE)),"")</f>
        <v/>
      </c>
      <c r="G18" t="str">
        <f ca="1">IFERROR(IF(OR(MonteCarlo!$B$4="C",MonteCarlo!$B$4="c"),G$1*_xlfn.NORM.S.DIST((LN(G$1/$A18)+(MonteCarlo!$B$9+(MonteCarlo!$B$7^2)/2)*MonteCarlo!$B$8)/(MonteCarlo!$B$7*SQRT(MonteCarlo!$B$8)),TRUE)-$A18*EXP(-MonteCarlo!$B$9*MonteCarlo!$B$8)*_xlfn.NORM.S.DIST(((LN(G$1/$A18)+(MonteCarlo!$B$9+(MonteCarlo!$B$7^2)/2)*MonteCarlo!$B$8)/(MonteCarlo!$B$7*SQRT(MonteCarlo!$B$8)))-(MonteCarlo!$B$7*SQRT(MonteCarlo!$B$8)),TRUE),$A18*EXP(-MonteCarlo!$B$9*MonteCarlo!$B$8)*_xlfn.NORM.S.DIST(-(((LN(G$1/$A18)+(MonteCarlo!$B$9+(MonteCarlo!$B$7^2)/2)*MonteCarlo!$B$8)/(MonteCarlo!$B$7*SQRT(MonteCarlo!$B$8)))-(MonteCarlo!$B$7*SQRT(MonteCarlo!$B$8))),TRUE)-G$1*_xlfn.NORM.S.DIST(-((LN(G$1/$A18)+(MonteCarlo!$B$9+(MonteCarlo!$B$7^2)/2)*MonteCarlo!$B$8)/(MonteCarlo!$B$7*SQRT(MonteCarlo!$B$8))),TRUE)),"")</f>
        <v/>
      </c>
      <c r="H18" t="str">
        <f ca="1">IFERROR(IF(OR(MonteCarlo!$B$4="C",MonteCarlo!$B$4="c"),H$1*_xlfn.NORM.S.DIST((LN(H$1/$A18)+(MonteCarlo!$B$9+(MonteCarlo!$B$7^2)/2)*MonteCarlo!$B$8)/(MonteCarlo!$B$7*SQRT(MonteCarlo!$B$8)),TRUE)-$A18*EXP(-MonteCarlo!$B$9*MonteCarlo!$B$8)*_xlfn.NORM.S.DIST(((LN(H$1/$A18)+(MonteCarlo!$B$9+(MonteCarlo!$B$7^2)/2)*MonteCarlo!$B$8)/(MonteCarlo!$B$7*SQRT(MonteCarlo!$B$8)))-(MonteCarlo!$B$7*SQRT(MonteCarlo!$B$8)),TRUE),$A18*EXP(-MonteCarlo!$B$9*MonteCarlo!$B$8)*_xlfn.NORM.S.DIST(-(((LN(H$1/$A18)+(MonteCarlo!$B$9+(MonteCarlo!$B$7^2)/2)*MonteCarlo!$B$8)/(MonteCarlo!$B$7*SQRT(MonteCarlo!$B$8)))-(MonteCarlo!$B$7*SQRT(MonteCarlo!$B$8))),TRUE)-H$1*_xlfn.NORM.S.DIST(-((LN(H$1/$A18)+(MonteCarlo!$B$9+(MonteCarlo!$B$7^2)/2)*MonteCarlo!$B$8)/(MonteCarlo!$B$7*SQRT(MonteCarlo!$B$8))),TRUE)),"")</f>
        <v/>
      </c>
      <c r="I18" t="str">
        <f ca="1">IFERROR(IF(OR(MonteCarlo!$B$4="C",MonteCarlo!$B$4="c"),I$1*_xlfn.NORM.S.DIST((LN(I$1/$A18)+(MonteCarlo!$B$9+(MonteCarlo!$B$7^2)/2)*MonteCarlo!$B$8)/(MonteCarlo!$B$7*SQRT(MonteCarlo!$B$8)),TRUE)-$A18*EXP(-MonteCarlo!$B$9*MonteCarlo!$B$8)*_xlfn.NORM.S.DIST(((LN(I$1/$A18)+(MonteCarlo!$B$9+(MonteCarlo!$B$7^2)/2)*MonteCarlo!$B$8)/(MonteCarlo!$B$7*SQRT(MonteCarlo!$B$8)))-(MonteCarlo!$B$7*SQRT(MonteCarlo!$B$8)),TRUE),$A18*EXP(-MonteCarlo!$B$9*MonteCarlo!$B$8)*_xlfn.NORM.S.DIST(-(((LN(I$1/$A18)+(MonteCarlo!$B$9+(MonteCarlo!$B$7^2)/2)*MonteCarlo!$B$8)/(MonteCarlo!$B$7*SQRT(MonteCarlo!$B$8)))-(MonteCarlo!$B$7*SQRT(MonteCarlo!$B$8))),TRUE)-I$1*_xlfn.NORM.S.DIST(-((LN(I$1/$A18)+(MonteCarlo!$B$9+(MonteCarlo!$B$7^2)/2)*MonteCarlo!$B$8)/(MonteCarlo!$B$7*SQRT(MonteCarlo!$B$8))),TRUE)),"")</f>
        <v/>
      </c>
      <c r="J18" t="str">
        <f ca="1">IFERROR(IF(OR(MonteCarlo!$B$4="C",MonteCarlo!$B$4="c"),J$1*_xlfn.NORM.S.DIST((LN(J$1/$A18)+(MonteCarlo!$B$9+(MonteCarlo!$B$7^2)/2)*MonteCarlo!$B$8)/(MonteCarlo!$B$7*SQRT(MonteCarlo!$B$8)),TRUE)-$A18*EXP(-MonteCarlo!$B$9*MonteCarlo!$B$8)*_xlfn.NORM.S.DIST(((LN(J$1/$A18)+(MonteCarlo!$B$9+(MonteCarlo!$B$7^2)/2)*MonteCarlo!$B$8)/(MonteCarlo!$B$7*SQRT(MonteCarlo!$B$8)))-(MonteCarlo!$B$7*SQRT(MonteCarlo!$B$8)),TRUE),$A18*EXP(-MonteCarlo!$B$9*MonteCarlo!$B$8)*_xlfn.NORM.S.DIST(-(((LN(J$1/$A18)+(MonteCarlo!$B$9+(MonteCarlo!$B$7^2)/2)*MonteCarlo!$B$8)/(MonteCarlo!$B$7*SQRT(MonteCarlo!$B$8)))-(MonteCarlo!$B$7*SQRT(MonteCarlo!$B$8))),TRUE)-J$1*_xlfn.NORM.S.DIST(-((LN(J$1/$A18)+(MonteCarlo!$B$9+(MonteCarlo!$B$7^2)/2)*MonteCarlo!$B$8)/(MonteCarlo!$B$7*SQRT(MonteCarlo!$B$8))),TRUE)),"")</f>
        <v/>
      </c>
      <c r="K18" t="str">
        <f ca="1">IFERROR(IF(OR(MonteCarlo!$B$4="C",MonteCarlo!$B$4="c"),K$1*_xlfn.NORM.S.DIST((LN(K$1/$A18)+(MonteCarlo!$B$9+(MonteCarlo!$B$7^2)/2)*MonteCarlo!$B$8)/(MonteCarlo!$B$7*SQRT(MonteCarlo!$B$8)),TRUE)-$A18*EXP(-MonteCarlo!$B$9*MonteCarlo!$B$8)*_xlfn.NORM.S.DIST(((LN(K$1/$A18)+(MonteCarlo!$B$9+(MonteCarlo!$B$7^2)/2)*MonteCarlo!$B$8)/(MonteCarlo!$B$7*SQRT(MonteCarlo!$B$8)))-(MonteCarlo!$B$7*SQRT(MonteCarlo!$B$8)),TRUE),$A18*EXP(-MonteCarlo!$B$9*MonteCarlo!$B$8)*_xlfn.NORM.S.DIST(-(((LN(K$1/$A18)+(MonteCarlo!$B$9+(MonteCarlo!$B$7^2)/2)*MonteCarlo!$B$8)/(MonteCarlo!$B$7*SQRT(MonteCarlo!$B$8)))-(MonteCarlo!$B$7*SQRT(MonteCarlo!$B$8))),TRUE)-K$1*_xlfn.NORM.S.DIST(-((LN(K$1/$A18)+(MonteCarlo!$B$9+(MonteCarlo!$B$7^2)/2)*MonteCarlo!$B$8)/(MonteCarlo!$B$7*SQRT(MonteCarlo!$B$8))),TRUE)),"")</f>
        <v/>
      </c>
      <c r="L18" t="str">
        <f ca="1">IFERROR(IF(OR(MonteCarlo!$B$4="C",MonteCarlo!$B$4="c"),L$1*_xlfn.NORM.S.DIST((LN(L$1/$A18)+(MonteCarlo!$B$9+(MonteCarlo!$B$7^2)/2)*MonteCarlo!$B$8)/(MonteCarlo!$B$7*SQRT(MonteCarlo!$B$8)),TRUE)-$A18*EXP(-MonteCarlo!$B$9*MonteCarlo!$B$8)*_xlfn.NORM.S.DIST(((LN(L$1/$A18)+(MonteCarlo!$B$9+(MonteCarlo!$B$7^2)/2)*MonteCarlo!$B$8)/(MonteCarlo!$B$7*SQRT(MonteCarlo!$B$8)))-(MonteCarlo!$B$7*SQRT(MonteCarlo!$B$8)),TRUE),$A18*EXP(-MonteCarlo!$B$9*MonteCarlo!$B$8)*_xlfn.NORM.S.DIST(-(((LN(L$1/$A18)+(MonteCarlo!$B$9+(MonteCarlo!$B$7^2)/2)*MonteCarlo!$B$8)/(MonteCarlo!$B$7*SQRT(MonteCarlo!$B$8)))-(MonteCarlo!$B$7*SQRT(MonteCarlo!$B$8))),TRUE)-L$1*_xlfn.NORM.S.DIST(-((LN(L$1/$A18)+(MonteCarlo!$B$9+(MonteCarlo!$B$7^2)/2)*MonteCarlo!$B$8)/(MonteCarlo!$B$7*SQRT(MonteCarlo!$B$8))),TRUE)),"")</f>
        <v/>
      </c>
      <c r="M18" t="str">
        <f ca="1">IFERROR(IF(OR(MonteCarlo!$B$4="C",MonteCarlo!$B$4="c"),M$1*_xlfn.NORM.S.DIST((LN(M$1/$A18)+(MonteCarlo!$B$9+(MonteCarlo!$B$7^2)/2)*MonteCarlo!$B$8)/(MonteCarlo!$B$7*SQRT(MonteCarlo!$B$8)),TRUE)-$A18*EXP(-MonteCarlo!$B$9*MonteCarlo!$B$8)*_xlfn.NORM.S.DIST(((LN(M$1/$A18)+(MonteCarlo!$B$9+(MonteCarlo!$B$7^2)/2)*MonteCarlo!$B$8)/(MonteCarlo!$B$7*SQRT(MonteCarlo!$B$8)))-(MonteCarlo!$B$7*SQRT(MonteCarlo!$B$8)),TRUE),$A18*EXP(-MonteCarlo!$B$9*MonteCarlo!$B$8)*_xlfn.NORM.S.DIST(-(((LN(M$1/$A18)+(MonteCarlo!$B$9+(MonteCarlo!$B$7^2)/2)*MonteCarlo!$B$8)/(MonteCarlo!$B$7*SQRT(MonteCarlo!$B$8)))-(MonteCarlo!$B$7*SQRT(MonteCarlo!$B$8))),TRUE)-M$1*_xlfn.NORM.S.DIST(-((LN(M$1/$A18)+(MonteCarlo!$B$9+(MonteCarlo!$B$7^2)/2)*MonteCarlo!$B$8)/(MonteCarlo!$B$7*SQRT(MonteCarlo!$B$8))),TRUE)),"")</f>
        <v/>
      </c>
      <c r="N18" t="str">
        <f ca="1">IFERROR(IF(OR(MonteCarlo!$B$4="C",MonteCarlo!$B$4="c"),N$1*_xlfn.NORM.S.DIST((LN(N$1/$A18)+(MonteCarlo!$B$9+(MonteCarlo!$B$7^2)/2)*MonteCarlo!$B$8)/(MonteCarlo!$B$7*SQRT(MonteCarlo!$B$8)),TRUE)-$A18*EXP(-MonteCarlo!$B$9*MonteCarlo!$B$8)*_xlfn.NORM.S.DIST(((LN(N$1/$A18)+(MonteCarlo!$B$9+(MonteCarlo!$B$7^2)/2)*MonteCarlo!$B$8)/(MonteCarlo!$B$7*SQRT(MonteCarlo!$B$8)))-(MonteCarlo!$B$7*SQRT(MonteCarlo!$B$8)),TRUE),$A18*EXP(-MonteCarlo!$B$9*MonteCarlo!$B$8)*_xlfn.NORM.S.DIST(-(((LN(N$1/$A18)+(MonteCarlo!$B$9+(MonteCarlo!$B$7^2)/2)*MonteCarlo!$B$8)/(MonteCarlo!$B$7*SQRT(MonteCarlo!$B$8)))-(MonteCarlo!$B$7*SQRT(MonteCarlo!$B$8))),TRUE)-N$1*_xlfn.NORM.S.DIST(-((LN(N$1/$A18)+(MonteCarlo!$B$9+(MonteCarlo!$B$7^2)/2)*MonteCarlo!$B$8)/(MonteCarlo!$B$7*SQRT(MonteCarlo!$B$8))),TRUE)),"")</f>
        <v/>
      </c>
      <c r="O18" t="str">
        <f ca="1">IFERROR(IF(OR(MonteCarlo!$B$4="C",MonteCarlo!$B$4="c"),O$1*_xlfn.NORM.S.DIST((LN(O$1/$A18)+(MonteCarlo!$B$9+(MonteCarlo!$B$7^2)/2)*MonteCarlo!$B$8)/(MonteCarlo!$B$7*SQRT(MonteCarlo!$B$8)),TRUE)-$A18*EXP(-MonteCarlo!$B$9*MonteCarlo!$B$8)*_xlfn.NORM.S.DIST(((LN(O$1/$A18)+(MonteCarlo!$B$9+(MonteCarlo!$B$7^2)/2)*MonteCarlo!$B$8)/(MonteCarlo!$B$7*SQRT(MonteCarlo!$B$8)))-(MonteCarlo!$B$7*SQRT(MonteCarlo!$B$8)),TRUE),$A18*EXP(-MonteCarlo!$B$9*MonteCarlo!$B$8)*_xlfn.NORM.S.DIST(-(((LN(O$1/$A18)+(MonteCarlo!$B$9+(MonteCarlo!$B$7^2)/2)*MonteCarlo!$B$8)/(MonteCarlo!$B$7*SQRT(MonteCarlo!$B$8)))-(MonteCarlo!$B$7*SQRT(MonteCarlo!$B$8))),TRUE)-O$1*_xlfn.NORM.S.DIST(-((LN(O$1/$A18)+(MonteCarlo!$B$9+(MonteCarlo!$B$7^2)/2)*MonteCarlo!$B$8)/(MonteCarlo!$B$7*SQRT(MonteCarlo!$B$8))),TRUE)),"")</f>
        <v/>
      </c>
      <c r="P18" t="str">
        <f ca="1">IFERROR(IF(OR(MonteCarlo!$B$4="C",MonteCarlo!$B$4="c"),P$1*_xlfn.NORM.S.DIST((LN(P$1/$A18)+(MonteCarlo!$B$9+(MonteCarlo!$B$7^2)/2)*MonteCarlo!$B$8)/(MonteCarlo!$B$7*SQRT(MonteCarlo!$B$8)),TRUE)-$A18*EXP(-MonteCarlo!$B$9*MonteCarlo!$B$8)*_xlfn.NORM.S.DIST(((LN(P$1/$A18)+(MonteCarlo!$B$9+(MonteCarlo!$B$7^2)/2)*MonteCarlo!$B$8)/(MonteCarlo!$B$7*SQRT(MonteCarlo!$B$8)))-(MonteCarlo!$B$7*SQRT(MonteCarlo!$B$8)),TRUE),$A18*EXP(-MonteCarlo!$B$9*MonteCarlo!$B$8)*_xlfn.NORM.S.DIST(-(((LN(P$1/$A18)+(MonteCarlo!$B$9+(MonteCarlo!$B$7^2)/2)*MonteCarlo!$B$8)/(MonteCarlo!$B$7*SQRT(MonteCarlo!$B$8)))-(MonteCarlo!$B$7*SQRT(MonteCarlo!$B$8))),TRUE)-P$1*_xlfn.NORM.S.DIST(-((LN(P$1/$A18)+(MonteCarlo!$B$9+(MonteCarlo!$B$7^2)/2)*MonteCarlo!$B$8)/(MonteCarlo!$B$7*SQRT(MonteCarlo!$B$8))),TRUE)),"")</f>
        <v/>
      </c>
      <c r="Q18" t="str">
        <f ca="1">IFERROR(IF(OR(MonteCarlo!$B$4="C",MonteCarlo!$B$4="c"),Q$1*_xlfn.NORM.S.DIST((LN(Q$1/$A18)+(MonteCarlo!$B$9+(MonteCarlo!$B$7^2)/2)*MonteCarlo!$B$8)/(MonteCarlo!$B$7*SQRT(MonteCarlo!$B$8)),TRUE)-$A18*EXP(-MonteCarlo!$B$9*MonteCarlo!$B$8)*_xlfn.NORM.S.DIST(((LN(Q$1/$A18)+(MonteCarlo!$B$9+(MonteCarlo!$B$7^2)/2)*MonteCarlo!$B$8)/(MonteCarlo!$B$7*SQRT(MonteCarlo!$B$8)))-(MonteCarlo!$B$7*SQRT(MonteCarlo!$B$8)),TRUE),$A18*EXP(-MonteCarlo!$B$9*MonteCarlo!$B$8)*_xlfn.NORM.S.DIST(-(((LN(Q$1/$A18)+(MonteCarlo!$B$9+(MonteCarlo!$B$7^2)/2)*MonteCarlo!$B$8)/(MonteCarlo!$B$7*SQRT(MonteCarlo!$B$8)))-(MonteCarlo!$B$7*SQRT(MonteCarlo!$B$8))),TRUE)-Q$1*_xlfn.NORM.S.DIST(-((LN(Q$1/$A18)+(MonteCarlo!$B$9+(MonteCarlo!$B$7^2)/2)*MonteCarlo!$B$8)/(MonteCarlo!$B$7*SQRT(MonteCarlo!$B$8))),TRUE)),"")</f>
        <v/>
      </c>
      <c r="R18" t="str">
        <f ca="1">IFERROR(IF(OR(MonteCarlo!$B$4="C",MonteCarlo!$B$4="c"),R$1*_xlfn.NORM.S.DIST((LN(R$1/$A18)+(MonteCarlo!$B$9+(MonteCarlo!$B$7^2)/2)*MonteCarlo!$B$8)/(MonteCarlo!$B$7*SQRT(MonteCarlo!$B$8)),TRUE)-$A18*EXP(-MonteCarlo!$B$9*MonteCarlo!$B$8)*_xlfn.NORM.S.DIST(((LN(R$1/$A18)+(MonteCarlo!$B$9+(MonteCarlo!$B$7^2)/2)*MonteCarlo!$B$8)/(MonteCarlo!$B$7*SQRT(MonteCarlo!$B$8)))-(MonteCarlo!$B$7*SQRT(MonteCarlo!$B$8)),TRUE),$A18*EXP(-MonteCarlo!$B$9*MonteCarlo!$B$8)*_xlfn.NORM.S.DIST(-(((LN(R$1/$A18)+(MonteCarlo!$B$9+(MonteCarlo!$B$7^2)/2)*MonteCarlo!$B$8)/(MonteCarlo!$B$7*SQRT(MonteCarlo!$B$8)))-(MonteCarlo!$B$7*SQRT(MonteCarlo!$B$8))),TRUE)-R$1*_xlfn.NORM.S.DIST(-((LN(R$1/$A18)+(MonteCarlo!$B$9+(MonteCarlo!$B$7^2)/2)*MonteCarlo!$B$8)/(MonteCarlo!$B$7*SQRT(MonteCarlo!$B$8))),TRUE)),"")</f>
        <v/>
      </c>
      <c r="S18" t="str">
        <f ca="1">IFERROR(IF(OR(MonteCarlo!$B$4="C",MonteCarlo!$B$4="c"),S$1*_xlfn.NORM.S.DIST((LN(S$1/$A18)+(MonteCarlo!$B$9+(MonteCarlo!$B$7^2)/2)*MonteCarlo!$B$8)/(MonteCarlo!$B$7*SQRT(MonteCarlo!$B$8)),TRUE)-$A18*EXP(-MonteCarlo!$B$9*MonteCarlo!$B$8)*_xlfn.NORM.S.DIST(((LN(S$1/$A18)+(MonteCarlo!$B$9+(MonteCarlo!$B$7^2)/2)*MonteCarlo!$B$8)/(MonteCarlo!$B$7*SQRT(MonteCarlo!$B$8)))-(MonteCarlo!$B$7*SQRT(MonteCarlo!$B$8)),TRUE),$A18*EXP(-MonteCarlo!$B$9*MonteCarlo!$B$8)*_xlfn.NORM.S.DIST(-(((LN(S$1/$A18)+(MonteCarlo!$B$9+(MonteCarlo!$B$7^2)/2)*MonteCarlo!$B$8)/(MonteCarlo!$B$7*SQRT(MonteCarlo!$B$8)))-(MonteCarlo!$B$7*SQRT(MonteCarlo!$B$8))),TRUE)-S$1*_xlfn.NORM.S.DIST(-((LN(S$1/$A18)+(MonteCarlo!$B$9+(MonteCarlo!$B$7^2)/2)*MonteCarlo!$B$8)/(MonteCarlo!$B$7*SQRT(MonteCarlo!$B$8))),TRUE)),"")</f>
        <v/>
      </c>
      <c r="T18" t="str">
        <f ca="1">IFERROR(IF(OR(MonteCarlo!$B$4="C",MonteCarlo!$B$4="c"),T$1*_xlfn.NORM.S.DIST((LN(T$1/$A18)+(MonteCarlo!$B$9+(MonteCarlo!$B$7^2)/2)*MonteCarlo!$B$8)/(MonteCarlo!$B$7*SQRT(MonteCarlo!$B$8)),TRUE)-$A18*EXP(-MonteCarlo!$B$9*MonteCarlo!$B$8)*_xlfn.NORM.S.DIST(((LN(T$1/$A18)+(MonteCarlo!$B$9+(MonteCarlo!$B$7^2)/2)*MonteCarlo!$B$8)/(MonteCarlo!$B$7*SQRT(MonteCarlo!$B$8)))-(MonteCarlo!$B$7*SQRT(MonteCarlo!$B$8)),TRUE),$A18*EXP(-MonteCarlo!$B$9*MonteCarlo!$B$8)*_xlfn.NORM.S.DIST(-(((LN(T$1/$A18)+(MonteCarlo!$B$9+(MonteCarlo!$B$7^2)/2)*MonteCarlo!$B$8)/(MonteCarlo!$B$7*SQRT(MonteCarlo!$B$8)))-(MonteCarlo!$B$7*SQRT(MonteCarlo!$B$8))),TRUE)-T$1*_xlfn.NORM.S.DIST(-((LN(T$1/$A18)+(MonteCarlo!$B$9+(MonteCarlo!$B$7^2)/2)*MonteCarlo!$B$8)/(MonteCarlo!$B$7*SQRT(MonteCarlo!$B$8))),TRUE)),"")</f>
        <v/>
      </c>
      <c r="U18" t="str">
        <f ca="1">IFERROR(IF(OR(MonteCarlo!$B$4="C",MonteCarlo!$B$4="c"),U$1*_xlfn.NORM.S.DIST((LN(U$1/$A18)+(MonteCarlo!$B$9+(MonteCarlo!$B$7^2)/2)*MonteCarlo!$B$8)/(MonteCarlo!$B$7*SQRT(MonteCarlo!$B$8)),TRUE)-$A18*EXP(-MonteCarlo!$B$9*MonteCarlo!$B$8)*_xlfn.NORM.S.DIST(((LN(U$1/$A18)+(MonteCarlo!$B$9+(MonteCarlo!$B$7^2)/2)*MonteCarlo!$B$8)/(MonteCarlo!$B$7*SQRT(MonteCarlo!$B$8)))-(MonteCarlo!$B$7*SQRT(MonteCarlo!$B$8)),TRUE),$A18*EXP(-MonteCarlo!$B$9*MonteCarlo!$B$8)*_xlfn.NORM.S.DIST(-(((LN(U$1/$A18)+(MonteCarlo!$B$9+(MonteCarlo!$B$7^2)/2)*MonteCarlo!$B$8)/(MonteCarlo!$B$7*SQRT(MonteCarlo!$B$8)))-(MonteCarlo!$B$7*SQRT(MonteCarlo!$B$8))),TRUE)-U$1*_xlfn.NORM.S.DIST(-((LN(U$1/$A18)+(MonteCarlo!$B$9+(MonteCarlo!$B$7^2)/2)*MonteCarlo!$B$8)/(MonteCarlo!$B$7*SQRT(MonteCarlo!$B$8))),TRUE)),"")</f>
        <v/>
      </c>
      <c r="V18" t="str">
        <f ca="1">IFERROR(IF(OR(MonteCarlo!$B$4="C",MonteCarlo!$B$4="c"),V$1*_xlfn.NORM.S.DIST((LN(V$1/$A18)+(MonteCarlo!$B$9+(MonteCarlo!$B$7^2)/2)*MonteCarlo!$B$8)/(MonteCarlo!$B$7*SQRT(MonteCarlo!$B$8)),TRUE)-$A18*EXP(-MonteCarlo!$B$9*MonteCarlo!$B$8)*_xlfn.NORM.S.DIST(((LN(V$1/$A18)+(MonteCarlo!$B$9+(MonteCarlo!$B$7^2)/2)*MonteCarlo!$B$8)/(MonteCarlo!$B$7*SQRT(MonteCarlo!$B$8)))-(MonteCarlo!$B$7*SQRT(MonteCarlo!$B$8)),TRUE),$A18*EXP(-MonteCarlo!$B$9*MonteCarlo!$B$8)*_xlfn.NORM.S.DIST(-(((LN(V$1/$A18)+(MonteCarlo!$B$9+(MonteCarlo!$B$7^2)/2)*MonteCarlo!$B$8)/(MonteCarlo!$B$7*SQRT(MonteCarlo!$B$8)))-(MonteCarlo!$B$7*SQRT(MonteCarlo!$B$8))),TRUE)-V$1*_xlfn.NORM.S.DIST(-((LN(V$1/$A18)+(MonteCarlo!$B$9+(MonteCarlo!$B$7^2)/2)*MonteCarlo!$B$8)/(MonteCarlo!$B$7*SQRT(MonteCarlo!$B$8))),TRUE)),"")</f>
        <v/>
      </c>
      <c r="W18" t="str">
        <f ca="1">IFERROR(IF(OR(MonteCarlo!$B$4="C",MonteCarlo!$B$4="c"),W$1*_xlfn.NORM.S.DIST((LN(W$1/$A18)+(MonteCarlo!$B$9+(MonteCarlo!$B$7^2)/2)*MonteCarlo!$B$8)/(MonteCarlo!$B$7*SQRT(MonteCarlo!$B$8)),TRUE)-$A18*EXP(-MonteCarlo!$B$9*MonteCarlo!$B$8)*_xlfn.NORM.S.DIST(((LN(W$1/$A18)+(MonteCarlo!$B$9+(MonteCarlo!$B$7^2)/2)*MonteCarlo!$B$8)/(MonteCarlo!$B$7*SQRT(MonteCarlo!$B$8)))-(MonteCarlo!$B$7*SQRT(MonteCarlo!$B$8)),TRUE),$A18*EXP(-MonteCarlo!$B$9*MonteCarlo!$B$8)*_xlfn.NORM.S.DIST(-(((LN(W$1/$A18)+(MonteCarlo!$B$9+(MonteCarlo!$B$7^2)/2)*MonteCarlo!$B$8)/(MonteCarlo!$B$7*SQRT(MonteCarlo!$B$8)))-(MonteCarlo!$B$7*SQRT(MonteCarlo!$B$8))),TRUE)-W$1*_xlfn.NORM.S.DIST(-((LN(W$1/$A18)+(MonteCarlo!$B$9+(MonteCarlo!$B$7^2)/2)*MonteCarlo!$B$8)/(MonteCarlo!$B$7*SQRT(MonteCarlo!$B$8))),TRUE)),"")</f>
        <v/>
      </c>
      <c r="X18" t="str">
        <f ca="1">IFERROR(IF(OR(MonteCarlo!$B$4="C",MonteCarlo!$B$4="c"),X$1*_xlfn.NORM.S.DIST((LN(X$1/$A18)+(MonteCarlo!$B$9+(MonteCarlo!$B$7^2)/2)*MonteCarlo!$B$8)/(MonteCarlo!$B$7*SQRT(MonteCarlo!$B$8)),TRUE)-$A18*EXP(-MonteCarlo!$B$9*MonteCarlo!$B$8)*_xlfn.NORM.S.DIST(((LN(X$1/$A18)+(MonteCarlo!$B$9+(MonteCarlo!$B$7^2)/2)*MonteCarlo!$B$8)/(MonteCarlo!$B$7*SQRT(MonteCarlo!$B$8)))-(MonteCarlo!$B$7*SQRT(MonteCarlo!$B$8)),TRUE),$A18*EXP(-MonteCarlo!$B$9*MonteCarlo!$B$8)*_xlfn.NORM.S.DIST(-(((LN(X$1/$A18)+(MonteCarlo!$B$9+(MonteCarlo!$B$7^2)/2)*MonteCarlo!$B$8)/(MonteCarlo!$B$7*SQRT(MonteCarlo!$B$8)))-(MonteCarlo!$B$7*SQRT(MonteCarlo!$B$8))),TRUE)-X$1*_xlfn.NORM.S.DIST(-((LN(X$1/$A18)+(MonteCarlo!$B$9+(MonteCarlo!$B$7^2)/2)*MonteCarlo!$B$8)/(MonteCarlo!$B$7*SQRT(MonteCarlo!$B$8))),TRUE)),"")</f>
        <v/>
      </c>
      <c r="Y18" t="str">
        <f ca="1">IFERROR(IF(OR(MonteCarlo!$B$4="C",MonteCarlo!$B$4="c"),Y$1*_xlfn.NORM.S.DIST((LN(Y$1/$A18)+(MonteCarlo!$B$9+(MonteCarlo!$B$7^2)/2)*MonteCarlo!$B$8)/(MonteCarlo!$B$7*SQRT(MonteCarlo!$B$8)),TRUE)-$A18*EXP(-MonteCarlo!$B$9*MonteCarlo!$B$8)*_xlfn.NORM.S.DIST(((LN(Y$1/$A18)+(MonteCarlo!$B$9+(MonteCarlo!$B$7^2)/2)*MonteCarlo!$B$8)/(MonteCarlo!$B$7*SQRT(MonteCarlo!$B$8)))-(MonteCarlo!$B$7*SQRT(MonteCarlo!$B$8)),TRUE),$A18*EXP(-MonteCarlo!$B$9*MonteCarlo!$B$8)*_xlfn.NORM.S.DIST(-(((LN(Y$1/$A18)+(MonteCarlo!$B$9+(MonteCarlo!$B$7^2)/2)*MonteCarlo!$B$8)/(MonteCarlo!$B$7*SQRT(MonteCarlo!$B$8)))-(MonteCarlo!$B$7*SQRT(MonteCarlo!$B$8))),TRUE)-Y$1*_xlfn.NORM.S.DIST(-((LN(Y$1/$A18)+(MonteCarlo!$B$9+(MonteCarlo!$B$7^2)/2)*MonteCarlo!$B$8)/(MonteCarlo!$B$7*SQRT(MonteCarlo!$B$8))),TRUE)),"")</f>
        <v/>
      </c>
      <c r="Z18" t="str">
        <f ca="1">IFERROR(IF(OR(MonteCarlo!$B$4="C",MonteCarlo!$B$4="c"),Z$1*_xlfn.NORM.S.DIST((LN(Z$1/$A18)+(MonteCarlo!$B$9+(MonteCarlo!$B$7^2)/2)*MonteCarlo!$B$8)/(MonteCarlo!$B$7*SQRT(MonteCarlo!$B$8)),TRUE)-$A18*EXP(-MonteCarlo!$B$9*MonteCarlo!$B$8)*_xlfn.NORM.S.DIST(((LN(Z$1/$A18)+(MonteCarlo!$B$9+(MonteCarlo!$B$7^2)/2)*MonteCarlo!$B$8)/(MonteCarlo!$B$7*SQRT(MonteCarlo!$B$8)))-(MonteCarlo!$B$7*SQRT(MonteCarlo!$B$8)),TRUE),$A18*EXP(-MonteCarlo!$B$9*MonteCarlo!$B$8)*_xlfn.NORM.S.DIST(-(((LN(Z$1/$A18)+(MonteCarlo!$B$9+(MonteCarlo!$B$7^2)/2)*MonteCarlo!$B$8)/(MonteCarlo!$B$7*SQRT(MonteCarlo!$B$8)))-(MonteCarlo!$B$7*SQRT(MonteCarlo!$B$8))),TRUE)-Z$1*_xlfn.NORM.S.DIST(-((LN(Z$1/$A18)+(MonteCarlo!$B$9+(MonteCarlo!$B$7^2)/2)*MonteCarlo!$B$8)/(MonteCarlo!$B$7*SQRT(MonteCarlo!$B$8))),TRUE)),"")</f>
        <v/>
      </c>
      <c r="AA18" t="str">
        <f ca="1">IFERROR(IF(OR(MonteCarlo!$B$4="C",MonteCarlo!$B$4="c"),AA$1*_xlfn.NORM.S.DIST((LN(AA$1/$A18)+(MonteCarlo!$B$9+(MonteCarlo!$B$7^2)/2)*MonteCarlo!$B$8)/(MonteCarlo!$B$7*SQRT(MonteCarlo!$B$8)),TRUE)-$A18*EXP(-MonteCarlo!$B$9*MonteCarlo!$B$8)*_xlfn.NORM.S.DIST(((LN(AA$1/$A18)+(MonteCarlo!$B$9+(MonteCarlo!$B$7^2)/2)*MonteCarlo!$B$8)/(MonteCarlo!$B$7*SQRT(MonteCarlo!$B$8)))-(MonteCarlo!$B$7*SQRT(MonteCarlo!$B$8)),TRUE),$A18*EXP(-MonteCarlo!$B$9*MonteCarlo!$B$8)*_xlfn.NORM.S.DIST(-(((LN(AA$1/$A18)+(MonteCarlo!$B$9+(MonteCarlo!$B$7^2)/2)*MonteCarlo!$B$8)/(MonteCarlo!$B$7*SQRT(MonteCarlo!$B$8)))-(MonteCarlo!$B$7*SQRT(MonteCarlo!$B$8))),TRUE)-AA$1*_xlfn.NORM.S.DIST(-((LN(AA$1/$A18)+(MonteCarlo!$B$9+(MonteCarlo!$B$7^2)/2)*MonteCarlo!$B$8)/(MonteCarlo!$B$7*SQRT(MonteCarlo!$B$8))),TRUE)),"")</f>
        <v/>
      </c>
      <c r="AB18" t="str">
        <f ca="1">IFERROR(IF(OR(MonteCarlo!$B$4="C",MonteCarlo!$B$4="c"),AB$1*_xlfn.NORM.S.DIST((LN(AB$1/$A18)+(MonteCarlo!$B$9+(MonteCarlo!$B$7^2)/2)*MonteCarlo!$B$8)/(MonteCarlo!$B$7*SQRT(MonteCarlo!$B$8)),TRUE)-$A18*EXP(-MonteCarlo!$B$9*MonteCarlo!$B$8)*_xlfn.NORM.S.DIST(((LN(AB$1/$A18)+(MonteCarlo!$B$9+(MonteCarlo!$B$7^2)/2)*MonteCarlo!$B$8)/(MonteCarlo!$B$7*SQRT(MonteCarlo!$B$8)))-(MonteCarlo!$B$7*SQRT(MonteCarlo!$B$8)),TRUE),$A18*EXP(-MonteCarlo!$B$9*MonteCarlo!$B$8)*_xlfn.NORM.S.DIST(-(((LN(AB$1/$A18)+(MonteCarlo!$B$9+(MonteCarlo!$B$7^2)/2)*MonteCarlo!$B$8)/(MonteCarlo!$B$7*SQRT(MonteCarlo!$B$8)))-(MonteCarlo!$B$7*SQRT(MonteCarlo!$B$8))),TRUE)-AB$1*_xlfn.NORM.S.DIST(-((LN(AB$1/$A18)+(MonteCarlo!$B$9+(MonteCarlo!$B$7^2)/2)*MonteCarlo!$B$8)/(MonteCarlo!$B$7*SQRT(MonteCarlo!$B$8))),TRUE)),"")</f>
        <v/>
      </c>
      <c r="AC18" t="str">
        <f ca="1">IFERROR(IF(OR(MonteCarlo!$B$4="C",MonteCarlo!$B$4="c"),AC$1*_xlfn.NORM.S.DIST((LN(AC$1/$A18)+(MonteCarlo!$B$9+(MonteCarlo!$B$7^2)/2)*MonteCarlo!$B$8)/(MonteCarlo!$B$7*SQRT(MonteCarlo!$B$8)),TRUE)-$A18*EXP(-MonteCarlo!$B$9*MonteCarlo!$B$8)*_xlfn.NORM.S.DIST(((LN(AC$1/$A18)+(MonteCarlo!$B$9+(MonteCarlo!$B$7^2)/2)*MonteCarlo!$B$8)/(MonteCarlo!$B$7*SQRT(MonteCarlo!$B$8)))-(MonteCarlo!$B$7*SQRT(MonteCarlo!$B$8)),TRUE),$A18*EXP(-MonteCarlo!$B$9*MonteCarlo!$B$8)*_xlfn.NORM.S.DIST(-(((LN(AC$1/$A18)+(MonteCarlo!$B$9+(MonteCarlo!$B$7^2)/2)*MonteCarlo!$B$8)/(MonteCarlo!$B$7*SQRT(MonteCarlo!$B$8)))-(MonteCarlo!$B$7*SQRT(MonteCarlo!$B$8))),TRUE)-AC$1*_xlfn.NORM.S.DIST(-((LN(AC$1/$A18)+(MonteCarlo!$B$9+(MonteCarlo!$B$7^2)/2)*MonteCarlo!$B$8)/(MonteCarlo!$B$7*SQRT(MonteCarlo!$B$8))),TRUE)),"")</f>
        <v/>
      </c>
      <c r="AD18" t="str">
        <f ca="1">IFERROR(IF(OR(MonteCarlo!$B$4="C",MonteCarlo!$B$4="c"),AD$1*_xlfn.NORM.S.DIST((LN(AD$1/$A18)+(MonteCarlo!$B$9+(MonteCarlo!$B$7^2)/2)*MonteCarlo!$B$8)/(MonteCarlo!$B$7*SQRT(MonteCarlo!$B$8)),TRUE)-$A18*EXP(-MonteCarlo!$B$9*MonteCarlo!$B$8)*_xlfn.NORM.S.DIST(((LN(AD$1/$A18)+(MonteCarlo!$B$9+(MonteCarlo!$B$7^2)/2)*MonteCarlo!$B$8)/(MonteCarlo!$B$7*SQRT(MonteCarlo!$B$8)))-(MonteCarlo!$B$7*SQRT(MonteCarlo!$B$8)),TRUE),$A18*EXP(-MonteCarlo!$B$9*MonteCarlo!$B$8)*_xlfn.NORM.S.DIST(-(((LN(AD$1/$A18)+(MonteCarlo!$B$9+(MonteCarlo!$B$7^2)/2)*MonteCarlo!$B$8)/(MonteCarlo!$B$7*SQRT(MonteCarlo!$B$8)))-(MonteCarlo!$B$7*SQRT(MonteCarlo!$B$8))),TRUE)-AD$1*_xlfn.NORM.S.DIST(-((LN(AD$1/$A18)+(MonteCarlo!$B$9+(MonteCarlo!$B$7^2)/2)*MonteCarlo!$B$8)/(MonteCarlo!$B$7*SQRT(MonteCarlo!$B$8))),TRUE)),"")</f>
        <v/>
      </c>
      <c r="AE18" t="str">
        <f ca="1">IFERROR(IF(OR(MonteCarlo!$B$4="C",MonteCarlo!$B$4="c"),AE$1*_xlfn.NORM.S.DIST((LN(AE$1/$A18)+(MonteCarlo!$B$9+(MonteCarlo!$B$7^2)/2)*MonteCarlo!$B$8)/(MonteCarlo!$B$7*SQRT(MonteCarlo!$B$8)),TRUE)-$A18*EXP(-MonteCarlo!$B$9*MonteCarlo!$B$8)*_xlfn.NORM.S.DIST(((LN(AE$1/$A18)+(MonteCarlo!$B$9+(MonteCarlo!$B$7^2)/2)*MonteCarlo!$B$8)/(MonteCarlo!$B$7*SQRT(MonteCarlo!$B$8)))-(MonteCarlo!$B$7*SQRT(MonteCarlo!$B$8)),TRUE),$A18*EXP(-MonteCarlo!$B$9*MonteCarlo!$B$8)*_xlfn.NORM.S.DIST(-(((LN(AE$1/$A18)+(MonteCarlo!$B$9+(MonteCarlo!$B$7^2)/2)*MonteCarlo!$B$8)/(MonteCarlo!$B$7*SQRT(MonteCarlo!$B$8)))-(MonteCarlo!$B$7*SQRT(MonteCarlo!$B$8))),TRUE)-AE$1*_xlfn.NORM.S.DIST(-((LN(AE$1/$A18)+(MonteCarlo!$B$9+(MonteCarlo!$B$7^2)/2)*MonteCarlo!$B$8)/(MonteCarlo!$B$7*SQRT(MonteCarlo!$B$8))),TRUE)),"")</f>
        <v/>
      </c>
      <c r="AF18" t="str">
        <f ca="1">IFERROR(IF(OR(MonteCarlo!$B$4="C",MonteCarlo!$B$4="c"),AF$1*_xlfn.NORM.S.DIST((LN(AF$1/$A18)+(MonteCarlo!$B$9+(MonteCarlo!$B$7^2)/2)*MonteCarlo!$B$8)/(MonteCarlo!$B$7*SQRT(MonteCarlo!$B$8)),TRUE)-$A18*EXP(-MonteCarlo!$B$9*MonteCarlo!$B$8)*_xlfn.NORM.S.DIST(((LN(AF$1/$A18)+(MonteCarlo!$B$9+(MonteCarlo!$B$7^2)/2)*MonteCarlo!$B$8)/(MonteCarlo!$B$7*SQRT(MonteCarlo!$B$8)))-(MonteCarlo!$B$7*SQRT(MonteCarlo!$B$8)),TRUE),$A18*EXP(-MonteCarlo!$B$9*MonteCarlo!$B$8)*_xlfn.NORM.S.DIST(-(((LN(AF$1/$A18)+(MonteCarlo!$B$9+(MonteCarlo!$B$7^2)/2)*MonteCarlo!$B$8)/(MonteCarlo!$B$7*SQRT(MonteCarlo!$B$8)))-(MonteCarlo!$B$7*SQRT(MonteCarlo!$B$8))),TRUE)-AF$1*_xlfn.NORM.S.DIST(-((LN(AF$1/$A18)+(MonteCarlo!$B$9+(MonteCarlo!$B$7^2)/2)*MonteCarlo!$B$8)/(MonteCarlo!$B$7*SQRT(MonteCarlo!$B$8))),TRUE)),"")</f>
        <v/>
      </c>
    </row>
    <row r="19" spans="2:32" x14ac:dyDescent="0.25">
      <c r="B19" t="str">
        <f ca="1">IFERROR(IF(OR(MonteCarlo!$B$4="C",MonteCarlo!$B$4="c"),B$1*_xlfn.NORM.S.DIST((LN(B$1/$A19)+(MonteCarlo!$B$9+(MonteCarlo!$B$7^2)/2)*MonteCarlo!$B$8)/(MonteCarlo!$B$7*SQRT(MonteCarlo!$B$8)),TRUE)-$A19*EXP(-MonteCarlo!$B$9*MonteCarlo!$B$8)*_xlfn.NORM.S.DIST(((LN(B$1/$A19)+(MonteCarlo!$B$9+(MonteCarlo!$B$7^2)/2)*MonteCarlo!$B$8)/(MonteCarlo!$B$7*SQRT(MonteCarlo!$B$8)))-(MonteCarlo!$B$7*SQRT(MonteCarlo!$B$8)),TRUE),$A19*EXP(-MonteCarlo!$B$9*MonteCarlo!$B$8)*_xlfn.NORM.S.DIST(-(((LN(B$1/$A19)+(MonteCarlo!$B$9+(MonteCarlo!$B$7^2)/2)*MonteCarlo!$B$8)/(MonteCarlo!$B$7*SQRT(MonteCarlo!$B$8)))-(MonteCarlo!$B$7*SQRT(MonteCarlo!$B$8))),TRUE)-B$1*_xlfn.NORM.S.DIST(-((LN(B$1/$A19)+(MonteCarlo!$B$9+(MonteCarlo!$B$7^2)/2)*MonteCarlo!$B$8)/(MonteCarlo!$B$7*SQRT(MonteCarlo!$B$8))),TRUE)),"")</f>
        <v/>
      </c>
      <c r="C19" t="str">
        <f ca="1">IFERROR(IF(OR(MonteCarlo!$B$4="C",MonteCarlo!$B$4="c"),C$1*_xlfn.NORM.S.DIST((LN(C$1/$A19)+(MonteCarlo!$B$9+(MonteCarlo!$B$7^2)/2)*MonteCarlo!$B$8)/(MonteCarlo!$B$7*SQRT(MonteCarlo!$B$8)),TRUE)-$A19*EXP(-MonteCarlo!$B$9*MonteCarlo!$B$8)*_xlfn.NORM.S.DIST(((LN(C$1/$A19)+(MonteCarlo!$B$9+(MonteCarlo!$B$7^2)/2)*MonteCarlo!$B$8)/(MonteCarlo!$B$7*SQRT(MonteCarlo!$B$8)))-(MonteCarlo!$B$7*SQRT(MonteCarlo!$B$8)),TRUE),$A19*EXP(-MonteCarlo!$B$9*MonteCarlo!$B$8)*_xlfn.NORM.S.DIST(-(((LN(C$1/$A19)+(MonteCarlo!$B$9+(MonteCarlo!$B$7^2)/2)*MonteCarlo!$B$8)/(MonteCarlo!$B$7*SQRT(MonteCarlo!$B$8)))-(MonteCarlo!$B$7*SQRT(MonteCarlo!$B$8))),TRUE)-C$1*_xlfn.NORM.S.DIST(-((LN(C$1/$A19)+(MonteCarlo!$B$9+(MonteCarlo!$B$7^2)/2)*MonteCarlo!$B$8)/(MonteCarlo!$B$7*SQRT(MonteCarlo!$B$8))),TRUE)),"")</f>
        <v/>
      </c>
      <c r="D19" t="str">
        <f ca="1">IFERROR(IF(OR(MonteCarlo!$B$4="C",MonteCarlo!$B$4="c"),D$1*_xlfn.NORM.S.DIST((LN(D$1/$A19)+(MonteCarlo!$B$9+(MonteCarlo!$B$7^2)/2)*MonteCarlo!$B$8)/(MonteCarlo!$B$7*SQRT(MonteCarlo!$B$8)),TRUE)-$A19*EXP(-MonteCarlo!$B$9*MonteCarlo!$B$8)*_xlfn.NORM.S.DIST(((LN(D$1/$A19)+(MonteCarlo!$B$9+(MonteCarlo!$B$7^2)/2)*MonteCarlo!$B$8)/(MonteCarlo!$B$7*SQRT(MonteCarlo!$B$8)))-(MonteCarlo!$B$7*SQRT(MonteCarlo!$B$8)),TRUE),$A19*EXP(-MonteCarlo!$B$9*MonteCarlo!$B$8)*_xlfn.NORM.S.DIST(-(((LN(D$1/$A19)+(MonteCarlo!$B$9+(MonteCarlo!$B$7^2)/2)*MonteCarlo!$B$8)/(MonteCarlo!$B$7*SQRT(MonteCarlo!$B$8)))-(MonteCarlo!$B$7*SQRT(MonteCarlo!$B$8))),TRUE)-D$1*_xlfn.NORM.S.DIST(-((LN(D$1/$A19)+(MonteCarlo!$B$9+(MonteCarlo!$B$7^2)/2)*MonteCarlo!$B$8)/(MonteCarlo!$B$7*SQRT(MonteCarlo!$B$8))),TRUE)),"")</f>
        <v/>
      </c>
      <c r="E19" t="str">
        <f ca="1">IFERROR(IF(OR(MonteCarlo!$B$4="C",MonteCarlo!$B$4="c"),E$1*_xlfn.NORM.S.DIST((LN(E$1/$A19)+(MonteCarlo!$B$9+(MonteCarlo!$B$7^2)/2)*MonteCarlo!$B$8)/(MonteCarlo!$B$7*SQRT(MonteCarlo!$B$8)),TRUE)-$A19*EXP(-MonteCarlo!$B$9*MonteCarlo!$B$8)*_xlfn.NORM.S.DIST(((LN(E$1/$A19)+(MonteCarlo!$B$9+(MonteCarlo!$B$7^2)/2)*MonteCarlo!$B$8)/(MonteCarlo!$B$7*SQRT(MonteCarlo!$B$8)))-(MonteCarlo!$B$7*SQRT(MonteCarlo!$B$8)),TRUE),$A19*EXP(-MonteCarlo!$B$9*MonteCarlo!$B$8)*_xlfn.NORM.S.DIST(-(((LN(E$1/$A19)+(MonteCarlo!$B$9+(MonteCarlo!$B$7^2)/2)*MonteCarlo!$B$8)/(MonteCarlo!$B$7*SQRT(MonteCarlo!$B$8)))-(MonteCarlo!$B$7*SQRT(MonteCarlo!$B$8))),TRUE)-E$1*_xlfn.NORM.S.DIST(-((LN(E$1/$A19)+(MonteCarlo!$B$9+(MonteCarlo!$B$7^2)/2)*MonteCarlo!$B$8)/(MonteCarlo!$B$7*SQRT(MonteCarlo!$B$8))),TRUE)),"")</f>
        <v/>
      </c>
      <c r="F19" t="str">
        <f ca="1">IFERROR(IF(OR(MonteCarlo!$B$4="C",MonteCarlo!$B$4="c"),F$1*_xlfn.NORM.S.DIST((LN(F$1/$A19)+(MonteCarlo!$B$9+(MonteCarlo!$B$7^2)/2)*MonteCarlo!$B$8)/(MonteCarlo!$B$7*SQRT(MonteCarlo!$B$8)),TRUE)-$A19*EXP(-MonteCarlo!$B$9*MonteCarlo!$B$8)*_xlfn.NORM.S.DIST(((LN(F$1/$A19)+(MonteCarlo!$B$9+(MonteCarlo!$B$7^2)/2)*MonteCarlo!$B$8)/(MonteCarlo!$B$7*SQRT(MonteCarlo!$B$8)))-(MonteCarlo!$B$7*SQRT(MonteCarlo!$B$8)),TRUE),$A19*EXP(-MonteCarlo!$B$9*MonteCarlo!$B$8)*_xlfn.NORM.S.DIST(-(((LN(F$1/$A19)+(MonteCarlo!$B$9+(MonteCarlo!$B$7^2)/2)*MonteCarlo!$B$8)/(MonteCarlo!$B$7*SQRT(MonteCarlo!$B$8)))-(MonteCarlo!$B$7*SQRT(MonteCarlo!$B$8))),TRUE)-F$1*_xlfn.NORM.S.DIST(-((LN(F$1/$A19)+(MonteCarlo!$B$9+(MonteCarlo!$B$7^2)/2)*MonteCarlo!$B$8)/(MonteCarlo!$B$7*SQRT(MonteCarlo!$B$8))),TRUE)),"")</f>
        <v/>
      </c>
      <c r="G19" t="str">
        <f ca="1">IFERROR(IF(OR(MonteCarlo!$B$4="C",MonteCarlo!$B$4="c"),G$1*_xlfn.NORM.S.DIST((LN(G$1/$A19)+(MonteCarlo!$B$9+(MonteCarlo!$B$7^2)/2)*MonteCarlo!$B$8)/(MonteCarlo!$B$7*SQRT(MonteCarlo!$B$8)),TRUE)-$A19*EXP(-MonteCarlo!$B$9*MonteCarlo!$B$8)*_xlfn.NORM.S.DIST(((LN(G$1/$A19)+(MonteCarlo!$B$9+(MonteCarlo!$B$7^2)/2)*MonteCarlo!$B$8)/(MonteCarlo!$B$7*SQRT(MonteCarlo!$B$8)))-(MonteCarlo!$B$7*SQRT(MonteCarlo!$B$8)),TRUE),$A19*EXP(-MonteCarlo!$B$9*MonteCarlo!$B$8)*_xlfn.NORM.S.DIST(-(((LN(G$1/$A19)+(MonteCarlo!$B$9+(MonteCarlo!$B$7^2)/2)*MonteCarlo!$B$8)/(MonteCarlo!$B$7*SQRT(MonteCarlo!$B$8)))-(MonteCarlo!$B$7*SQRT(MonteCarlo!$B$8))),TRUE)-G$1*_xlfn.NORM.S.DIST(-((LN(G$1/$A19)+(MonteCarlo!$B$9+(MonteCarlo!$B$7^2)/2)*MonteCarlo!$B$8)/(MonteCarlo!$B$7*SQRT(MonteCarlo!$B$8))),TRUE)),"")</f>
        <v/>
      </c>
      <c r="H19" t="str">
        <f ca="1">IFERROR(IF(OR(MonteCarlo!$B$4="C",MonteCarlo!$B$4="c"),H$1*_xlfn.NORM.S.DIST((LN(H$1/$A19)+(MonteCarlo!$B$9+(MonteCarlo!$B$7^2)/2)*MonteCarlo!$B$8)/(MonteCarlo!$B$7*SQRT(MonteCarlo!$B$8)),TRUE)-$A19*EXP(-MonteCarlo!$B$9*MonteCarlo!$B$8)*_xlfn.NORM.S.DIST(((LN(H$1/$A19)+(MonteCarlo!$B$9+(MonteCarlo!$B$7^2)/2)*MonteCarlo!$B$8)/(MonteCarlo!$B$7*SQRT(MonteCarlo!$B$8)))-(MonteCarlo!$B$7*SQRT(MonteCarlo!$B$8)),TRUE),$A19*EXP(-MonteCarlo!$B$9*MonteCarlo!$B$8)*_xlfn.NORM.S.DIST(-(((LN(H$1/$A19)+(MonteCarlo!$B$9+(MonteCarlo!$B$7^2)/2)*MonteCarlo!$B$8)/(MonteCarlo!$B$7*SQRT(MonteCarlo!$B$8)))-(MonteCarlo!$B$7*SQRT(MonteCarlo!$B$8))),TRUE)-H$1*_xlfn.NORM.S.DIST(-((LN(H$1/$A19)+(MonteCarlo!$B$9+(MonteCarlo!$B$7^2)/2)*MonteCarlo!$B$8)/(MonteCarlo!$B$7*SQRT(MonteCarlo!$B$8))),TRUE)),"")</f>
        <v/>
      </c>
      <c r="I19" t="str">
        <f ca="1">IFERROR(IF(OR(MonteCarlo!$B$4="C",MonteCarlo!$B$4="c"),I$1*_xlfn.NORM.S.DIST((LN(I$1/$A19)+(MonteCarlo!$B$9+(MonteCarlo!$B$7^2)/2)*MonteCarlo!$B$8)/(MonteCarlo!$B$7*SQRT(MonteCarlo!$B$8)),TRUE)-$A19*EXP(-MonteCarlo!$B$9*MonteCarlo!$B$8)*_xlfn.NORM.S.DIST(((LN(I$1/$A19)+(MonteCarlo!$B$9+(MonteCarlo!$B$7^2)/2)*MonteCarlo!$B$8)/(MonteCarlo!$B$7*SQRT(MonteCarlo!$B$8)))-(MonteCarlo!$B$7*SQRT(MonteCarlo!$B$8)),TRUE),$A19*EXP(-MonteCarlo!$B$9*MonteCarlo!$B$8)*_xlfn.NORM.S.DIST(-(((LN(I$1/$A19)+(MonteCarlo!$B$9+(MonteCarlo!$B$7^2)/2)*MonteCarlo!$B$8)/(MonteCarlo!$B$7*SQRT(MonteCarlo!$B$8)))-(MonteCarlo!$B$7*SQRT(MonteCarlo!$B$8))),TRUE)-I$1*_xlfn.NORM.S.DIST(-((LN(I$1/$A19)+(MonteCarlo!$B$9+(MonteCarlo!$B$7^2)/2)*MonteCarlo!$B$8)/(MonteCarlo!$B$7*SQRT(MonteCarlo!$B$8))),TRUE)),"")</f>
        <v/>
      </c>
      <c r="J19" t="str">
        <f ca="1">IFERROR(IF(OR(MonteCarlo!$B$4="C",MonteCarlo!$B$4="c"),J$1*_xlfn.NORM.S.DIST((LN(J$1/$A19)+(MonteCarlo!$B$9+(MonteCarlo!$B$7^2)/2)*MonteCarlo!$B$8)/(MonteCarlo!$B$7*SQRT(MonteCarlo!$B$8)),TRUE)-$A19*EXP(-MonteCarlo!$B$9*MonteCarlo!$B$8)*_xlfn.NORM.S.DIST(((LN(J$1/$A19)+(MonteCarlo!$B$9+(MonteCarlo!$B$7^2)/2)*MonteCarlo!$B$8)/(MonteCarlo!$B$7*SQRT(MonteCarlo!$B$8)))-(MonteCarlo!$B$7*SQRT(MonteCarlo!$B$8)),TRUE),$A19*EXP(-MonteCarlo!$B$9*MonteCarlo!$B$8)*_xlfn.NORM.S.DIST(-(((LN(J$1/$A19)+(MonteCarlo!$B$9+(MonteCarlo!$B$7^2)/2)*MonteCarlo!$B$8)/(MonteCarlo!$B$7*SQRT(MonteCarlo!$B$8)))-(MonteCarlo!$B$7*SQRT(MonteCarlo!$B$8))),TRUE)-J$1*_xlfn.NORM.S.DIST(-((LN(J$1/$A19)+(MonteCarlo!$B$9+(MonteCarlo!$B$7^2)/2)*MonteCarlo!$B$8)/(MonteCarlo!$B$7*SQRT(MonteCarlo!$B$8))),TRUE)),"")</f>
        <v/>
      </c>
      <c r="K19" t="str">
        <f ca="1">IFERROR(IF(OR(MonteCarlo!$B$4="C",MonteCarlo!$B$4="c"),K$1*_xlfn.NORM.S.DIST((LN(K$1/$A19)+(MonteCarlo!$B$9+(MonteCarlo!$B$7^2)/2)*MonteCarlo!$B$8)/(MonteCarlo!$B$7*SQRT(MonteCarlo!$B$8)),TRUE)-$A19*EXP(-MonteCarlo!$B$9*MonteCarlo!$B$8)*_xlfn.NORM.S.DIST(((LN(K$1/$A19)+(MonteCarlo!$B$9+(MonteCarlo!$B$7^2)/2)*MonteCarlo!$B$8)/(MonteCarlo!$B$7*SQRT(MonteCarlo!$B$8)))-(MonteCarlo!$B$7*SQRT(MonteCarlo!$B$8)),TRUE),$A19*EXP(-MonteCarlo!$B$9*MonteCarlo!$B$8)*_xlfn.NORM.S.DIST(-(((LN(K$1/$A19)+(MonteCarlo!$B$9+(MonteCarlo!$B$7^2)/2)*MonteCarlo!$B$8)/(MonteCarlo!$B$7*SQRT(MonteCarlo!$B$8)))-(MonteCarlo!$B$7*SQRT(MonteCarlo!$B$8))),TRUE)-K$1*_xlfn.NORM.S.DIST(-((LN(K$1/$A19)+(MonteCarlo!$B$9+(MonteCarlo!$B$7^2)/2)*MonteCarlo!$B$8)/(MonteCarlo!$B$7*SQRT(MonteCarlo!$B$8))),TRUE)),"")</f>
        <v/>
      </c>
      <c r="L19" t="str">
        <f ca="1">IFERROR(IF(OR(MonteCarlo!$B$4="C",MonteCarlo!$B$4="c"),L$1*_xlfn.NORM.S.DIST((LN(L$1/$A19)+(MonteCarlo!$B$9+(MonteCarlo!$B$7^2)/2)*MonteCarlo!$B$8)/(MonteCarlo!$B$7*SQRT(MonteCarlo!$B$8)),TRUE)-$A19*EXP(-MonteCarlo!$B$9*MonteCarlo!$B$8)*_xlfn.NORM.S.DIST(((LN(L$1/$A19)+(MonteCarlo!$B$9+(MonteCarlo!$B$7^2)/2)*MonteCarlo!$B$8)/(MonteCarlo!$B$7*SQRT(MonteCarlo!$B$8)))-(MonteCarlo!$B$7*SQRT(MonteCarlo!$B$8)),TRUE),$A19*EXP(-MonteCarlo!$B$9*MonteCarlo!$B$8)*_xlfn.NORM.S.DIST(-(((LN(L$1/$A19)+(MonteCarlo!$B$9+(MonteCarlo!$B$7^2)/2)*MonteCarlo!$B$8)/(MonteCarlo!$B$7*SQRT(MonteCarlo!$B$8)))-(MonteCarlo!$B$7*SQRT(MonteCarlo!$B$8))),TRUE)-L$1*_xlfn.NORM.S.DIST(-((LN(L$1/$A19)+(MonteCarlo!$B$9+(MonteCarlo!$B$7^2)/2)*MonteCarlo!$B$8)/(MonteCarlo!$B$7*SQRT(MonteCarlo!$B$8))),TRUE)),"")</f>
        <v/>
      </c>
      <c r="M19" t="str">
        <f ca="1">IFERROR(IF(OR(MonteCarlo!$B$4="C",MonteCarlo!$B$4="c"),M$1*_xlfn.NORM.S.DIST((LN(M$1/$A19)+(MonteCarlo!$B$9+(MonteCarlo!$B$7^2)/2)*MonteCarlo!$B$8)/(MonteCarlo!$B$7*SQRT(MonteCarlo!$B$8)),TRUE)-$A19*EXP(-MonteCarlo!$B$9*MonteCarlo!$B$8)*_xlfn.NORM.S.DIST(((LN(M$1/$A19)+(MonteCarlo!$B$9+(MonteCarlo!$B$7^2)/2)*MonteCarlo!$B$8)/(MonteCarlo!$B$7*SQRT(MonteCarlo!$B$8)))-(MonteCarlo!$B$7*SQRT(MonteCarlo!$B$8)),TRUE),$A19*EXP(-MonteCarlo!$B$9*MonteCarlo!$B$8)*_xlfn.NORM.S.DIST(-(((LN(M$1/$A19)+(MonteCarlo!$B$9+(MonteCarlo!$B$7^2)/2)*MonteCarlo!$B$8)/(MonteCarlo!$B$7*SQRT(MonteCarlo!$B$8)))-(MonteCarlo!$B$7*SQRT(MonteCarlo!$B$8))),TRUE)-M$1*_xlfn.NORM.S.DIST(-((LN(M$1/$A19)+(MonteCarlo!$B$9+(MonteCarlo!$B$7^2)/2)*MonteCarlo!$B$8)/(MonteCarlo!$B$7*SQRT(MonteCarlo!$B$8))),TRUE)),"")</f>
        <v/>
      </c>
      <c r="N19" t="str">
        <f ca="1">IFERROR(IF(OR(MonteCarlo!$B$4="C",MonteCarlo!$B$4="c"),N$1*_xlfn.NORM.S.DIST((LN(N$1/$A19)+(MonteCarlo!$B$9+(MonteCarlo!$B$7^2)/2)*MonteCarlo!$B$8)/(MonteCarlo!$B$7*SQRT(MonteCarlo!$B$8)),TRUE)-$A19*EXP(-MonteCarlo!$B$9*MonteCarlo!$B$8)*_xlfn.NORM.S.DIST(((LN(N$1/$A19)+(MonteCarlo!$B$9+(MonteCarlo!$B$7^2)/2)*MonteCarlo!$B$8)/(MonteCarlo!$B$7*SQRT(MonteCarlo!$B$8)))-(MonteCarlo!$B$7*SQRT(MonteCarlo!$B$8)),TRUE),$A19*EXP(-MonteCarlo!$B$9*MonteCarlo!$B$8)*_xlfn.NORM.S.DIST(-(((LN(N$1/$A19)+(MonteCarlo!$B$9+(MonteCarlo!$B$7^2)/2)*MonteCarlo!$B$8)/(MonteCarlo!$B$7*SQRT(MonteCarlo!$B$8)))-(MonteCarlo!$B$7*SQRT(MonteCarlo!$B$8))),TRUE)-N$1*_xlfn.NORM.S.DIST(-((LN(N$1/$A19)+(MonteCarlo!$B$9+(MonteCarlo!$B$7^2)/2)*MonteCarlo!$B$8)/(MonteCarlo!$B$7*SQRT(MonteCarlo!$B$8))),TRUE)),"")</f>
        <v/>
      </c>
      <c r="O19" t="str">
        <f ca="1">IFERROR(IF(OR(MonteCarlo!$B$4="C",MonteCarlo!$B$4="c"),O$1*_xlfn.NORM.S.DIST((LN(O$1/$A19)+(MonteCarlo!$B$9+(MonteCarlo!$B$7^2)/2)*MonteCarlo!$B$8)/(MonteCarlo!$B$7*SQRT(MonteCarlo!$B$8)),TRUE)-$A19*EXP(-MonteCarlo!$B$9*MonteCarlo!$B$8)*_xlfn.NORM.S.DIST(((LN(O$1/$A19)+(MonteCarlo!$B$9+(MonteCarlo!$B$7^2)/2)*MonteCarlo!$B$8)/(MonteCarlo!$B$7*SQRT(MonteCarlo!$B$8)))-(MonteCarlo!$B$7*SQRT(MonteCarlo!$B$8)),TRUE),$A19*EXP(-MonteCarlo!$B$9*MonteCarlo!$B$8)*_xlfn.NORM.S.DIST(-(((LN(O$1/$A19)+(MonteCarlo!$B$9+(MonteCarlo!$B$7^2)/2)*MonteCarlo!$B$8)/(MonteCarlo!$B$7*SQRT(MonteCarlo!$B$8)))-(MonteCarlo!$B$7*SQRT(MonteCarlo!$B$8))),TRUE)-O$1*_xlfn.NORM.S.DIST(-((LN(O$1/$A19)+(MonteCarlo!$B$9+(MonteCarlo!$B$7^2)/2)*MonteCarlo!$B$8)/(MonteCarlo!$B$7*SQRT(MonteCarlo!$B$8))),TRUE)),"")</f>
        <v/>
      </c>
      <c r="P19" t="str">
        <f ca="1">IFERROR(IF(OR(MonteCarlo!$B$4="C",MonteCarlo!$B$4="c"),P$1*_xlfn.NORM.S.DIST((LN(P$1/$A19)+(MonteCarlo!$B$9+(MonteCarlo!$B$7^2)/2)*MonteCarlo!$B$8)/(MonteCarlo!$B$7*SQRT(MonteCarlo!$B$8)),TRUE)-$A19*EXP(-MonteCarlo!$B$9*MonteCarlo!$B$8)*_xlfn.NORM.S.DIST(((LN(P$1/$A19)+(MonteCarlo!$B$9+(MonteCarlo!$B$7^2)/2)*MonteCarlo!$B$8)/(MonteCarlo!$B$7*SQRT(MonteCarlo!$B$8)))-(MonteCarlo!$B$7*SQRT(MonteCarlo!$B$8)),TRUE),$A19*EXP(-MonteCarlo!$B$9*MonteCarlo!$B$8)*_xlfn.NORM.S.DIST(-(((LN(P$1/$A19)+(MonteCarlo!$B$9+(MonteCarlo!$B$7^2)/2)*MonteCarlo!$B$8)/(MonteCarlo!$B$7*SQRT(MonteCarlo!$B$8)))-(MonteCarlo!$B$7*SQRT(MonteCarlo!$B$8))),TRUE)-P$1*_xlfn.NORM.S.DIST(-((LN(P$1/$A19)+(MonteCarlo!$B$9+(MonteCarlo!$B$7^2)/2)*MonteCarlo!$B$8)/(MonteCarlo!$B$7*SQRT(MonteCarlo!$B$8))),TRUE)),"")</f>
        <v/>
      </c>
      <c r="Q19" t="str">
        <f ca="1">IFERROR(IF(OR(MonteCarlo!$B$4="C",MonteCarlo!$B$4="c"),Q$1*_xlfn.NORM.S.DIST((LN(Q$1/$A19)+(MonteCarlo!$B$9+(MonteCarlo!$B$7^2)/2)*MonteCarlo!$B$8)/(MonteCarlo!$B$7*SQRT(MonteCarlo!$B$8)),TRUE)-$A19*EXP(-MonteCarlo!$B$9*MonteCarlo!$B$8)*_xlfn.NORM.S.DIST(((LN(Q$1/$A19)+(MonteCarlo!$B$9+(MonteCarlo!$B$7^2)/2)*MonteCarlo!$B$8)/(MonteCarlo!$B$7*SQRT(MonteCarlo!$B$8)))-(MonteCarlo!$B$7*SQRT(MonteCarlo!$B$8)),TRUE),$A19*EXP(-MonteCarlo!$B$9*MonteCarlo!$B$8)*_xlfn.NORM.S.DIST(-(((LN(Q$1/$A19)+(MonteCarlo!$B$9+(MonteCarlo!$B$7^2)/2)*MonteCarlo!$B$8)/(MonteCarlo!$B$7*SQRT(MonteCarlo!$B$8)))-(MonteCarlo!$B$7*SQRT(MonteCarlo!$B$8))),TRUE)-Q$1*_xlfn.NORM.S.DIST(-((LN(Q$1/$A19)+(MonteCarlo!$B$9+(MonteCarlo!$B$7^2)/2)*MonteCarlo!$B$8)/(MonteCarlo!$B$7*SQRT(MonteCarlo!$B$8))),TRUE)),"")</f>
        <v/>
      </c>
      <c r="R19" t="str">
        <f ca="1">IFERROR(IF(OR(MonteCarlo!$B$4="C",MonteCarlo!$B$4="c"),R$1*_xlfn.NORM.S.DIST((LN(R$1/$A19)+(MonteCarlo!$B$9+(MonteCarlo!$B$7^2)/2)*MonteCarlo!$B$8)/(MonteCarlo!$B$7*SQRT(MonteCarlo!$B$8)),TRUE)-$A19*EXP(-MonteCarlo!$B$9*MonteCarlo!$B$8)*_xlfn.NORM.S.DIST(((LN(R$1/$A19)+(MonteCarlo!$B$9+(MonteCarlo!$B$7^2)/2)*MonteCarlo!$B$8)/(MonteCarlo!$B$7*SQRT(MonteCarlo!$B$8)))-(MonteCarlo!$B$7*SQRT(MonteCarlo!$B$8)),TRUE),$A19*EXP(-MonteCarlo!$B$9*MonteCarlo!$B$8)*_xlfn.NORM.S.DIST(-(((LN(R$1/$A19)+(MonteCarlo!$B$9+(MonteCarlo!$B$7^2)/2)*MonteCarlo!$B$8)/(MonteCarlo!$B$7*SQRT(MonteCarlo!$B$8)))-(MonteCarlo!$B$7*SQRT(MonteCarlo!$B$8))),TRUE)-R$1*_xlfn.NORM.S.DIST(-((LN(R$1/$A19)+(MonteCarlo!$B$9+(MonteCarlo!$B$7^2)/2)*MonteCarlo!$B$8)/(MonteCarlo!$B$7*SQRT(MonteCarlo!$B$8))),TRUE)),"")</f>
        <v/>
      </c>
      <c r="S19" t="str">
        <f ca="1">IFERROR(IF(OR(MonteCarlo!$B$4="C",MonteCarlo!$B$4="c"),S$1*_xlfn.NORM.S.DIST((LN(S$1/$A19)+(MonteCarlo!$B$9+(MonteCarlo!$B$7^2)/2)*MonteCarlo!$B$8)/(MonteCarlo!$B$7*SQRT(MonteCarlo!$B$8)),TRUE)-$A19*EXP(-MonteCarlo!$B$9*MonteCarlo!$B$8)*_xlfn.NORM.S.DIST(((LN(S$1/$A19)+(MonteCarlo!$B$9+(MonteCarlo!$B$7^2)/2)*MonteCarlo!$B$8)/(MonteCarlo!$B$7*SQRT(MonteCarlo!$B$8)))-(MonteCarlo!$B$7*SQRT(MonteCarlo!$B$8)),TRUE),$A19*EXP(-MonteCarlo!$B$9*MonteCarlo!$B$8)*_xlfn.NORM.S.DIST(-(((LN(S$1/$A19)+(MonteCarlo!$B$9+(MonteCarlo!$B$7^2)/2)*MonteCarlo!$B$8)/(MonteCarlo!$B$7*SQRT(MonteCarlo!$B$8)))-(MonteCarlo!$B$7*SQRT(MonteCarlo!$B$8))),TRUE)-S$1*_xlfn.NORM.S.DIST(-((LN(S$1/$A19)+(MonteCarlo!$B$9+(MonteCarlo!$B$7^2)/2)*MonteCarlo!$B$8)/(MonteCarlo!$B$7*SQRT(MonteCarlo!$B$8))),TRUE)),"")</f>
        <v/>
      </c>
      <c r="T19" t="str">
        <f ca="1">IFERROR(IF(OR(MonteCarlo!$B$4="C",MonteCarlo!$B$4="c"),T$1*_xlfn.NORM.S.DIST((LN(T$1/$A19)+(MonteCarlo!$B$9+(MonteCarlo!$B$7^2)/2)*MonteCarlo!$B$8)/(MonteCarlo!$B$7*SQRT(MonteCarlo!$B$8)),TRUE)-$A19*EXP(-MonteCarlo!$B$9*MonteCarlo!$B$8)*_xlfn.NORM.S.DIST(((LN(T$1/$A19)+(MonteCarlo!$B$9+(MonteCarlo!$B$7^2)/2)*MonteCarlo!$B$8)/(MonteCarlo!$B$7*SQRT(MonteCarlo!$B$8)))-(MonteCarlo!$B$7*SQRT(MonteCarlo!$B$8)),TRUE),$A19*EXP(-MonteCarlo!$B$9*MonteCarlo!$B$8)*_xlfn.NORM.S.DIST(-(((LN(T$1/$A19)+(MonteCarlo!$B$9+(MonteCarlo!$B$7^2)/2)*MonteCarlo!$B$8)/(MonteCarlo!$B$7*SQRT(MonteCarlo!$B$8)))-(MonteCarlo!$B$7*SQRT(MonteCarlo!$B$8))),TRUE)-T$1*_xlfn.NORM.S.DIST(-((LN(T$1/$A19)+(MonteCarlo!$B$9+(MonteCarlo!$B$7^2)/2)*MonteCarlo!$B$8)/(MonteCarlo!$B$7*SQRT(MonteCarlo!$B$8))),TRUE)),"")</f>
        <v/>
      </c>
      <c r="U19" t="str">
        <f ca="1">IFERROR(IF(OR(MonteCarlo!$B$4="C",MonteCarlo!$B$4="c"),U$1*_xlfn.NORM.S.DIST((LN(U$1/$A19)+(MonteCarlo!$B$9+(MonteCarlo!$B$7^2)/2)*MonteCarlo!$B$8)/(MonteCarlo!$B$7*SQRT(MonteCarlo!$B$8)),TRUE)-$A19*EXP(-MonteCarlo!$B$9*MonteCarlo!$B$8)*_xlfn.NORM.S.DIST(((LN(U$1/$A19)+(MonteCarlo!$B$9+(MonteCarlo!$B$7^2)/2)*MonteCarlo!$B$8)/(MonteCarlo!$B$7*SQRT(MonteCarlo!$B$8)))-(MonteCarlo!$B$7*SQRT(MonteCarlo!$B$8)),TRUE),$A19*EXP(-MonteCarlo!$B$9*MonteCarlo!$B$8)*_xlfn.NORM.S.DIST(-(((LN(U$1/$A19)+(MonteCarlo!$B$9+(MonteCarlo!$B$7^2)/2)*MonteCarlo!$B$8)/(MonteCarlo!$B$7*SQRT(MonteCarlo!$B$8)))-(MonteCarlo!$B$7*SQRT(MonteCarlo!$B$8))),TRUE)-U$1*_xlfn.NORM.S.DIST(-((LN(U$1/$A19)+(MonteCarlo!$B$9+(MonteCarlo!$B$7^2)/2)*MonteCarlo!$B$8)/(MonteCarlo!$B$7*SQRT(MonteCarlo!$B$8))),TRUE)),"")</f>
        <v/>
      </c>
      <c r="V19" t="str">
        <f ca="1">IFERROR(IF(OR(MonteCarlo!$B$4="C",MonteCarlo!$B$4="c"),V$1*_xlfn.NORM.S.DIST((LN(V$1/$A19)+(MonteCarlo!$B$9+(MonteCarlo!$B$7^2)/2)*MonteCarlo!$B$8)/(MonteCarlo!$B$7*SQRT(MonteCarlo!$B$8)),TRUE)-$A19*EXP(-MonteCarlo!$B$9*MonteCarlo!$B$8)*_xlfn.NORM.S.DIST(((LN(V$1/$A19)+(MonteCarlo!$B$9+(MonteCarlo!$B$7^2)/2)*MonteCarlo!$B$8)/(MonteCarlo!$B$7*SQRT(MonteCarlo!$B$8)))-(MonteCarlo!$B$7*SQRT(MonteCarlo!$B$8)),TRUE),$A19*EXP(-MonteCarlo!$B$9*MonteCarlo!$B$8)*_xlfn.NORM.S.DIST(-(((LN(V$1/$A19)+(MonteCarlo!$B$9+(MonteCarlo!$B$7^2)/2)*MonteCarlo!$B$8)/(MonteCarlo!$B$7*SQRT(MonteCarlo!$B$8)))-(MonteCarlo!$B$7*SQRT(MonteCarlo!$B$8))),TRUE)-V$1*_xlfn.NORM.S.DIST(-((LN(V$1/$A19)+(MonteCarlo!$B$9+(MonteCarlo!$B$7^2)/2)*MonteCarlo!$B$8)/(MonteCarlo!$B$7*SQRT(MonteCarlo!$B$8))),TRUE)),"")</f>
        <v/>
      </c>
      <c r="W19" t="str">
        <f ca="1">IFERROR(IF(OR(MonteCarlo!$B$4="C",MonteCarlo!$B$4="c"),W$1*_xlfn.NORM.S.DIST((LN(W$1/$A19)+(MonteCarlo!$B$9+(MonteCarlo!$B$7^2)/2)*MonteCarlo!$B$8)/(MonteCarlo!$B$7*SQRT(MonteCarlo!$B$8)),TRUE)-$A19*EXP(-MonteCarlo!$B$9*MonteCarlo!$B$8)*_xlfn.NORM.S.DIST(((LN(W$1/$A19)+(MonteCarlo!$B$9+(MonteCarlo!$B$7^2)/2)*MonteCarlo!$B$8)/(MonteCarlo!$B$7*SQRT(MonteCarlo!$B$8)))-(MonteCarlo!$B$7*SQRT(MonteCarlo!$B$8)),TRUE),$A19*EXP(-MonteCarlo!$B$9*MonteCarlo!$B$8)*_xlfn.NORM.S.DIST(-(((LN(W$1/$A19)+(MonteCarlo!$B$9+(MonteCarlo!$B$7^2)/2)*MonteCarlo!$B$8)/(MonteCarlo!$B$7*SQRT(MonteCarlo!$B$8)))-(MonteCarlo!$B$7*SQRT(MonteCarlo!$B$8))),TRUE)-W$1*_xlfn.NORM.S.DIST(-((LN(W$1/$A19)+(MonteCarlo!$B$9+(MonteCarlo!$B$7^2)/2)*MonteCarlo!$B$8)/(MonteCarlo!$B$7*SQRT(MonteCarlo!$B$8))),TRUE)),"")</f>
        <v/>
      </c>
      <c r="X19" t="str">
        <f ca="1">IFERROR(IF(OR(MonteCarlo!$B$4="C",MonteCarlo!$B$4="c"),X$1*_xlfn.NORM.S.DIST((LN(X$1/$A19)+(MonteCarlo!$B$9+(MonteCarlo!$B$7^2)/2)*MonteCarlo!$B$8)/(MonteCarlo!$B$7*SQRT(MonteCarlo!$B$8)),TRUE)-$A19*EXP(-MonteCarlo!$B$9*MonteCarlo!$B$8)*_xlfn.NORM.S.DIST(((LN(X$1/$A19)+(MonteCarlo!$B$9+(MonteCarlo!$B$7^2)/2)*MonteCarlo!$B$8)/(MonteCarlo!$B$7*SQRT(MonteCarlo!$B$8)))-(MonteCarlo!$B$7*SQRT(MonteCarlo!$B$8)),TRUE),$A19*EXP(-MonteCarlo!$B$9*MonteCarlo!$B$8)*_xlfn.NORM.S.DIST(-(((LN(X$1/$A19)+(MonteCarlo!$B$9+(MonteCarlo!$B$7^2)/2)*MonteCarlo!$B$8)/(MonteCarlo!$B$7*SQRT(MonteCarlo!$B$8)))-(MonteCarlo!$B$7*SQRT(MonteCarlo!$B$8))),TRUE)-X$1*_xlfn.NORM.S.DIST(-((LN(X$1/$A19)+(MonteCarlo!$B$9+(MonteCarlo!$B$7^2)/2)*MonteCarlo!$B$8)/(MonteCarlo!$B$7*SQRT(MonteCarlo!$B$8))),TRUE)),"")</f>
        <v/>
      </c>
      <c r="Y19" t="str">
        <f ca="1">IFERROR(IF(OR(MonteCarlo!$B$4="C",MonteCarlo!$B$4="c"),Y$1*_xlfn.NORM.S.DIST((LN(Y$1/$A19)+(MonteCarlo!$B$9+(MonteCarlo!$B$7^2)/2)*MonteCarlo!$B$8)/(MonteCarlo!$B$7*SQRT(MonteCarlo!$B$8)),TRUE)-$A19*EXP(-MonteCarlo!$B$9*MonteCarlo!$B$8)*_xlfn.NORM.S.DIST(((LN(Y$1/$A19)+(MonteCarlo!$B$9+(MonteCarlo!$B$7^2)/2)*MonteCarlo!$B$8)/(MonteCarlo!$B$7*SQRT(MonteCarlo!$B$8)))-(MonteCarlo!$B$7*SQRT(MonteCarlo!$B$8)),TRUE),$A19*EXP(-MonteCarlo!$B$9*MonteCarlo!$B$8)*_xlfn.NORM.S.DIST(-(((LN(Y$1/$A19)+(MonteCarlo!$B$9+(MonteCarlo!$B$7^2)/2)*MonteCarlo!$B$8)/(MonteCarlo!$B$7*SQRT(MonteCarlo!$B$8)))-(MonteCarlo!$B$7*SQRT(MonteCarlo!$B$8))),TRUE)-Y$1*_xlfn.NORM.S.DIST(-((LN(Y$1/$A19)+(MonteCarlo!$B$9+(MonteCarlo!$B$7^2)/2)*MonteCarlo!$B$8)/(MonteCarlo!$B$7*SQRT(MonteCarlo!$B$8))),TRUE)),"")</f>
        <v/>
      </c>
      <c r="Z19" t="str">
        <f ca="1">IFERROR(IF(OR(MonteCarlo!$B$4="C",MonteCarlo!$B$4="c"),Z$1*_xlfn.NORM.S.DIST((LN(Z$1/$A19)+(MonteCarlo!$B$9+(MonteCarlo!$B$7^2)/2)*MonteCarlo!$B$8)/(MonteCarlo!$B$7*SQRT(MonteCarlo!$B$8)),TRUE)-$A19*EXP(-MonteCarlo!$B$9*MonteCarlo!$B$8)*_xlfn.NORM.S.DIST(((LN(Z$1/$A19)+(MonteCarlo!$B$9+(MonteCarlo!$B$7^2)/2)*MonteCarlo!$B$8)/(MonteCarlo!$B$7*SQRT(MonteCarlo!$B$8)))-(MonteCarlo!$B$7*SQRT(MonteCarlo!$B$8)),TRUE),$A19*EXP(-MonteCarlo!$B$9*MonteCarlo!$B$8)*_xlfn.NORM.S.DIST(-(((LN(Z$1/$A19)+(MonteCarlo!$B$9+(MonteCarlo!$B$7^2)/2)*MonteCarlo!$B$8)/(MonteCarlo!$B$7*SQRT(MonteCarlo!$B$8)))-(MonteCarlo!$B$7*SQRT(MonteCarlo!$B$8))),TRUE)-Z$1*_xlfn.NORM.S.DIST(-((LN(Z$1/$A19)+(MonteCarlo!$B$9+(MonteCarlo!$B$7^2)/2)*MonteCarlo!$B$8)/(MonteCarlo!$B$7*SQRT(MonteCarlo!$B$8))),TRUE)),"")</f>
        <v/>
      </c>
      <c r="AA19" t="str">
        <f ca="1">IFERROR(IF(OR(MonteCarlo!$B$4="C",MonteCarlo!$B$4="c"),AA$1*_xlfn.NORM.S.DIST((LN(AA$1/$A19)+(MonteCarlo!$B$9+(MonteCarlo!$B$7^2)/2)*MonteCarlo!$B$8)/(MonteCarlo!$B$7*SQRT(MonteCarlo!$B$8)),TRUE)-$A19*EXP(-MonteCarlo!$B$9*MonteCarlo!$B$8)*_xlfn.NORM.S.DIST(((LN(AA$1/$A19)+(MonteCarlo!$B$9+(MonteCarlo!$B$7^2)/2)*MonteCarlo!$B$8)/(MonteCarlo!$B$7*SQRT(MonteCarlo!$B$8)))-(MonteCarlo!$B$7*SQRT(MonteCarlo!$B$8)),TRUE),$A19*EXP(-MonteCarlo!$B$9*MonteCarlo!$B$8)*_xlfn.NORM.S.DIST(-(((LN(AA$1/$A19)+(MonteCarlo!$B$9+(MonteCarlo!$B$7^2)/2)*MonteCarlo!$B$8)/(MonteCarlo!$B$7*SQRT(MonteCarlo!$B$8)))-(MonteCarlo!$B$7*SQRT(MonteCarlo!$B$8))),TRUE)-AA$1*_xlfn.NORM.S.DIST(-((LN(AA$1/$A19)+(MonteCarlo!$B$9+(MonteCarlo!$B$7^2)/2)*MonteCarlo!$B$8)/(MonteCarlo!$B$7*SQRT(MonteCarlo!$B$8))),TRUE)),"")</f>
        <v/>
      </c>
      <c r="AB19" t="str">
        <f ca="1">IFERROR(IF(OR(MonteCarlo!$B$4="C",MonteCarlo!$B$4="c"),AB$1*_xlfn.NORM.S.DIST((LN(AB$1/$A19)+(MonteCarlo!$B$9+(MonteCarlo!$B$7^2)/2)*MonteCarlo!$B$8)/(MonteCarlo!$B$7*SQRT(MonteCarlo!$B$8)),TRUE)-$A19*EXP(-MonteCarlo!$B$9*MonteCarlo!$B$8)*_xlfn.NORM.S.DIST(((LN(AB$1/$A19)+(MonteCarlo!$B$9+(MonteCarlo!$B$7^2)/2)*MonteCarlo!$B$8)/(MonteCarlo!$B$7*SQRT(MonteCarlo!$B$8)))-(MonteCarlo!$B$7*SQRT(MonteCarlo!$B$8)),TRUE),$A19*EXP(-MonteCarlo!$B$9*MonteCarlo!$B$8)*_xlfn.NORM.S.DIST(-(((LN(AB$1/$A19)+(MonteCarlo!$B$9+(MonteCarlo!$B$7^2)/2)*MonteCarlo!$B$8)/(MonteCarlo!$B$7*SQRT(MonteCarlo!$B$8)))-(MonteCarlo!$B$7*SQRT(MonteCarlo!$B$8))),TRUE)-AB$1*_xlfn.NORM.S.DIST(-((LN(AB$1/$A19)+(MonteCarlo!$B$9+(MonteCarlo!$B$7^2)/2)*MonteCarlo!$B$8)/(MonteCarlo!$B$7*SQRT(MonteCarlo!$B$8))),TRUE)),"")</f>
        <v/>
      </c>
      <c r="AC19" t="str">
        <f ca="1">IFERROR(IF(OR(MonteCarlo!$B$4="C",MonteCarlo!$B$4="c"),AC$1*_xlfn.NORM.S.DIST((LN(AC$1/$A19)+(MonteCarlo!$B$9+(MonteCarlo!$B$7^2)/2)*MonteCarlo!$B$8)/(MonteCarlo!$B$7*SQRT(MonteCarlo!$B$8)),TRUE)-$A19*EXP(-MonteCarlo!$B$9*MonteCarlo!$B$8)*_xlfn.NORM.S.DIST(((LN(AC$1/$A19)+(MonteCarlo!$B$9+(MonteCarlo!$B$7^2)/2)*MonteCarlo!$B$8)/(MonteCarlo!$B$7*SQRT(MonteCarlo!$B$8)))-(MonteCarlo!$B$7*SQRT(MonteCarlo!$B$8)),TRUE),$A19*EXP(-MonteCarlo!$B$9*MonteCarlo!$B$8)*_xlfn.NORM.S.DIST(-(((LN(AC$1/$A19)+(MonteCarlo!$B$9+(MonteCarlo!$B$7^2)/2)*MonteCarlo!$B$8)/(MonteCarlo!$B$7*SQRT(MonteCarlo!$B$8)))-(MonteCarlo!$B$7*SQRT(MonteCarlo!$B$8))),TRUE)-AC$1*_xlfn.NORM.S.DIST(-((LN(AC$1/$A19)+(MonteCarlo!$B$9+(MonteCarlo!$B$7^2)/2)*MonteCarlo!$B$8)/(MonteCarlo!$B$7*SQRT(MonteCarlo!$B$8))),TRUE)),"")</f>
        <v/>
      </c>
      <c r="AD19" t="str">
        <f ca="1">IFERROR(IF(OR(MonteCarlo!$B$4="C",MonteCarlo!$B$4="c"),AD$1*_xlfn.NORM.S.DIST((LN(AD$1/$A19)+(MonteCarlo!$B$9+(MonteCarlo!$B$7^2)/2)*MonteCarlo!$B$8)/(MonteCarlo!$B$7*SQRT(MonteCarlo!$B$8)),TRUE)-$A19*EXP(-MonteCarlo!$B$9*MonteCarlo!$B$8)*_xlfn.NORM.S.DIST(((LN(AD$1/$A19)+(MonteCarlo!$B$9+(MonteCarlo!$B$7^2)/2)*MonteCarlo!$B$8)/(MonteCarlo!$B$7*SQRT(MonteCarlo!$B$8)))-(MonteCarlo!$B$7*SQRT(MonteCarlo!$B$8)),TRUE),$A19*EXP(-MonteCarlo!$B$9*MonteCarlo!$B$8)*_xlfn.NORM.S.DIST(-(((LN(AD$1/$A19)+(MonteCarlo!$B$9+(MonteCarlo!$B$7^2)/2)*MonteCarlo!$B$8)/(MonteCarlo!$B$7*SQRT(MonteCarlo!$B$8)))-(MonteCarlo!$B$7*SQRT(MonteCarlo!$B$8))),TRUE)-AD$1*_xlfn.NORM.S.DIST(-((LN(AD$1/$A19)+(MonteCarlo!$B$9+(MonteCarlo!$B$7^2)/2)*MonteCarlo!$B$8)/(MonteCarlo!$B$7*SQRT(MonteCarlo!$B$8))),TRUE)),"")</f>
        <v/>
      </c>
      <c r="AE19" t="str">
        <f ca="1">IFERROR(IF(OR(MonteCarlo!$B$4="C",MonteCarlo!$B$4="c"),AE$1*_xlfn.NORM.S.DIST((LN(AE$1/$A19)+(MonteCarlo!$B$9+(MonteCarlo!$B$7^2)/2)*MonteCarlo!$B$8)/(MonteCarlo!$B$7*SQRT(MonteCarlo!$B$8)),TRUE)-$A19*EXP(-MonteCarlo!$B$9*MonteCarlo!$B$8)*_xlfn.NORM.S.DIST(((LN(AE$1/$A19)+(MonteCarlo!$B$9+(MonteCarlo!$B$7^2)/2)*MonteCarlo!$B$8)/(MonteCarlo!$B$7*SQRT(MonteCarlo!$B$8)))-(MonteCarlo!$B$7*SQRT(MonteCarlo!$B$8)),TRUE),$A19*EXP(-MonteCarlo!$B$9*MonteCarlo!$B$8)*_xlfn.NORM.S.DIST(-(((LN(AE$1/$A19)+(MonteCarlo!$B$9+(MonteCarlo!$B$7^2)/2)*MonteCarlo!$B$8)/(MonteCarlo!$B$7*SQRT(MonteCarlo!$B$8)))-(MonteCarlo!$B$7*SQRT(MonteCarlo!$B$8))),TRUE)-AE$1*_xlfn.NORM.S.DIST(-((LN(AE$1/$A19)+(MonteCarlo!$B$9+(MonteCarlo!$B$7^2)/2)*MonteCarlo!$B$8)/(MonteCarlo!$B$7*SQRT(MonteCarlo!$B$8))),TRUE)),"")</f>
        <v/>
      </c>
      <c r="AF19" t="str">
        <f ca="1">IFERROR(IF(OR(MonteCarlo!$B$4="C",MonteCarlo!$B$4="c"),AF$1*_xlfn.NORM.S.DIST((LN(AF$1/$A19)+(MonteCarlo!$B$9+(MonteCarlo!$B$7^2)/2)*MonteCarlo!$B$8)/(MonteCarlo!$B$7*SQRT(MonteCarlo!$B$8)),TRUE)-$A19*EXP(-MonteCarlo!$B$9*MonteCarlo!$B$8)*_xlfn.NORM.S.DIST(((LN(AF$1/$A19)+(MonteCarlo!$B$9+(MonteCarlo!$B$7^2)/2)*MonteCarlo!$B$8)/(MonteCarlo!$B$7*SQRT(MonteCarlo!$B$8)))-(MonteCarlo!$B$7*SQRT(MonteCarlo!$B$8)),TRUE),$A19*EXP(-MonteCarlo!$B$9*MonteCarlo!$B$8)*_xlfn.NORM.S.DIST(-(((LN(AF$1/$A19)+(MonteCarlo!$B$9+(MonteCarlo!$B$7^2)/2)*MonteCarlo!$B$8)/(MonteCarlo!$B$7*SQRT(MonteCarlo!$B$8)))-(MonteCarlo!$B$7*SQRT(MonteCarlo!$B$8))),TRUE)-AF$1*_xlfn.NORM.S.DIST(-((LN(AF$1/$A19)+(MonteCarlo!$B$9+(MonteCarlo!$B$7^2)/2)*MonteCarlo!$B$8)/(MonteCarlo!$B$7*SQRT(MonteCarlo!$B$8))),TRUE)),"")</f>
        <v/>
      </c>
    </row>
    <row r="20" spans="2:32" x14ac:dyDescent="0.25">
      <c r="B20" t="str">
        <f ca="1">IFERROR(IF(OR(MonteCarlo!$B$4="C",MonteCarlo!$B$4="c"),B$1*_xlfn.NORM.S.DIST((LN(B$1/$A20)+(MonteCarlo!$B$9+(MonteCarlo!$B$7^2)/2)*MonteCarlo!$B$8)/(MonteCarlo!$B$7*SQRT(MonteCarlo!$B$8)),TRUE)-$A20*EXP(-MonteCarlo!$B$9*MonteCarlo!$B$8)*_xlfn.NORM.S.DIST(((LN(B$1/$A20)+(MonteCarlo!$B$9+(MonteCarlo!$B$7^2)/2)*MonteCarlo!$B$8)/(MonteCarlo!$B$7*SQRT(MonteCarlo!$B$8)))-(MonteCarlo!$B$7*SQRT(MonteCarlo!$B$8)),TRUE),$A20*EXP(-MonteCarlo!$B$9*MonteCarlo!$B$8)*_xlfn.NORM.S.DIST(-(((LN(B$1/$A20)+(MonteCarlo!$B$9+(MonteCarlo!$B$7^2)/2)*MonteCarlo!$B$8)/(MonteCarlo!$B$7*SQRT(MonteCarlo!$B$8)))-(MonteCarlo!$B$7*SQRT(MonteCarlo!$B$8))),TRUE)-B$1*_xlfn.NORM.S.DIST(-((LN(B$1/$A20)+(MonteCarlo!$B$9+(MonteCarlo!$B$7^2)/2)*MonteCarlo!$B$8)/(MonteCarlo!$B$7*SQRT(MonteCarlo!$B$8))),TRUE)),"")</f>
        <v/>
      </c>
      <c r="C20" t="str">
        <f ca="1">IFERROR(IF(OR(MonteCarlo!$B$4="C",MonteCarlo!$B$4="c"),C$1*_xlfn.NORM.S.DIST((LN(C$1/$A20)+(MonteCarlo!$B$9+(MonteCarlo!$B$7^2)/2)*MonteCarlo!$B$8)/(MonteCarlo!$B$7*SQRT(MonteCarlo!$B$8)),TRUE)-$A20*EXP(-MonteCarlo!$B$9*MonteCarlo!$B$8)*_xlfn.NORM.S.DIST(((LN(C$1/$A20)+(MonteCarlo!$B$9+(MonteCarlo!$B$7^2)/2)*MonteCarlo!$B$8)/(MonteCarlo!$B$7*SQRT(MonteCarlo!$B$8)))-(MonteCarlo!$B$7*SQRT(MonteCarlo!$B$8)),TRUE),$A20*EXP(-MonteCarlo!$B$9*MonteCarlo!$B$8)*_xlfn.NORM.S.DIST(-(((LN(C$1/$A20)+(MonteCarlo!$B$9+(MonteCarlo!$B$7^2)/2)*MonteCarlo!$B$8)/(MonteCarlo!$B$7*SQRT(MonteCarlo!$B$8)))-(MonteCarlo!$B$7*SQRT(MonteCarlo!$B$8))),TRUE)-C$1*_xlfn.NORM.S.DIST(-((LN(C$1/$A20)+(MonteCarlo!$B$9+(MonteCarlo!$B$7^2)/2)*MonteCarlo!$B$8)/(MonteCarlo!$B$7*SQRT(MonteCarlo!$B$8))),TRUE)),"")</f>
        <v/>
      </c>
      <c r="D20" t="str">
        <f ca="1">IFERROR(IF(OR(MonteCarlo!$B$4="C",MonteCarlo!$B$4="c"),D$1*_xlfn.NORM.S.DIST((LN(D$1/$A20)+(MonteCarlo!$B$9+(MonteCarlo!$B$7^2)/2)*MonteCarlo!$B$8)/(MonteCarlo!$B$7*SQRT(MonteCarlo!$B$8)),TRUE)-$A20*EXP(-MonteCarlo!$B$9*MonteCarlo!$B$8)*_xlfn.NORM.S.DIST(((LN(D$1/$A20)+(MonteCarlo!$B$9+(MonteCarlo!$B$7^2)/2)*MonteCarlo!$B$8)/(MonteCarlo!$B$7*SQRT(MonteCarlo!$B$8)))-(MonteCarlo!$B$7*SQRT(MonteCarlo!$B$8)),TRUE),$A20*EXP(-MonteCarlo!$B$9*MonteCarlo!$B$8)*_xlfn.NORM.S.DIST(-(((LN(D$1/$A20)+(MonteCarlo!$B$9+(MonteCarlo!$B$7^2)/2)*MonteCarlo!$B$8)/(MonteCarlo!$B$7*SQRT(MonteCarlo!$B$8)))-(MonteCarlo!$B$7*SQRT(MonteCarlo!$B$8))),TRUE)-D$1*_xlfn.NORM.S.DIST(-((LN(D$1/$A20)+(MonteCarlo!$B$9+(MonteCarlo!$B$7^2)/2)*MonteCarlo!$B$8)/(MonteCarlo!$B$7*SQRT(MonteCarlo!$B$8))),TRUE)),"")</f>
        <v/>
      </c>
      <c r="E20" t="str">
        <f ca="1">IFERROR(IF(OR(MonteCarlo!$B$4="C",MonteCarlo!$B$4="c"),E$1*_xlfn.NORM.S.DIST((LN(E$1/$A20)+(MonteCarlo!$B$9+(MonteCarlo!$B$7^2)/2)*MonteCarlo!$B$8)/(MonteCarlo!$B$7*SQRT(MonteCarlo!$B$8)),TRUE)-$A20*EXP(-MonteCarlo!$B$9*MonteCarlo!$B$8)*_xlfn.NORM.S.DIST(((LN(E$1/$A20)+(MonteCarlo!$B$9+(MonteCarlo!$B$7^2)/2)*MonteCarlo!$B$8)/(MonteCarlo!$B$7*SQRT(MonteCarlo!$B$8)))-(MonteCarlo!$B$7*SQRT(MonteCarlo!$B$8)),TRUE),$A20*EXP(-MonteCarlo!$B$9*MonteCarlo!$B$8)*_xlfn.NORM.S.DIST(-(((LN(E$1/$A20)+(MonteCarlo!$B$9+(MonteCarlo!$B$7^2)/2)*MonteCarlo!$B$8)/(MonteCarlo!$B$7*SQRT(MonteCarlo!$B$8)))-(MonteCarlo!$B$7*SQRT(MonteCarlo!$B$8))),TRUE)-E$1*_xlfn.NORM.S.DIST(-((LN(E$1/$A20)+(MonteCarlo!$B$9+(MonteCarlo!$B$7^2)/2)*MonteCarlo!$B$8)/(MonteCarlo!$B$7*SQRT(MonteCarlo!$B$8))),TRUE)),"")</f>
        <v/>
      </c>
      <c r="F20" t="str">
        <f ca="1">IFERROR(IF(OR(MonteCarlo!$B$4="C",MonteCarlo!$B$4="c"),F$1*_xlfn.NORM.S.DIST((LN(F$1/$A20)+(MonteCarlo!$B$9+(MonteCarlo!$B$7^2)/2)*MonteCarlo!$B$8)/(MonteCarlo!$B$7*SQRT(MonteCarlo!$B$8)),TRUE)-$A20*EXP(-MonteCarlo!$B$9*MonteCarlo!$B$8)*_xlfn.NORM.S.DIST(((LN(F$1/$A20)+(MonteCarlo!$B$9+(MonteCarlo!$B$7^2)/2)*MonteCarlo!$B$8)/(MonteCarlo!$B$7*SQRT(MonteCarlo!$B$8)))-(MonteCarlo!$B$7*SQRT(MonteCarlo!$B$8)),TRUE),$A20*EXP(-MonteCarlo!$B$9*MonteCarlo!$B$8)*_xlfn.NORM.S.DIST(-(((LN(F$1/$A20)+(MonteCarlo!$B$9+(MonteCarlo!$B$7^2)/2)*MonteCarlo!$B$8)/(MonteCarlo!$B$7*SQRT(MonteCarlo!$B$8)))-(MonteCarlo!$B$7*SQRT(MonteCarlo!$B$8))),TRUE)-F$1*_xlfn.NORM.S.DIST(-((LN(F$1/$A20)+(MonteCarlo!$B$9+(MonteCarlo!$B$7^2)/2)*MonteCarlo!$B$8)/(MonteCarlo!$B$7*SQRT(MonteCarlo!$B$8))),TRUE)),"")</f>
        <v/>
      </c>
      <c r="G20" t="str">
        <f ca="1">IFERROR(IF(OR(MonteCarlo!$B$4="C",MonteCarlo!$B$4="c"),G$1*_xlfn.NORM.S.DIST((LN(G$1/$A20)+(MonteCarlo!$B$9+(MonteCarlo!$B$7^2)/2)*MonteCarlo!$B$8)/(MonteCarlo!$B$7*SQRT(MonteCarlo!$B$8)),TRUE)-$A20*EXP(-MonteCarlo!$B$9*MonteCarlo!$B$8)*_xlfn.NORM.S.DIST(((LN(G$1/$A20)+(MonteCarlo!$B$9+(MonteCarlo!$B$7^2)/2)*MonteCarlo!$B$8)/(MonteCarlo!$B$7*SQRT(MonteCarlo!$B$8)))-(MonteCarlo!$B$7*SQRT(MonteCarlo!$B$8)),TRUE),$A20*EXP(-MonteCarlo!$B$9*MonteCarlo!$B$8)*_xlfn.NORM.S.DIST(-(((LN(G$1/$A20)+(MonteCarlo!$B$9+(MonteCarlo!$B$7^2)/2)*MonteCarlo!$B$8)/(MonteCarlo!$B$7*SQRT(MonteCarlo!$B$8)))-(MonteCarlo!$B$7*SQRT(MonteCarlo!$B$8))),TRUE)-G$1*_xlfn.NORM.S.DIST(-((LN(G$1/$A20)+(MonteCarlo!$B$9+(MonteCarlo!$B$7^2)/2)*MonteCarlo!$B$8)/(MonteCarlo!$B$7*SQRT(MonteCarlo!$B$8))),TRUE)),"")</f>
        <v/>
      </c>
      <c r="H20" t="str">
        <f ca="1">IFERROR(IF(OR(MonteCarlo!$B$4="C",MonteCarlo!$B$4="c"),H$1*_xlfn.NORM.S.DIST((LN(H$1/$A20)+(MonteCarlo!$B$9+(MonteCarlo!$B$7^2)/2)*MonteCarlo!$B$8)/(MonteCarlo!$B$7*SQRT(MonteCarlo!$B$8)),TRUE)-$A20*EXP(-MonteCarlo!$B$9*MonteCarlo!$B$8)*_xlfn.NORM.S.DIST(((LN(H$1/$A20)+(MonteCarlo!$B$9+(MonteCarlo!$B$7^2)/2)*MonteCarlo!$B$8)/(MonteCarlo!$B$7*SQRT(MonteCarlo!$B$8)))-(MonteCarlo!$B$7*SQRT(MonteCarlo!$B$8)),TRUE),$A20*EXP(-MonteCarlo!$B$9*MonteCarlo!$B$8)*_xlfn.NORM.S.DIST(-(((LN(H$1/$A20)+(MonteCarlo!$B$9+(MonteCarlo!$B$7^2)/2)*MonteCarlo!$B$8)/(MonteCarlo!$B$7*SQRT(MonteCarlo!$B$8)))-(MonteCarlo!$B$7*SQRT(MonteCarlo!$B$8))),TRUE)-H$1*_xlfn.NORM.S.DIST(-((LN(H$1/$A20)+(MonteCarlo!$B$9+(MonteCarlo!$B$7^2)/2)*MonteCarlo!$B$8)/(MonteCarlo!$B$7*SQRT(MonteCarlo!$B$8))),TRUE)),"")</f>
        <v/>
      </c>
      <c r="I20" t="str">
        <f ca="1">IFERROR(IF(OR(MonteCarlo!$B$4="C",MonteCarlo!$B$4="c"),I$1*_xlfn.NORM.S.DIST((LN(I$1/$A20)+(MonteCarlo!$B$9+(MonteCarlo!$B$7^2)/2)*MonteCarlo!$B$8)/(MonteCarlo!$B$7*SQRT(MonteCarlo!$B$8)),TRUE)-$A20*EXP(-MonteCarlo!$B$9*MonteCarlo!$B$8)*_xlfn.NORM.S.DIST(((LN(I$1/$A20)+(MonteCarlo!$B$9+(MonteCarlo!$B$7^2)/2)*MonteCarlo!$B$8)/(MonteCarlo!$B$7*SQRT(MonteCarlo!$B$8)))-(MonteCarlo!$B$7*SQRT(MonteCarlo!$B$8)),TRUE),$A20*EXP(-MonteCarlo!$B$9*MonteCarlo!$B$8)*_xlfn.NORM.S.DIST(-(((LN(I$1/$A20)+(MonteCarlo!$B$9+(MonteCarlo!$B$7^2)/2)*MonteCarlo!$B$8)/(MonteCarlo!$B$7*SQRT(MonteCarlo!$B$8)))-(MonteCarlo!$B$7*SQRT(MonteCarlo!$B$8))),TRUE)-I$1*_xlfn.NORM.S.DIST(-((LN(I$1/$A20)+(MonteCarlo!$B$9+(MonteCarlo!$B$7^2)/2)*MonteCarlo!$B$8)/(MonteCarlo!$B$7*SQRT(MonteCarlo!$B$8))),TRUE)),"")</f>
        <v/>
      </c>
      <c r="J20" t="str">
        <f ca="1">IFERROR(IF(OR(MonteCarlo!$B$4="C",MonteCarlo!$B$4="c"),J$1*_xlfn.NORM.S.DIST((LN(J$1/$A20)+(MonteCarlo!$B$9+(MonteCarlo!$B$7^2)/2)*MonteCarlo!$B$8)/(MonteCarlo!$B$7*SQRT(MonteCarlo!$B$8)),TRUE)-$A20*EXP(-MonteCarlo!$B$9*MonteCarlo!$B$8)*_xlfn.NORM.S.DIST(((LN(J$1/$A20)+(MonteCarlo!$B$9+(MonteCarlo!$B$7^2)/2)*MonteCarlo!$B$8)/(MonteCarlo!$B$7*SQRT(MonteCarlo!$B$8)))-(MonteCarlo!$B$7*SQRT(MonteCarlo!$B$8)),TRUE),$A20*EXP(-MonteCarlo!$B$9*MonteCarlo!$B$8)*_xlfn.NORM.S.DIST(-(((LN(J$1/$A20)+(MonteCarlo!$B$9+(MonteCarlo!$B$7^2)/2)*MonteCarlo!$B$8)/(MonteCarlo!$B$7*SQRT(MonteCarlo!$B$8)))-(MonteCarlo!$B$7*SQRT(MonteCarlo!$B$8))),TRUE)-J$1*_xlfn.NORM.S.DIST(-((LN(J$1/$A20)+(MonteCarlo!$B$9+(MonteCarlo!$B$7^2)/2)*MonteCarlo!$B$8)/(MonteCarlo!$B$7*SQRT(MonteCarlo!$B$8))),TRUE)),"")</f>
        <v/>
      </c>
      <c r="K20" t="str">
        <f ca="1">IFERROR(IF(OR(MonteCarlo!$B$4="C",MonteCarlo!$B$4="c"),K$1*_xlfn.NORM.S.DIST((LN(K$1/$A20)+(MonteCarlo!$B$9+(MonteCarlo!$B$7^2)/2)*MonteCarlo!$B$8)/(MonteCarlo!$B$7*SQRT(MonteCarlo!$B$8)),TRUE)-$A20*EXP(-MonteCarlo!$B$9*MonteCarlo!$B$8)*_xlfn.NORM.S.DIST(((LN(K$1/$A20)+(MonteCarlo!$B$9+(MonteCarlo!$B$7^2)/2)*MonteCarlo!$B$8)/(MonteCarlo!$B$7*SQRT(MonteCarlo!$B$8)))-(MonteCarlo!$B$7*SQRT(MonteCarlo!$B$8)),TRUE),$A20*EXP(-MonteCarlo!$B$9*MonteCarlo!$B$8)*_xlfn.NORM.S.DIST(-(((LN(K$1/$A20)+(MonteCarlo!$B$9+(MonteCarlo!$B$7^2)/2)*MonteCarlo!$B$8)/(MonteCarlo!$B$7*SQRT(MonteCarlo!$B$8)))-(MonteCarlo!$B$7*SQRT(MonteCarlo!$B$8))),TRUE)-K$1*_xlfn.NORM.S.DIST(-((LN(K$1/$A20)+(MonteCarlo!$B$9+(MonteCarlo!$B$7^2)/2)*MonteCarlo!$B$8)/(MonteCarlo!$B$7*SQRT(MonteCarlo!$B$8))),TRUE)),"")</f>
        <v/>
      </c>
      <c r="L20" t="str">
        <f ca="1">IFERROR(IF(OR(MonteCarlo!$B$4="C",MonteCarlo!$B$4="c"),L$1*_xlfn.NORM.S.DIST((LN(L$1/$A20)+(MonteCarlo!$B$9+(MonteCarlo!$B$7^2)/2)*MonteCarlo!$B$8)/(MonteCarlo!$B$7*SQRT(MonteCarlo!$B$8)),TRUE)-$A20*EXP(-MonteCarlo!$B$9*MonteCarlo!$B$8)*_xlfn.NORM.S.DIST(((LN(L$1/$A20)+(MonteCarlo!$B$9+(MonteCarlo!$B$7^2)/2)*MonteCarlo!$B$8)/(MonteCarlo!$B$7*SQRT(MonteCarlo!$B$8)))-(MonteCarlo!$B$7*SQRT(MonteCarlo!$B$8)),TRUE),$A20*EXP(-MonteCarlo!$B$9*MonteCarlo!$B$8)*_xlfn.NORM.S.DIST(-(((LN(L$1/$A20)+(MonteCarlo!$B$9+(MonteCarlo!$B$7^2)/2)*MonteCarlo!$B$8)/(MonteCarlo!$B$7*SQRT(MonteCarlo!$B$8)))-(MonteCarlo!$B$7*SQRT(MonteCarlo!$B$8))),TRUE)-L$1*_xlfn.NORM.S.DIST(-((LN(L$1/$A20)+(MonteCarlo!$B$9+(MonteCarlo!$B$7^2)/2)*MonteCarlo!$B$8)/(MonteCarlo!$B$7*SQRT(MonteCarlo!$B$8))),TRUE)),"")</f>
        <v/>
      </c>
      <c r="M20" t="str">
        <f ca="1">IFERROR(IF(OR(MonteCarlo!$B$4="C",MonteCarlo!$B$4="c"),M$1*_xlfn.NORM.S.DIST((LN(M$1/$A20)+(MonteCarlo!$B$9+(MonteCarlo!$B$7^2)/2)*MonteCarlo!$B$8)/(MonteCarlo!$B$7*SQRT(MonteCarlo!$B$8)),TRUE)-$A20*EXP(-MonteCarlo!$B$9*MonteCarlo!$B$8)*_xlfn.NORM.S.DIST(((LN(M$1/$A20)+(MonteCarlo!$B$9+(MonteCarlo!$B$7^2)/2)*MonteCarlo!$B$8)/(MonteCarlo!$B$7*SQRT(MonteCarlo!$B$8)))-(MonteCarlo!$B$7*SQRT(MonteCarlo!$B$8)),TRUE),$A20*EXP(-MonteCarlo!$B$9*MonteCarlo!$B$8)*_xlfn.NORM.S.DIST(-(((LN(M$1/$A20)+(MonteCarlo!$B$9+(MonteCarlo!$B$7^2)/2)*MonteCarlo!$B$8)/(MonteCarlo!$B$7*SQRT(MonteCarlo!$B$8)))-(MonteCarlo!$B$7*SQRT(MonteCarlo!$B$8))),TRUE)-M$1*_xlfn.NORM.S.DIST(-((LN(M$1/$A20)+(MonteCarlo!$B$9+(MonteCarlo!$B$7^2)/2)*MonteCarlo!$B$8)/(MonteCarlo!$B$7*SQRT(MonteCarlo!$B$8))),TRUE)),"")</f>
        <v/>
      </c>
      <c r="N20" t="str">
        <f ca="1">IFERROR(IF(OR(MonteCarlo!$B$4="C",MonteCarlo!$B$4="c"),N$1*_xlfn.NORM.S.DIST((LN(N$1/$A20)+(MonteCarlo!$B$9+(MonteCarlo!$B$7^2)/2)*MonteCarlo!$B$8)/(MonteCarlo!$B$7*SQRT(MonteCarlo!$B$8)),TRUE)-$A20*EXP(-MonteCarlo!$B$9*MonteCarlo!$B$8)*_xlfn.NORM.S.DIST(((LN(N$1/$A20)+(MonteCarlo!$B$9+(MonteCarlo!$B$7^2)/2)*MonteCarlo!$B$8)/(MonteCarlo!$B$7*SQRT(MonteCarlo!$B$8)))-(MonteCarlo!$B$7*SQRT(MonteCarlo!$B$8)),TRUE),$A20*EXP(-MonteCarlo!$B$9*MonteCarlo!$B$8)*_xlfn.NORM.S.DIST(-(((LN(N$1/$A20)+(MonteCarlo!$B$9+(MonteCarlo!$B$7^2)/2)*MonteCarlo!$B$8)/(MonteCarlo!$B$7*SQRT(MonteCarlo!$B$8)))-(MonteCarlo!$B$7*SQRT(MonteCarlo!$B$8))),TRUE)-N$1*_xlfn.NORM.S.DIST(-((LN(N$1/$A20)+(MonteCarlo!$B$9+(MonteCarlo!$B$7^2)/2)*MonteCarlo!$B$8)/(MonteCarlo!$B$7*SQRT(MonteCarlo!$B$8))),TRUE)),"")</f>
        <v/>
      </c>
      <c r="O20" t="str">
        <f ca="1">IFERROR(IF(OR(MonteCarlo!$B$4="C",MonteCarlo!$B$4="c"),O$1*_xlfn.NORM.S.DIST((LN(O$1/$A20)+(MonteCarlo!$B$9+(MonteCarlo!$B$7^2)/2)*MonteCarlo!$B$8)/(MonteCarlo!$B$7*SQRT(MonteCarlo!$B$8)),TRUE)-$A20*EXP(-MonteCarlo!$B$9*MonteCarlo!$B$8)*_xlfn.NORM.S.DIST(((LN(O$1/$A20)+(MonteCarlo!$B$9+(MonteCarlo!$B$7^2)/2)*MonteCarlo!$B$8)/(MonteCarlo!$B$7*SQRT(MonteCarlo!$B$8)))-(MonteCarlo!$B$7*SQRT(MonteCarlo!$B$8)),TRUE),$A20*EXP(-MonteCarlo!$B$9*MonteCarlo!$B$8)*_xlfn.NORM.S.DIST(-(((LN(O$1/$A20)+(MonteCarlo!$B$9+(MonteCarlo!$B$7^2)/2)*MonteCarlo!$B$8)/(MonteCarlo!$B$7*SQRT(MonteCarlo!$B$8)))-(MonteCarlo!$B$7*SQRT(MonteCarlo!$B$8))),TRUE)-O$1*_xlfn.NORM.S.DIST(-((LN(O$1/$A20)+(MonteCarlo!$B$9+(MonteCarlo!$B$7^2)/2)*MonteCarlo!$B$8)/(MonteCarlo!$B$7*SQRT(MonteCarlo!$B$8))),TRUE)),"")</f>
        <v/>
      </c>
      <c r="P20" t="str">
        <f ca="1">IFERROR(IF(OR(MonteCarlo!$B$4="C",MonteCarlo!$B$4="c"),P$1*_xlfn.NORM.S.DIST((LN(P$1/$A20)+(MonteCarlo!$B$9+(MonteCarlo!$B$7^2)/2)*MonteCarlo!$B$8)/(MonteCarlo!$B$7*SQRT(MonteCarlo!$B$8)),TRUE)-$A20*EXP(-MonteCarlo!$B$9*MonteCarlo!$B$8)*_xlfn.NORM.S.DIST(((LN(P$1/$A20)+(MonteCarlo!$B$9+(MonteCarlo!$B$7^2)/2)*MonteCarlo!$B$8)/(MonteCarlo!$B$7*SQRT(MonteCarlo!$B$8)))-(MonteCarlo!$B$7*SQRT(MonteCarlo!$B$8)),TRUE),$A20*EXP(-MonteCarlo!$B$9*MonteCarlo!$B$8)*_xlfn.NORM.S.DIST(-(((LN(P$1/$A20)+(MonteCarlo!$B$9+(MonteCarlo!$B$7^2)/2)*MonteCarlo!$B$8)/(MonteCarlo!$B$7*SQRT(MonteCarlo!$B$8)))-(MonteCarlo!$B$7*SQRT(MonteCarlo!$B$8))),TRUE)-P$1*_xlfn.NORM.S.DIST(-((LN(P$1/$A20)+(MonteCarlo!$B$9+(MonteCarlo!$B$7^2)/2)*MonteCarlo!$B$8)/(MonteCarlo!$B$7*SQRT(MonteCarlo!$B$8))),TRUE)),"")</f>
        <v/>
      </c>
      <c r="Q20" t="str">
        <f ca="1">IFERROR(IF(OR(MonteCarlo!$B$4="C",MonteCarlo!$B$4="c"),Q$1*_xlfn.NORM.S.DIST((LN(Q$1/$A20)+(MonteCarlo!$B$9+(MonteCarlo!$B$7^2)/2)*MonteCarlo!$B$8)/(MonteCarlo!$B$7*SQRT(MonteCarlo!$B$8)),TRUE)-$A20*EXP(-MonteCarlo!$B$9*MonteCarlo!$B$8)*_xlfn.NORM.S.DIST(((LN(Q$1/$A20)+(MonteCarlo!$B$9+(MonteCarlo!$B$7^2)/2)*MonteCarlo!$B$8)/(MonteCarlo!$B$7*SQRT(MonteCarlo!$B$8)))-(MonteCarlo!$B$7*SQRT(MonteCarlo!$B$8)),TRUE),$A20*EXP(-MonteCarlo!$B$9*MonteCarlo!$B$8)*_xlfn.NORM.S.DIST(-(((LN(Q$1/$A20)+(MonteCarlo!$B$9+(MonteCarlo!$B$7^2)/2)*MonteCarlo!$B$8)/(MonteCarlo!$B$7*SQRT(MonteCarlo!$B$8)))-(MonteCarlo!$B$7*SQRT(MonteCarlo!$B$8))),TRUE)-Q$1*_xlfn.NORM.S.DIST(-((LN(Q$1/$A20)+(MonteCarlo!$B$9+(MonteCarlo!$B$7^2)/2)*MonteCarlo!$B$8)/(MonteCarlo!$B$7*SQRT(MonteCarlo!$B$8))),TRUE)),"")</f>
        <v/>
      </c>
      <c r="R20" t="str">
        <f ca="1">IFERROR(IF(OR(MonteCarlo!$B$4="C",MonteCarlo!$B$4="c"),R$1*_xlfn.NORM.S.DIST((LN(R$1/$A20)+(MonteCarlo!$B$9+(MonteCarlo!$B$7^2)/2)*MonteCarlo!$B$8)/(MonteCarlo!$B$7*SQRT(MonteCarlo!$B$8)),TRUE)-$A20*EXP(-MonteCarlo!$B$9*MonteCarlo!$B$8)*_xlfn.NORM.S.DIST(((LN(R$1/$A20)+(MonteCarlo!$B$9+(MonteCarlo!$B$7^2)/2)*MonteCarlo!$B$8)/(MonteCarlo!$B$7*SQRT(MonteCarlo!$B$8)))-(MonteCarlo!$B$7*SQRT(MonteCarlo!$B$8)),TRUE),$A20*EXP(-MonteCarlo!$B$9*MonteCarlo!$B$8)*_xlfn.NORM.S.DIST(-(((LN(R$1/$A20)+(MonteCarlo!$B$9+(MonteCarlo!$B$7^2)/2)*MonteCarlo!$B$8)/(MonteCarlo!$B$7*SQRT(MonteCarlo!$B$8)))-(MonteCarlo!$B$7*SQRT(MonteCarlo!$B$8))),TRUE)-R$1*_xlfn.NORM.S.DIST(-((LN(R$1/$A20)+(MonteCarlo!$B$9+(MonteCarlo!$B$7^2)/2)*MonteCarlo!$B$8)/(MonteCarlo!$B$7*SQRT(MonteCarlo!$B$8))),TRUE)),"")</f>
        <v/>
      </c>
      <c r="S20" t="str">
        <f ca="1">IFERROR(IF(OR(MonteCarlo!$B$4="C",MonteCarlo!$B$4="c"),S$1*_xlfn.NORM.S.DIST((LN(S$1/$A20)+(MonteCarlo!$B$9+(MonteCarlo!$B$7^2)/2)*MonteCarlo!$B$8)/(MonteCarlo!$B$7*SQRT(MonteCarlo!$B$8)),TRUE)-$A20*EXP(-MonteCarlo!$B$9*MonteCarlo!$B$8)*_xlfn.NORM.S.DIST(((LN(S$1/$A20)+(MonteCarlo!$B$9+(MonteCarlo!$B$7^2)/2)*MonteCarlo!$B$8)/(MonteCarlo!$B$7*SQRT(MonteCarlo!$B$8)))-(MonteCarlo!$B$7*SQRT(MonteCarlo!$B$8)),TRUE),$A20*EXP(-MonteCarlo!$B$9*MonteCarlo!$B$8)*_xlfn.NORM.S.DIST(-(((LN(S$1/$A20)+(MonteCarlo!$B$9+(MonteCarlo!$B$7^2)/2)*MonteCarlo!$B$8)/(MonteCarlo!$B$7*SQRT(MonteCarlo!$B$8)))-(MonteCarlo!$B$7*SQRT(MonteCarlo!$B$8))),TRUE)-S$1*_xlfn.NORM.S.DIST(-((LN(S$1/$A20)+(MonteCarlo!$B$9+(MonteCarlo!$B$7^2)/2)*MonteCarlo!$B$8)/(MonteCarlo!$B$7*SQRT(MonteCarlo!$B$8))),TRUE)),"")</f>
        <v/>
      </c>
      <c r="T20" t="str">
        <f ca="1">IFERROR(IF(OR(MonteCarlo!$B$4="C",MonteCarlo!$B$4="c"),T$1*_xlfn.NORM.S.DIST((LN(T$1/$A20)+(MonteCarlo!$B$9+(MonteCarlo!$B$7^2)/2)*MonteCarlo!$B$8)/(MonteCarlo!$B$7*SQRT(MonteCarlo!$B$8)),TRUE)-$A20*EXP(-MonteCarlo!$B$9*MonteCarlo!$B$8)*_xlfn.NORM.S.DIST(((LN(T$1/$A20)+(MonteCarlo!$B$9+(MonteCarlo!$B$7^2)/2)*MonteCarlo!$B$8)/(MonteCarlo!$B$7*SQRT(MonteCarlo!$B$8)))-(MonteCarlo!$B$7*SQRT(MonteCarlo!$B$8)),TRUE),$A20*EXP(-MonteCarlo!$B$9*MonteCarlo!$B$8)*_xlfn.NORM.S.DIST(-(((LN(T$1/$A20)+(MonteCarlo!$B$9+(MonteCarlo!$B$7^2)/2)*MonteCarlo!$B$8)/(MonteCarlo!$B$7*SQRT(MonteCarlo!$B$8)))-(MonteCarlo!$B$7*SQRT(MonteCarlo!$B$8))),TRUE)-T$1*_xlfn.NORM.S.DIST(-((LN(T$1/$A20)+(MonteCarlo!$B$9+(MonteCarlo!$B$7^2)/2)*MonteCarlo!$B$8)/(MonteCarlo!$B$7*SQRT(MonteCarlo!$B$8))),TRUE)),"")</f>
        <v/>
      </c>
      <c r="U20" t="str">
        <f ca="1">IFERROR(IF(OR(MonteCarlo!$B$4="C",MonteCarlo!$B$4="c"),U$1*_xlfn.NORM.S.DIST((LN(U$1/$A20)+(MonteCarlo!$B$9+(MonteCarlo!$B$7^2)/2)*MonteCarlo!$B$8)/(MonteCarlo!$B$7*SQRT(MonteCarlo!$B$8)),TRUE)-$A20*EXP(-MonteCarlo!$B$9*MonteCarlo!$B$8)*_xlfn.NORM.S.DIST(((LN(U$1/$A20)+(MonteCarlo!$B$9+(MonteCarlo!$B$7^2)/2)*MonteCarlo!$B$8)/(MonteCarlo!$B$7*SQRT(MonteCarlo!$B$8)))-(MonteCarlo!$B$7*SQRT(MonteCarlo!$B$8)),TRUE),$A20*EXP(-MonteCarlo!$B$9*MonteCarlo!$B$8)*_xlfn.NORM.S.DIST(-(((LN(U$1/$A20)+(MonteCarlo!$B$9+(MonteCarlo!$B$7^2)/2)*MonteCarlo!$B$8)/(MonteCarlo!$B$7*SQRT(MonteCarlo!$B$8)))-(MonteCarlo!$B$7*SQRT(MonteCarlo!$B$8))),TRUE)-U$1*_xlfn.NORM.S.DIST(-((LN(U$1/$A20)+(MonteCarlo!$B$9+(MonteCarlo!$B$7^2)/2)*MonteCarlo!$B$8)/(MonteCarlo!$B$7*SQRT(MonteCarlo!$B$8))),TRUE)),"")</f>
        <v/>
      </c>
      <c r="V20" t="str">
        <f ca="1">IFERROR(IF(OR(MonteCarlo!$B$4="C",MonteCarlo!$B$4="c"),V$1*_xlfn.NORM.S.DIST((LN(V$1/$A20)+(MonteCarlo!$B$9+(MonteCarlo!$B$7^2)/2)*MonteCarlo!$B$8)/(MonteCarlo!$B$7*SQRT(MonteCarlo!$B$8)),TRUE)-$A20*EXP(-MonteCarlo!$B$9*MonteCarlo!$B$8)*_xlfn.NORM.S.DIST(((LN(V$1/$A20)+(MonteCarlo!$B$9+(MonteCarlo!$B$7^2)/2)*MonteCarlo!$B$8)/(MonteCarlo!$B$7*SQRT(MonteCarlo!$B$8)))-(MonteCarlo!$B$7*SQRT(MonteCarlo!$B$8)),TRUE),$A20*EXP(-MonteCarlo!$B$9*MonteCarlo!$B$8)*_xlfn.NORM.S.DIST(-(((LN(V$1/$A20)+(MonteCarlo!$B$9+(MonteCarlo!$B$7^2)/2)*MonteCarlo!$B$8)/(MonteCarlo!$B$7*SQRT(MonteCarlo!$B$8)))-(MonteCarlo!$B$7*SQRT(MonteCarlo!$B$8))),TRUE)-V$1*_xlfn.NORM.S.DIST(-((LN(V$1/$A20)+(MonteCarlo!$B$9+(MonteCarlo!$B$7^2)/2)*MonteCarlo!$B$8)/(MonteCarlo!$B$7*SQRT(MonteCarlo!$B$8))),TRUE)),"")</f>
        <v/>
      </c>
      <c r="W20" t="str">
        <f ca="1">IFERROR(IF(OR(MonteCarlo!$B$4="C",MonteCarlo!$B$4="c"),W$1*_xlfn.NORM.S.DIST((LN(W$1/$A20)+(MonteCarlo!$B$9+(MonteCarlo!$B$7^2)/2)*MonteCarlo!$B$8)/(MonteCarlo!$B$7*SQRT(MonteCarlo!$B$8)),TRUE)-$A20*EXP(-MonteCarlo!$B$9*MonteCarlo!$B$8)*_xlfn.NORM.S.DIST(((LN(W$1/$A20)+(MonteCarlo!$B$9+(MonteCarlo!$B$7^2)/2)*MonteCarlo!$B$8)/(MonteCarlo!$B$7*SQRT(MonteCarlo!$B$8)))-(MonteCarlo!$B$7*SQRT(MonteCarlo!$B$8)),TRUE),$A20*EXP(-MonteCarlo!$B$9*MonteCarlo!$B$8)*_xlfn.NORM.S.DIST(-(((LN(W$1/$A20)+(MonteCarlo!$B$9+(MonteCarlo!$B$7^2)/2)*MonteCarlo!$B$8)/(MonteCarlo!$B$7*SQRT(MonteCarlo!$B$8)))-(MonteCarlo!$B$7*SQRT(MonteCarlo!$B$8))),TRUE)-W$1*_xlfn.NORM.S.DIST(-((LN(W$1/$A20)+(MonteCarlo!$B$9+(MonteCarlo!$B$7^2)/2)*MonteCarlo!$B$8)/(MonteCarlo!$B$7*SQRT(MonteCarlo!$B$8))),TRUE)),"")</f>
        <v/>
      </c>
      <c r="X20" t="str">
        <f ca="1">IFERROR(IF(OR(MonteCarlo!$B$4="C",MonteCarlo!$B$4="c"),X$1*_xlfn.NORM.S.DIST((LN(X$1/$A20)+(MonteCarlo!$B$9+(MonteCarlo!$B$7^2)/2)*MonteCarlo!$B$8)/(MonteCarlo!$B$7*SQRT(MonteCarlo!$B$8)),TRUE)-$A20*EXP(-MonteCarlo!$B$9*MonteCarlo!$B$8)*_xlfn.NORM.S.DIST(((LN(X$1/$A20)+(MonteCarlo!$B$9+(MonteCarlo!$B$7^2)/2)*MonteCarlo!$B$8)/(MonteCarlo!$B$7*SQRT(MonteCarlo!$B$8)))-(MonteCarlo!$B$7*SQRT(MonteCarlo!$B$8)),TRUE),$A20*EXP(-MonteCarlo!$B$9*MonteCarlo!$B$8)*_xlfn.NORM.S.DIST(-(((LN(X$1/$A20)+(MonteCarlo!$B$9+(MonteCarlo!$B$7^2)/2)*MonteCarlo!$B$8)/(MonteCarlo!$B$7*SQRT(MonteCarlo!$B$8)))-(MonteCarlo!$B$7*SQRT(MonteCarlo!$B$8))),TRUE)-X$1*_xlfn.NORM.S.DIST(-((LN(X$1/$A20)+(MonteCarlo!$B$9+(MonteCarlo!$B$7^2)/2)*MonteCarlo!$B$8)/(MonteCarlo!$B$7*SQRT(MonteCarlo!$B$8))),TRUE)),"")</f>
        <v/>
      </c>
      <c r="Y20" t="str">
        <f ca="1">IFERROR(IF(OR(MonteCarlo!$B$4="C",MonteCarlo!$B$4="c"),Y$1*_xlfn.NORM.S.DIST((LN(Y$1/$A20)+(MonteCarlo!$B$9+(MonteCarlo!$B$7^2)/2)*MonteCarlo!$B$8)/(MonteCarlo!$B$7*SQRT(MonteCarlo!$B$8)),TRUE)-$A20*EXP(-MonteCarlo!$B$9*MonteCarlo!$B$8)*_xlfn.NORM.S.DIST(((LN(Y$1/$A20)+(MonteCarlo!$B$9+(MonteCarlo!$B$7^2)/2)*MonteCarlo!$B$8)/(MonteCarlo!$B$7*SQRT(MonteCarlo!$B$8)))-(MonteCarlo!$B$7*SQRT(MonteCarlo!$B$8)),TRUE),$A20*EXP(-MonteCarlo!$B$9*MonteCarlo!$B$8)*_xlfn.NORM.S.DIST(-(((LN(Y$1/$A20)+(MonteCarlo!$B$9+(MonteCarlo!$B$7^2)/2)*MonteCarlo!$B$8)/(MonteCarlo!$B$7*SQRT(MonteCarlo!$B$8)))-(MonteCarlo!$B$7*SQRT(MonteCarlo!$B$8))),TRUE)-Y$1*_xlfn.NORM.S.DIST(-((LN(Y$1/$A20)+(MonteCarlo!$B$9+(MonteCarlo!$B$7^2)/2)*MonteCarlo!$B$8)/(MonteCarlo!$B$7*SQRT(MonteCarlo!$B$8))),TRUE)),"")</f>
        <v/>
      </c>
      <c r="Z20" t="str">
        <f ca="1">IFERROR(IF(OR(MonteCarlo!$B$4="C",MonteCarlo!$B$4="c"),Z$1*_xlfn.NORM.S.DIST((LN(Z$1/$A20)+(MonteCarlo!$B$9+(MonteCarlo!$B$7^2)/2)*MonteCarlo!$B$8)/(MonteCarlo!$B$7*SQRT(MonteCarlo!$B$8)),TRUE)-$A20*EXP(-MonteCarlo!$B$9*MonteCarlo!$B$8)*_xlfn.NORM.S.DIST(((LN(Z$1/$A20)+(MonteCarlo!$B$9+(MonteCarlo!$B$7^2)/2)*MonteCarlo!$B$8)/(MonteCarlo!$B$7*SQRT(MonteCarlo!$B$8)))-(MonteCarlo!$B$7*SQRT(MonteCarlo!$B$8)),TRUE),$A20*EXP(-MonteCarlo!$B$9*MonteCarlo!$B$8)*_xlfn.NORM.S.DIST(-(((LN(Z$1/$A20)+(MonteCarlo!$B$9+(MonteCarlo!$B$7^2)/2)*MonteCarlo!$B$8)/(MonteCarlo!$B$7*SQRT(MonteCarlo!$B$8)))-(MonteCarlo!$B$7*SQRT(MonteCarlo!$B$8))),TRUE)-Z$1*_xlfn.NORM.S.DIST(-((LN(Z$1/$A20)+(MonteCarlo!$B$9+(MonteCarlo!$B$7^2)/2)*MonteCarlo!$B$8)/(MonteCarlo!$B$7*SQRT(MonteCarlo!$B$8))),TRUE)),"")</f>
        <v/>
      </c>
      <c r="AA20" t="str">
        <f ca="1">IFERROR(IF(OR(MonteCarlo!$B$4="C",MonteCarlo!$B$4="c"),AA$1*_xlfn.NORM.S.DIST((LN(AA$1/$A20)+(MonteCarlo!$B$9+(MonteCarlo!$B$7^2)/2)*MonteCarlo!$B$8)/(MonteCarlo!$B$7*SQRT(MonteCarlo!$B$8)),TRUE)-$A20*EXP(-MonteCarlo!$B$9*MonteCarlo!$B$8)*_xlfn.NORM.S.DIST(((LN(AA$1/$A20)+(MonteCarlo!$B$9+(MonteCarlo!$B$7^2)/2)*MonteCarlo!$B$8)/(MonteCarlo!$B$7*SQRT(MonteCarlo!$B$8)))-(MonteCarlo!$B$7*SQRT(MonteCarlo!$B$8)),TRUE),$A20*EXP(-MonteCarlo!$B$9*MonteCarlo!$B$8)*_xlfn.NORM.S.DIST(-(((LN(AA$1/$A20)+(MonteCarlo!$B$9+(MonteCarlo!$B$7^2)/2)*MonteCarlo!$B$8)/(MonteCarlo!$B$7*SQRT(MonteCarlo!$B$8)))-(MonteCarlo!$B$7*SQRT(MonteCarlo!$B$8))),TRUE)-AA$1*_xlfn.NORM.S.DIST(-((LN(AA$1/$A20)+(MonteCarlo!$B$9+(MonteCarlo!$B$7^2)/2)*MonteCarlo!$B$8)/(MonteCarlo!$B$7*SQRT(MonteCarlo!$B$8))),TRUE)),"")</f>
        <v/>
      </c>
      <c r="AB20" t="str">
        <f ca="1">IFERROR(IF(OR(MonteCarlo!$B$4="C",MonteCarlo!$B$4="c"),AB$1*_xlfn.NORM.S.DIST((LN(AB$1/$A20)+(MonteCarlo!$B$9+(MonteCarlo!$B$7^2)/2)*MonteCarlo!$B$8)/(MonteCarlo!$B$7*SQRT(MonteCarlo!$B$8)),TRUE)-$A20*EXP(-MonteCarlo!$B$9*MonteCarlo!$B$8)*_xlfn.NORM.S.DIST(((LN(AB$1/$A20)+(MonteCarlo!$B$9+(MonteCarlo!$B$7^2)/2)*MonteCarlo!$B$8)/(MonteCarlo!$B$7*SQRT(MonteCarlo!$B$8)))-(MonteCarlo!$B$7*SQRT(MonteCarlo!$B$8)),TRUE),$A20*EXP(-MonteCarlo!$B$9*MonteCarlo!$B$8)*_xlfn.NORM.S.DIST(-(((LN(AB$1/$A20)+(MonteCarlo!$B$9+(MonteCarlo!$B$7^2)/2)*MonteCarlo!$B$8)/(MonteCarlo!$B$7*SQRT(MonteCarlo!$B$8)))-(MonteCarlo!$B$7*SQRT(MonteCarlo!$B$8))),TRUE)-AB$1*_xlfn.NORM.S.DIST(-((LN(AB$1/$A20)+(MonteCarlo!$B$9+(MonteCarlo!$B$7^2)/2)*MonteCarlo!$B$8)/(MonteCarlo!$B$7*SQRT(MonteCarlo!$B$8))),TRUE)),"")</f>
        <v/>
      </c>
      <c r="AC20" t="str">
        <f ca="1">IFERROR(IF(OR(MonteCarlo!$B$4="C",MonteCarlo!$B$4="c"),AC$1*_xlfn.NORM.S.DIST((LN(AC$1/$A20)+(MonteCarlo!$B$9+(MonteCarlo!$B$7^2)/2)*MonteCarlo!$B$8)/(MonteCarlo!$B$7*SQRT(MonteCarlo!$B$8)),TRUE)-$A20*EXP(-MonteCarlo!$B$9*MonteCarlo!$B$8)*_xlfn.NORM.S.DIST(((LN(AC$1/$A20)+(MonteCarlo!$B$9+(MonteCarlo!$B$7^2)/2)*MonteCarlo!$B$8)/(MonteCarlo!$B$7*SQRT(MonteCarlo!$B$8)))-(MonteCarlo!$B$7*SQRT(MonteCarlo!$B$8)),TRUE),$A20*EXP(-MonteCarlo!$B$9*MonteCarlo!$B$8)*_xlfn.NORM.S.DIST(-(((LN(AC$1/$A20)+(MonteCarlo!$B$9+(MonteCarlo!$B$7^2)/2)*MonteCarlo!$B$8)/(MonteCarlo!$B$7*SQRT(MonteCarlo!$B$8)))-(MonteCarlo!$B$7*SQRT(MonteCarlo!$B$8))),TRUE)-AC$1*_xlfn.NORM.S.DIST(-((LN(AC$1/$A20)+(MonteCarlo!$B$9+(MonteCarlo!$B$7^2)/2)*MonteCarlo!$B$8)/(MonteCarlo!$B$7*SQRT(MonteCarlo!$B$8))),TRUE)),"")</f>
        <v/>
      </c>
      <c r="AD20" t="str">
        <f ca="1">IFERROR(IF(OR(MonteCarlo!$B$4="C",MonteCarlo!$B$4="c"),AD$1*_xlfn.NORM.S.DIST((LN(AD$1/$A20)+(MonteCarlo!$B$9+(MonteCarlo!$B$7^2)/2)*MonteCarlo!$B$8)/(MonteCarlo!$B$7*SQRT(MonteCarlo!$B$8)),TRUE)-$A20*EXP(-MonteCarlo!$B$9*MonteCarlo!$B$8)*_xlfn.NORM.S.DIST(((LN(AD$1/$A20)+(MonteCarlo!$B$9+(MonteCarlo!$B$7^2)/2)*MonteCarlo!$B$8)/(MonteCarlo!$B$7*SQRT(MonteCarlo!$B$8)))-(MonteCarlo!$B$7*SQRT(MonteCarlo!$B$8)),TRUE),$A20*EXP(-MonteCarlo!$B$9*MonteCarlo!$B$8)*_xlfn.NORM.S.DIST(-(((LN(AD$1/$A20)+(MonteCarlo!$B$9+(MonteCarlo!$B$7^2)/2)*MonteCarlo!$B$8)/(MonteCarlo!$B$7*SQRT(MonteCarlo!$B$8)))-(MonteCarlo!$B$7*SQRT(MonteCarlo!$B$8))),TRUE)-AD$1*_xlfn.NORM.S.DIST(-((LN(AD$1/$A20)+(MonteCarlo!$B$9+(MonteCarlo!$B$7^2)/2)*MonteCarlo!$B$8)/(MonteCarlo!$B$7*SQRT(MonteCarlo!$B$8))),TRUE)),"")</f>
        <v/>
      </c>
      <c r="AE20" t="str">
        <f ca="1">IFERROR(IF(OR(MonteCarlo!$B$4="C",MonteCarlo!$B$4="c"),AE$1*_xlfn.NORM.S.DIST((LN(AE$1/$A20)+(MonteCarlo!$B$9+(MonteCarlo!$B$7^2)/2)*MonteCarlo!$B$8)/(MonteCarlo!$B$7*SQRT(MonteCarlo!$B$8)),TRUE)-$A20*EXP(-MonteCarlo!$B$9*MonteCarlo!$B$8)*_xlfn.NORM.S.DIST(((LN(AE$1/$A20)+(MonteCarlo!$B$9+(MonteCarlo!$B$7^2)/2)*MonteCarlo!$B$8)/(MonteCarlo!$B$7*SQRT(MonteCarlo!$B$8)))-(MonteCarlo!$B$7*SQRT(MonteCarlo!$B$8)),TRUE),$A20*EXP(-MonteCarlo!$B$9*MonteCarlo!$B$8)*_xlfn.NORM.S.DIST(-(((LN(AE$1/$A20)+(MonteCarlo!$B$9+(MonteCarlo!$B$7^2)/2)*MonteCarlo!$B$8)/(MonteCarlo!$B$7*SQRT(MonteCarlo!$B$8)))-(MonteCarlo!$B$7*SQRT(MonteCarlo!$B$8))),TRUE)-AE$1*_xlfn.NORM.S.DIST(-((LN(AE$1/$A20)+(MonteCarlo!$B$9+(MonteCarlo!$B$7^2)/2)*MonteCarlo!$B$8)/(MonteCarlo!$B$7*SQRT(MonteCarlo!$B$8))),TRUE)),"")</f>
        <v/>
      </c>
      <c r="AF20" t="str">
        <f ca="1">IFERROR(IF(OR(MonteCarlo!$B$4="C",MonteCarlo!$B$4="c"),AF$1*_xlfn.NORM.S.DIST((LN(AF$1/$A20)+(MonteCarlo!$B$9+(MonteCarlo!$B$7^2)/2)*MonteCarlo!$B$8)/(MonteCarlo!$B$7*SQRT(MonteCarlo!$B$8)),TRUE)-$A20*EXP(-MonteCarlo!$B$9*MonteCarlo!$B$8)*_xlfn.NORM.S.DIST(((LN(AF$1/$A20)+(MonteCarlo!$B$9+(MonteCarlo!$B$7^2)/2)*MonteCarlo!$B$8)/(MonteCarlo!$B$7*SQRT(MonteCarlo!$B$8)))-(MonteCarlo!$B$7*SQRT(MonteCarlo!$B$8)),TRUE),$A20*EXP(-MonteCarlo!$B$9*MonteCarlo!$B$8)*_xlfn.NORM.S.DIST(-(((LN(AF$1/$A20)+(MonteCarlo!$B$9+(MonteCarlo!$B$7^2)/2)*MonteCarlo!$B$8)/(MonteCarlo!$B$7*SQRT(MonteCarlo!$B$8)))-(MonteCarlo!$B$7*SQRT(MonteCarlo!$B$8))),TRUE)-AF$1*_xlfn.NORM.S.DIST(-((LN(AF$1/$A20)+(MonteCarlo!$B$9+(MonteCarlo!$B$7^2)/2)*MonteCarlo!$B$8)/(MonteCarlo!$B$7*SQRT(MonteCarlo!$B$8))),TRUE)),"")</f>
        <v/>
      </c>
    </row>
    <row r="21" spans="2:32" x14ac:dyDescent="0.25">
      <c r="B21" t="str">
        <f ca="1">IFERROR(IF(OR(MonteCarlo!$B$4="C",MonteCarlo!$B$4="c"),B$1*_xlfn.NORM.S.DIST((LN(B$1/$A21)+(MonteCarlo!$B$9+(MonteCarlo!$B$7^2)/2)*MonteCarlo!$B$8)/(MonteCarlo!$B$7*SQRT(MonteCarlo!$B$8)),TRUE)-$A21*EXP(-MonteCarlo!$B$9*MonteCarlo!$B$8)*_xlfn.NORM.S.DIST(((LN(B$1/$A21)+(MonteCarlo!$B$9+(MonteCarlo!$B$7^2)/2)*MonteCarlo!$B$8)/(MonteCarlo!$B$7*SQRT(MonteCarlo!$B$8)))-(MonteCarlo!$B$7*SQRT(MonteCarlo!$B$8)),TRUE),$A21*EXP(-MonteCarlo!$B$9*MonteCarlo!$B$8)*_xlfn.NORM.S.DIST(-(((LN(B$1/$A21)+(MonteCarlo!$B$9+(MonteCarlo!$B$7^2)/2)*MonteCarlo!$B$8)/(MonteCarlo!$B$7*SQRT(MonteCarlo!$B$8)))-(MonteCarlo!$B$7*SQRT(MonteCarlo!$B$8))),TRUE)-B$1*_xlfn.NORM.S.DIST(-((LN(B$1/$A21)+(MonteCarlo!$B$9+(MonteCarlo!$B$7^2)/2)*MonteCarlo!$B$8)/(MonteCarlo!$B$7*SQRT(MonteCarlo!$B$8))),TRUE)),"")</f>
        <v/>
      </c>
      <c r="C21" t="str">
        <f ca="1">IFERROR(IF(OR(MonteCarlo!$B$4="C",MonteCarlo!$B$4="c"),C$1*_xlfn.NORM.S.DIST((LN(C$1/$A21)+(MonteCarlo!$B$9+(MonteCarlo!$B$7^2)/2)*MonteCarlo!$B$8)/(MonteCarlo!$B$7*SQRT(MonteCarlo!$B$8)),TRUE)-$A21*EXP(-MonteCarlo!$B$9*MonteCarlo!$B$8)*_xlfn.NORM.S.DIST(((LN(C$1/$A21)+(MonteCarlo!$B$9+(MonteCarlo!$B$7^2)/2)*MonteCarlo!$B$8)/(MonteCarlo!$B$7*SQRT(MonteCarlo!$B$8)))-(MonteCarlo!$B$7*SQRT(MonteCarlo!$B$8)),TRUE),$A21*EXP(-MonteCarlo!$B$9*MonteCarlo!$B$8)*_xlfn.NORM.S.DIST(-(((LN(C$1/$A21)+(MonteCarlo!$B$9+(MonteCarlo!$B$7^2)/2)*MonteCarlo!$B$8)/(MonteCarlo!$B$7*SQRT(MonteCarlo!$B$8)))-(MonteCarlo!$B$7*SQRT(MonteCarlo!$B$8))),TRUE)-C$1*_xlfn.NORM.S.DIST(-((LN(C$1/$A21)+(MonteCarlo!$B$9+(MonteCarlo!$B$7^2)/2)*MonteCarlo!$B$8)/(MonteCarlo!$B$7*SQRT(MonteCarlo!$B$8))),TRUE)),"")</f>
        <v/>
      </c>
      <c r="D21" t="str">
        <f ca="1">IFERROR(IF(OR(MonteCarlo!$B$4="C",MonteCarlo!$B$4="c"),D$1*_xlfn.NORM.S.DIST((LN(D$1/$A21)+(MonteCarlo!$B$9+(MonteCarlo!$B$7^2)/2)*MonteCarlo!$B$8)/(MonteCarlo!$B$7*SQRT(MonteCarlo!$B$8)),TRUE)-$A21*EXP(-MonteCarlo!$B$9*MonteCarlo!$B$8)*_xlfn.NORM.S.DIST(((LN(D$1/$A21)+(MonteCarlo!$B$9+(MonteCarlo!$B$7^2)/2)*MonteCarlo!$B$8)/(MonteCarlo!$B$7*SQRT(MonteCarlo!$B$8)))-(MonteCarlo!$B$7*SQRT(MonteCarlo!$B$8)),TRUE),$A21*EXP(-MonteCarlo!$B$9*MonteCarlo!$B$8)*_xlfn.NORM.S.DIST(-(((LN(D$1/$A21)+(MonteCarlo!$B$9+(MonteCarlo!$B$7^2)/2)*MonteCarlo!$B$8)/(MonteCarlo!$B$7*SQRT(MonteCarlo!$B$8)))-(MonteCarlo!$B$7*SQRT(MonteCarlo!$B$8))),TRUE)-D$1*_xlfn.NORM.S.DIST(-((LN(D$1/$A21)+(MonteCarlo!$B$9+(MonteCarlo!$B$7^2)/2)*MonteCarlo!$B$8)/(MonteCarlo!$B$7*SQRT(MonteCarlo!$B$8))),TRUE)),"")</f>
        <v/>
      </c>
      <c r="E21" t="str">
        <f ca="1">IFERROR(IF(OR(MonteCarlo!$B$4="C",MonteCarlo!$B$4="c"),E$1*_xlfn.NORM.S.DIST((LN(E$1/$A21)+(MonteCarlo!$B$9+(MonteCarlo!$B$7^2)/2)*MonteCarlo!$B$8)/(MonteCarlo!$B$7*SQRT(MonteCarlo!$B$8)),TRUE)-$A21*EXP(-MonteCarlo!$B$9*MonteCarlo!$B$8)*_xlfn.NORM.S.DIST(((LN(E$1/$A21)+(MonteCarlo!$B$9+(MonteCarlo!$B$7^2)/2)*MonteCarlo!$B$8)/(MonteCarlo!$B$7*SQRT(MonteCarlo!$B$8)))-(MonteCarlo!$B$7*SQRT(MonteCarlo!$B$8)),TRUE),$A21*EXP(-MonteCarlo!$B$9*MonteCarlo!$B$8)*_xlfn.NORM.S.DIST(-(((LN(E$1/$A21)+(MonteCarlo!$B$9+(MonteCarlo!$B$7^2)/2)*MonteCarlo!$B$8)/(MonteCarlo!$B$7*SQRT(MonteCarlo!$B$8)))-(MonteCarlo!$B$7*SQRT(MonteCarlo!$B$8))),TRUE)-E$1*_xlfn.NORM.S.DIST(-((LN(E$1/$A21)+(MonteCarlo!$B$9+(MonteCarlo!$B$7^2)/2)*MonteCarlo!$B$8)/(MonteCarlo!$B$7*SQRT(MonteCarlo!$B$8))),TRUE)),"")</f>
        <v/>
      </c>
      <c r="F21" t="str">
        <f ca="1">IFERROR(IF(OR(MonteCarlo!$B$4="C",MonteCarlo!$B$4="c"),F$1*_xlfn.NORM.S.DIST((LN(F$1/$A21)+(MonteCarlo!$B$9+(MonteCarlo!$B$7^2)/2)*MonteCarlo!$B$8)/(MonteCarlo!$B$7*SQRT(MonteCarlo!$B$8)),TRUE)-$A21*EXP(-MonteCarlo!$B$9*MonteCarlo!$B$8)*_xlfn.NORM.S.DIST(((LN(F$1/$A21)+(MonteCarlo!$B$9+(MonteCarlo!$B$7^2)/2)*MonteCarlo!$B$8)/(MonteCarlo!$B$7*SQRT(MonteCarlo!$B$8)))-(MonteCarlo!$B$7*SQRT(MonteCarlo!$B$8)),TRUE),$A21*EXP(-MonteCarlo!$B$9*MonteCarlo!$B$8)*_xlfn.NORM.S.DIST(-(((LN(F$1/$A21)+(MonteCarlo!$B$9+(MonteCarlo!$B$7^2)/2)*MonteCarlo!$B$8)/(MonteCarlo!$B$7*SQRT(MonteCarlo!$B$8)))-(MonteCarlo!$B$7*SQRT(MonteCarlo!$B$8))),TRUE)-F$1*_xlfn.NORM.S.DIST(-((LN(F$1/$A21)+(MonteCarlo!$B$9+(MonteCarlo!$B$7^2)/2)*MonteCarlo!$B$8)/(MonteCarlo!$B$7*SQRT(MonteCarlo!$B$8))),TRUE)),"")</f>
        <v/>
      </c>
      <c r="G21" t="str">
        <f ca="1">IFERROR(IF(OR(MonteCarlo!$B$4="C",MonteCarlo!$B$4="c"),G$1*_xlfn.NORM.S.DIST((LN(G$1/$A21)+(MonteCarlo!$B$9+(MonteCarlo!$B$7^2)/2)*MonteCarlo!$B$8)/(MonteCarlo!$B$7*SQRT(MonteCarlo!$B$8)),TRUE)-$A21*EXP(-MonteCarlo!$B$9*MonteCarlo!$B$8)*_xlfn.NORM.S.DIST(((LN(G$1/$A21)+(MonteCarlo!$B$9+(MonteCarlo!$B$7^2)/2)*MonteCarlo!$B$8)/(MonteCarlo!$B$7*SQRT(MonteCarlo!$B$8)))-(MonteCarlo!$B$7*SQRT(MonteCarlo!$B$8)),TRUE),$A21*EXP(-MonteCarlo!$B$9*MonteCarlo!$B$8)*_xlfn.NORM.S.DIST(-(((LN(G$1/$A21)+(MonteCarlo!$B$9+(MonteCarlo!$B$7^2)/2)*MonteCarlo!$B$8)/(MonteCarlo!$B$7*SQRT(MonteCarlo!$B$8)))-(MonteCarlo!$B$7*SQRT(MonteCarlo!$B$8))),TRUE)-G$1*_xlfn.NORM.S.DIST(-((LN(G$1/$A21)+(MonteCarlo!$B$9+(MonteCarlo!$B$7^2)/2)*MonteCarlo!$B$8)/(MonteCarlo!$B$7*SQRT(MonteCarlo!$B$8))),TRUE)),"")</f>
        <v/>
      </c>
      <c r="H21" t="str">
        <f ca="1">IFERROR(IF(OR(MonteCarlo!$B$4="C",MonteCarlo!$B$4="c"),H$1*_xlfn.NORM.S.DIST((LN(H$1/$A21)+(MonteCarlo!$B$9+(MonteCarlo!$B$7^2)/2)*MonteCarlo!$B$8)/(MonteCarlo!$B$7*SQRT(MonteCarlo!$B$8)),TRUE)-$A21*EXP(-MonteCarlo!$B$9*MonteCarlo!$B$8)*_xlfn.NORM.S.DIST(((LN(H$1/$A21)+(MonteCarlo!$B$9+(MonteCarlo!$B$7^2)/2)*MonteCarlo!$B$8)/(MonteCarlo!$B$7*SQRT(MonteCarlo!$B$8)))-(MonteCarlo!$B$7*SQRT(MonteCarlo!$B$8)),TRUE),$A21*EXP(-MonteCarlo!$B$9*MonteCarlo!$B$8)*_xlfn.NORM.S.DIST(-(((LN(H$1/$A21)+(MonteCarlo!$B$9+(MonteCarlo!$B$7^2)/2)*MonteCarlo!$B$8)/(MonteCarlo!$B$7*SQRT(MonteCarlo!$B$8)))-(MonteCarlo!$B$7*SQRT(MonteCarlo!$B$8))),TRUE)-H$1*_xlfn.NORM.S.DIST(-((LN(H$1/$A21)+(MonteCarlo!$B$9+(MonteCarlo!$B$7^2)/2)*MonteCarlo!$B$8)/(MonteCarlo!$B$7*SQRT(MonteCarlo!$B$8))),TRUE)),"")</f>
        <v/>
      </c>
      <c r="I21" t="str">
        <f ca="1">IFERROR(IF(OR(MonteCarlo!$B$4="C",MonteCarlo!$B$4="c"),I$1*_xlfn.NORM.S.DIST((LN(I$1/$A21)+(MonteCarlo!$B$9+(MonteCarlo!$B$7^2)/2)*MonteCarlo!$B$8)/(MonteCarlo!$B$7*SQRT(MonteCarlo!$B$8)),TRUE)-$A21*EXP(-MonteCarlo!$B$9*MonteCarlo!$B$8)*_xlfn.NORM.S.DIST(((LN(I$1/$A21)+(MonteCarlo!$B$9+(MonteCarlo!$B$7^2)/2)*MonteCarlo!$B$8)/(MonteCarlo!$B$7*SQRT(MonteCarlo!$B$8)))-(MonteCarlo!$B$7*SQRT(MonteCarlo!$B$8)),TRUE),$A21*EXP(-MonteCarlo!$B$9*MonteCarlo!$B$8)*_xlfn.NORM.S.DIST(-(((LN(I$1/$A21)+(MonteCarlo!$B$9+(MonteCarlo!$B$7^2)/2)*MonteCarlo!$B$8)/(MonteCarlo!$B$7*SQRT(MonteCarlo!$B$8)))-(MonteCarlo!$B$7*SQRT(MonteCarlo!$B$8))),TRUE)-I$1*_xlfn.NORM.S.DIST(-((LN(I$1/$A21)+(MonteCarlo!$B$9+(MonteCarlo!$B$7^2)/2)*MonteCarlo!$B$8)/(MonteCarlo!$B$7*SQRT(MonteCarlo!$B$8))),TRUE)),"")</f>
        <v/>
      </c>
      <c r="J21" t="str">
        <f ca="1">IFERROR(IF(OR(MonteCarlo!$B$4="C",MonteCarlo!$B$4="c"),J$1*_xlfn.NORM.S.DIST((LN(J$1/$A21)+(MonteCarlo!$B$9+(MonteCarlo!$B$7^2)/2)*MonteCarlo!$B$8)/(MonteCarlo!$B$7*SQRT(MonteCarlo!$B$8)),TRUE)-$A21*EXP(-MonteCarlo!$B$9*MonteCarlo!$B$8)*_xlfn.NORM.S.DIST(((LN(J$1/$A21)+(MonteCarlo!$B$9+(MonteCarlo!$B$7^2)/2)*MonteCarlo!$B$8)/(MonteCarlo!$B$7*SQRT(MonteCarlo!$B$8)))-(MonteCarlo!$B$7*SQRT(MonteCarlo!$B$8)),TRUE),$A21*EXP(-MonteCarlo!$B$9*MonteCarlo!$B$8)*_xlfn.NORM.S.DIST(-(((LN(J$1/$A21)+(MonteCarlo!$B$9+(MonteCarlo!$B$7^2)/2)*MonteCarlo!$B$8)/(MonteCarlo!$B$7*SQRT(MonteCarlo!$B$8)))-(MonteCarlo!$B$7*SQRT(MonteCarlo!$B$8))),TRUE)-J$1*_xlfn.NORM.S.DIST(-((LN(J$1/$A21)+(MonteCarlo!$B$9+(MonteCarlo!$B$7^2)/2)*MonteCarlo!$B$8)/(MonteCarlo!$B$7*SQRT(MonteCarlo!$B$8))),TRUE)),"")</f>
        <v/>
      </c>
      <c r="K21" t="str">
        <f ca="1">IFERROR(IF(OR(MonteCarlo!$B$4="C",MonteCarlo!$B$4="c"),K$1*_xlfn.NORM.S.DIST((LN(K$1/$A21)+(MonteCarlo!$B$9+(MonteCarlo!$B$7^2)/2)*MonteCarlo!$B$8)/(MonteCarlo!$B$7*SQRT(MonteCarlo!$B$8)),TRUE)-$A21*EXP(-MonteCarlo!$B$9*MonteCarlo!$B$8)*_xlfn.NORM.S.DIST(((LN(K$1/$A21)+(MonteCarlo!$B$9+(MonteCarlo!$B$7^2)/2)*MonteCarlo!$B$8)/(MonteCarlo!$B$7*SQRT(MonteCarlo!$B$8)))-(MonteCarlo!$B$7*SQRT(MonteCarlo!$B$8)),TRUE),$A21*EXP(-MonteCarlo!$B$9*MonteCarlo!$B$8)*_xlfn.NORM.S.DIST(-(((LN(K$1/$A21)+(MonteCarlo!$B$9+(MonteCarlo!$B$7^2)/2)*MonteCarlo!$B$8)/(MonteCarlo!$B$7*SQRT(MonteCarlo!$B$8)))-(MonteCarlo!$B$7*SQRT(MonteCarlo!$B$8))),TRUE)-K$1*_xlfn.NORM.S.DIST(-((LN(K$1/$A21)+(MonteCarlo!$B$9+(MonteCarlo!$B$7^2)/2)*MonteCarlo!$B$8)/(MonteCarlo!$B$7*SQRT(MonteCarlo!$B$8))),TRUE)),"")</f>
        <v/>
      </c>
      <c r="L21" t="str">
        <f ca="1">IFERROR(IF(OR(MonteCarlo!$B$4="C",MonteCarlo!$B$4="c"),L$1*_xlfn.NORM.S.DIST((LN(L$1/$A21)+(MonteCarlo!$B$9+(MonteCarlo!$B$7^2)/2)*MonteCarlo!$B$8)/(MonteCarlo!$B$7*SQRT(MonteCarlo!$B$8)),TRUE)-$A21*EXP(-MonteCarlo!$B$9*MonteCarlo!$B$8)*_xlfn.NORM.S.DIST(((LN(L$1/$A21)+(MonteCarlo!$B$9+(MonteCarlo!$B$7^2)/2)*MonteCarlo!$B$8)/(MonteCarlo!$B$7*SQRT(MonteCarlo!$B$8)))-(MonteCarlo!$B$7*SQRT(MonteCarlo!$B$8)),TRUE),$A21*EXP(-MonteCarlo!$B$9*MonteCarlo!$B$8)*_xlfn.NORM.S.DIST(-(((LN(L$1/$A21)+(MonteCarlo!$B$9+(MonteCarlo!$B$7^2)/2)*MonteCarlo!$B$8)/(MonteCarlo!$B$7*SQRT(MonteCarlo!$B$8)))-(MonteCarlo!$B$7*SQRT(MonteCarlo!$B$8))),TRUE)-L$1*_xlfn.NORM.S.DIST(-((LN(L$1/$A21)+(MonteCarlo!$B$9+(MonteCarlo!$B$7^2)/2)*MonteCarlo!$B$8)/(MonteCarlo!$B$7*SQRT(MonteCarlo!$B$8))),TRUE)),"")</f>
        <v/>
      </c>
      <c r="M21" t="str">
        <f ca="1">IFERROR(IF(OR(MonteCarlo!$B$4="C",MonteCarlo!$B$4="c"),M$1*_xlfn.NORM.S.DIST((LN(M$1/$A21)+(MonteCarlo!$B$9+(MonteCarlo!$B$7^2)/2)*MonteCarlo!$B$8)/(MonteCarlo!$B$7*SQRT(MonteCarlo!$B$8)),TRUE)-$A21*EXP(-MonteCarlo!$B$9*MonteCarlo!$B$8)*_xlfn.NORM.S.DIST(((LN(M$1/$A21)+(MonteCarlo!$B$9+(MonteCarlo!$B$7^2)/2)*MonteCarlo!$B$8)/(MonteCarlo!$B$7*SQRT(MonteCarlo!$B$8)))-(MonteCarlo!$B$7*SQRT(MonteCarlo!$B$8)),TRUE),$A21*EXP(-MonteCarlo!$B$9*MonteCarlo!$B$8)*_xlfn.NORM.S.DIST(-(((LN(M$1/$A21)+(MonteCarlo!$B$9+(MonteCarlo!$B$7^2)/2)*MonteCarlo!$B$8)/(MonteCarlo!$B$7*SQRT(MonteCarlo!$B$8)))-(MonteCarlo!$B$7*SQRT(MonteCarlo!$B$8))),TRUE)-M$1*_xlfn.NORM.S.DIST(-((LN(M$1/$A21)+(MonteCarlo!$B$9+(MonteCarlo!$B$7^2)/2)*MonteCarlo!$B$8)/(MonteCarlo!$B$7*SQRT(MonteCarlo!$B$8))),TRUE)),"")</f>
        <v/>
      </c>
      <c r="N21" t="str">
        <f ca="1">IFERROR(IF(OR(MonteCarlo!$B$4="C",MonteCarlo!$B$4="c"),N$1*_xlfn.NORM.S.DIST((LN(N$1/$A21)+(MonteCarlo!$B$9+(MonteCarlo!$B$7^2)/2)*MonteCarlo!$B$8)/(MonteCarlo!$B$7*SQRT(MonteCarlo!$B$8)),TRUE)-$A21*EXP(-MonteCarlo!$B$9*MonteCarlo!$B$8)*_xlfn.NORM.S.DIST(((LN(N$1/$A21)+(MonteCarlo!$B$9+(MonteCarlo!$B$7^2)/2)*MonteCarlo!$B$8)/(MonteCarlo!$B$7*SQRT(MonteCarlo!$B$8)))-(MonteCarlo!$B$7*SQRT(MonteCarlo!$B$8)),TRUE),$A21*EXP(-MonteCarlo!$B$9*MonteCarlo!$B$8)*_xlfn.NORM.S.DIST(-(((LN(N$1/$A21)+(MonteCarlo!$B$9+(MonteCarlo!$B$7^2)/2)*MonteCarlo!$B$8)/(MonteCarlo!$B$7*SQRT(MonteCarlo!$B$8)))-(MonteCarlo!$B$7*SQRT(MonteCarlo!$B$8))),TRUE)-N$1*_xlfn.NORM.S.DIST(-((LN(N$1/$A21)+(MonteCarlo!$B$9+(MonteCarlo!$B$7^2)/2)*MonteCarlo!$B$8)/(MonteCarlo!$B$7*SQRT(MonteCarlo!$B$8))),TRUE)),"")</f>
        <v/>
      </c>
      <c r="O21" t="str">
        <f ca="1">IFERROR(IF(OR(MonteCarlo!$B$4="C",MonteCarlo!$B$4="c"),O$1*_xlfn.NORM.S.DIST((LN(O$1/$A21)+(MonteCarlo!$B$9+(MonteCarlo!$B$7^2)/2)*MonteCarlo!$B$8)/(MonteCarlo!$B$7*SQRT(MonteCarlo!$B$8)),TRUE)-$A21*EXP(-MonteCarlo!$B$9*MonteCarlo!$B$8)*_xlfn.NORM.S.DIST(((LN(O$1/$A21)+(MonteCarlo!$B$9+(MonteCarlo!$B$7^2)/2)*MonteCarlo!$B$8)/(MonteCarlo!$B$7*SQRT(MonteCarlo!$B$8)))-(MonteCarlo!$B$7*SQRT(MonteCarlo!$B$8)),TRUE),$A21*EXP(-MonteCarlo!$B$9*MonteCarlo!$B$8)*_xlfn.NORM.S.DIST(-(((LN(O$1/$A21)+(MonteCarlo!$B$9+(MonteCarlo!$B$7^2)/2)*MonteCarlo!$B$8)/(MonteCarlo!$B$7*SQRT(MonteCarlo!$B$8)))-(MonteCarlo!$B$7*SQRT(MonteCarlo!$B$8))),TRUE)-O$1*_xlfn.NORM.S.DIST(-((LN(O$1/$A21)+(MonteCarlo!$B$9+(MonteCarlo!$B$7^2)/2)*MonteCarlo!$B$8)/(MonteCarlo!$B$7*SQRT(MonteCarlo!$B$8))),TRUE)),"")</f>
        <v/>
      </c>
      <c r="P21" t="str">
        <f ca="1">IFERROR(IF(OR(MonteCarlo!$B$4="C",MonteCarlo!$B$4="c"),P$1*_xlfn.NORM.S.DIST((LN(P$1/$A21)+(MonteCarlo!$B$9+(MonteCarlo!$B$7^2)/2)*MonteCarlo!$B$8)/(MonteCarlo!$B$7*SQRT(MonteCarlo!$B$8)),TRUE)-$A21*EXP(-MonteCarlo!$B$9*MonteCarlo!$B$8)*_xlfn.NORM.S.DIST(((LN(P$1/$A21)+(MonteCarlo!$B$9+(MonteCarlo!$B$7^2)/2)*MonteCarlo!$B$8)/(MonteCarlo!$B$7*SQRT(MonteCarlo!$B$8)))-(MonteCarlo!$B$7*SQRT(MonteCarlo!$B$8)),TRUE),$A21*EXP(-MonteCarlo!$B$9*MonteCarlo!$B$8)*_xlfn.NORM.S.DIST(-(((LN(P$1/$A21)+(MonteCarlo!$B$9+(MonteCarlo!$B$7^2)/2)*MonteCarlo!$B$8)/(MonteCarlo!$B$7*SQRT(MonteCarlo!$B$8)))-(MonteCarlo!$B$7*SQRT(MonteCarlo!$B$8))),TRUE)-P$1*_xlfn.NORM.S.DIST(-((LN(P$1/$A21)+(MonteCarlo!$B$9+(MonteCarlo!$B$7^2)/2)*MonteCarlo!$B$8)/(MonteCarlo!$B$7*SQRT(MonteCarlo!$B$8))),TRUE)),"")</f>
        <v/>
      </c>
      <c r="Q21" t="str">
        <f ca="1">IFERROR(IF(OR(MonteCarlo!$B$4="C",MonteCarlo!$B$4="c"),Q$1*_xlfn.NORM.S.DIST((LN(Q$1/$A21)+(MonteCarlo!$B$9+(MonteCarlo!$B$7^2)/2)*MonteCarlo!$B$8)/(MonteCarlo!$B$7*SQRT(MonteCarlo!$B$8)),TRUE)-$A21*EXP(-MonteCarlo!$B$9*MonteCarlo!$B$8)*_xlfn.NORM.S.DIST(((LN(Q$1/$A21)+(MonteCarlo!$B$9+(MonteCarlo!$B$7^2)/2)*MonteCarlo!$B$8)/(MonteCarlo!$B$7*SQRT(MonteCarlo!$B$8)))-(MonteCarlo!$B$7*SQRT(MonteCarlo!$B$8)),TRUE),$A21*EXP(-MonteCarlo!$B$9*MonteCarlo!$B$8)*_xlfn.NORM.S.DIST(-(((LN(Q$1/$A21)+(MonteCarlo!$B$9+(MonteCarlo!$B$7^2)/2)*MonteCarlo!$B$8)/(MonteCarlo!$B$7*SQRT(MonteCarlo!$B$8)))-(MonteCarlo!$B$7*SQRT(MonteCarlo!$B$8))),TRUE)-Q$1*_xlfn.NORM.S.DIST(-((LN(Q$1/$A21)+(MonteCarlo!$B$9+(MonteCarlo!$B$7^2)/2)*MonteCarlo!$B$8)/(MonteCarlo!$B$7*SQRT(MonteCarlo!$B$8))),TRUE)),"")</f>
        <v/>
      </c>
      <c r="R21" t="str">
        <f ca="1">IFERROR(IF(OR(MonteCarlo!$B$4="C",MonteCarlo!$B$4="c"),R$1*_xlfn.NORM.S.DIST((LN(R$1/$A21)+(MonteCarlo!$B$9+(MonteCarlo!$B$7^2)/2)*MonteCarlo!$B$8)/(MonteCarlo!$B$7*SQRT(MonteCarlo!$B$8)),TRUE)-$A21*EXP(-MonteCarlo!$B$9*MonteCarlo!$B$8)*_xlfn.NORM.S.DIST(((LN(R$1/$A21)+(MonteCarlo!$B$9+(MonteCarlo!$B$7^2)/2)*MonteCarlo!$B$8)/(MonteCarlo!$B$7*SQRT(MonteCarlo!$B$8)))-(MonteCarlo!$B$7*SQRT(MonteCarlo!$B$8)),TRUE),$A21*EXP(-MonteCarlo!$B$9*MonteCarlo!$B$8)*_xlfn.NORM.S.DIST(-(((LN(R$1/$A21)+(MonteCarlo!$B$9+(MonteCarlo!$B$7^2)/2)*MonteCarlo!$B$8)/(MonteCarlo!$B$7*SQRT(MonteCarlo!$B$8)))-(MonteCarlo!$B$7*SQRT(MonteCarlo!$B$8))),TRUE)-R$1*_xlfn.NORM.S.DIST(-((LN(R$1/$A21)+(MonteCarlo!$B$9+(MonteCarlo!$B$7^2)/2)*MonteCarlo!$B$8)/(MonteCarlo!$B$7*SQRT(MonteCarlo!$B$8))),TRUE)),"")</f>
        <v/>
      </c>
      <c r="S21" t="str">
        <f ca="1">IFERROR(IF(OR(MonteCarlo!$B$4="C",MonteCarlo!$B$4="c"),S$1*_xlfn.NORM.S.DIST((LN(S$1/$A21)+(MonteCarlo!$B$9+(MonteCarlo!$B$7^2)/2)*MonteCarlo!$B$8)/(MonteCarlo!$B$7*SQRT(MonteCarlo!$B$8)),TRUE)-$A21*EXP(-MonteCarlo!$B$9*MonteCarlo!$B$8)*_xlfn.NORM.S.DIST(((LN(S$1/$A21)+(MonteCarlo!$B$9+(MonteCarlo!$B$7^2)/2)*MonteCarlo!$B$8)/(MonteCarlo!$B$7*SQRT(MonteCarlo!$B$8)))-(MonteCarlo!$B$7*SQRT(MonteCarlo!$B$8)),TRUE),$A21*EXP(-MonteCarlo!$B$9*MonteCarlo!$B$8)*_xlfn.NORM.S.DIST(-(((LN(S$1/$A21)+(MonteCarlo!$B$9+(MonteCarlo!$B$7^2)/2)*MonteCarlo!$B$8)/(MonteCarlo!$B$7*SQRT(MonteCarlo!$B$8)))-(MonteCarlo!$B$7*SQRT(MonteCarlo!$B$8))),TRUE)-S$1*_xlfn.NORM.S.DIST(-((LN(S$1/$A21)+(MonteCarlo!$B$9+(MonteCarlo!$B$7^2)/2)*MonteCarlo!$B$8)/(MonteCarlo!$B$7*SQRT(MonteCarlo!$B$8))),TRUE)),"")</f>
        <v/>
      </c>
      <c r="T21" t="str">
        <f ca="1">IFERROR(IF(OR(MonteCarlo!$B$4="C",MonteCarlo!$B$4="c"),T$1*_xlfn.NORM.S.DIST((LN(T$1/$A21)+(MonteCarlo!$B$9+(MonteCarlo!$B$7^2)/2)*MonteCarlo!$B$8)/(MonteCarlo!$B$7*SQRT(MonteCarlo!$B$8)),TRUE)-$A21*EXP(-MonteCarlo!$B$9*MonteCarlo!$B$8)*_xlfn.NORM.S.DIST(((LN(T$1/$A21)+(MonteCarlo!$B$9+(MonteCarlo!$B$7^2)/2)*MonteCarlo!$B$8)/(MonteCarlo!$B$7*SQRT(MonteCarlo!$B$8)))-(MonteCarlo!$B$7*SQRT(MonteCarlo!$B$8)),TRUE),$A21*EXP(-MonteCarlo!$B$9*MonteCarlo!$B$8)*_xlfn.NORM.S.DIST(-(((LN(T$1/$A21)+(MonteCarlo!$B$9+(MonteCarlo!$B$7^2)/2)*MonteCarlo!$B$8)/(MonteCarlo!$B$7*SQRT(MonteCarlo!$B$8)))-(MonteCarlo!$B$7*SQRT(MonteCarlo!$B$8))),TRUE)-T$1*_xlfn.NORM.S.DIST(-((LN(T$1/$A21)+(MonteCarlo!$B$9+(MonteCarlo!$B$7^2)/2)*MonteCarlo!$B$8)/(MonteCarlo!$B$7*SQRT(MonteCarlo!$B$8))),TRUE)),"")</f>
        <v/>
      </c>
      <c r="U21" t="str">
        <f ca="1">IFERROR(IF(OR(MonteCarlo!$B$4="C",MonteCarlo!$B$4="c"),U$1*_xlfn.NORM.S.DIST((LN(U$1/$A21)+(MonteCarlo!$B$9+(MonteCarlo!$B$7^2)/2)*MonteCarlo!$B$8)/(MonteCarlo!$B$7*SQRT(MonteCarlo!$B$8)),TRUE)-$A21*EXP(-MonteCarlo!$B$9*MonteCarlo!$B$8)*_xlfn.NORM.S.DIST(((LN(U$1/$A21)+(MonteCarlo!$B$9+(MonteCarlo!$B$7^2)/2)*MonteCarlo!$B$8)/(MonteCarlo!$B$7*SQRT(MonteCarlo!$B$8)))-(MonteCarlo!$B$7*SQRT(MonteCarlo!$B$8)),TRUE),$A21*EXP(-MonteCarlo!$B$9*MonteCarlo!$B$8)*_xlfn.NORM.S.DIST(-(((LN(U$1/$A21)+(MonteCarlo!$B$9+(MonteCarlo!$B$7^2)/2)*MonteCarlo!$B$8)/(MonteCarlo!$B$7*SQRT(MonteCarlo!$B$8)))-(MonteCarlo!$B$7*SQRT(MonteCarlo!$B$8))),TRUE)-U$1*_xlfn.NORM.S.DIST(-((LN(U$1/$A21)+(MonteCarlo!$B$9+(MonteCarlo!$B$7^2)/2)*MonteCarlo!$B$8)/(MonteCarlo!$B$7*SQRT(MonteCarlo!$B$8))),TRUE)),"")</f>
        <v/>
      </c>
      <c r="V21" t="str">
        <f ca="1">IFERROR(IF(OR(MonteCarlo!$B$4="C",MonteCarlo!$B$4="c"),V$1*_xlfn.NORM.S.DIST((LN(V$1/$A21)+(MonteCarlo!$B$9+(MonteCarlo!$B$7^2)/2)*MonteCarlo!$B$8)/(MonteCarlo!$B$7*SQRT(MonteCarlo!$B$8)),TRUE)-$A21*EXP(-MonteCarlo!$B$9*MonteCarlo!$B$8)*_xlfn.NORM.S.DIST(((LN(V$1/$A21)+(MonteCarlo!$B$9+(MonteCarlo!$B$7^2)/2)*MonteCarlo!$B$8)/(MonteCarlo!$B$7*SQRT(MonteCarlo!$B$8)))-(MonteCarlo!$B$7*SQRT(MonteCarlo!$B$8)),TRUE),$A21*EXP(-MonteCarlo!$B$9*MonteCarlo!$B$8)*_xlfn.NORM.S.DIST(-(((LN(V$1/$A21)+(MonteCarlo!$B$9+(MonteCarlo!$B$7^2)/2)*MonteCarlo!$B$8)/(MonteCarlo!$B$7*SQRT(MonteCarlo!$B$8)))-(MonteCarlo!$B$7*SQRT(MonteCarlo!$B$8))),TRUE)-V$1*_xlfn.NORM.S.DIST(-((LN(V$1/$A21)+(MonteCarlo!$B$9+(MonteCarlo!$B$7^2)/2)*MonteCarlo!$B$8)/(MonteCarlo!$B$7*SQRT(MonteCarlo!$B$8))),TRUE)),"")</f>
        <v/>
      </c>
      <c r="W21" t="str">
        <f ca="1">IFERROR(IF(OR(MonteCarlo!$B$4="C",MonteCarlo!$B$4="c"),W$1*_xlfn.NORM.S.DIST((LN(W$1/$A21)+(MonteCarlo!$B$9+(MonteCarlo!$B$7^2)/2)*MonteCarlo!$B$8)/(MonteCarlo!$B$7*SQRT(MonteCarlo!$B$8)),TRUE)-$A21*EXP(-MonteCarlo!$B$9*MonteCarlo!$B$8)*_xlfn.NORM.S.DIST(((LN(W$1/$A21)+(MonteCarlo!$B$9+(MonteCarlo!$B$7^2)/2)*MonteCarlo!$B$8)/(MonteCarlo!$B$7*SQRT(MonteCarlo!$B$8)))-(MonteCarlo!$B$7*SQRT(MonteCarlo!$B$8)),TRUE),$A21*EXP(-MonteCarlo!$B$9*MonteCarlo!$B$8)*_xlfn.NORM.S.DIST(-(((LN(W$1/$A21)+(MonteCarlo!$B$9+(MonteCarlo!$B$7^2)/2)*MonteCarlo!$B$8)/(MonteCarlo!$B$7*SQRT(MonteCarlo!$B$8)))-(MonteCarlo!$B$7*SQRT(MonteCarlo!$B$8))),TRUE)-W$1*_xlfn.NORM.S.DIST(-((LN(W$1/$A21)+(MonteCarlo!$B$9+(MonteCarlo!$B$7^2)/2)*MonteCarlo!$B$8)/(MonteCarlo!$B$7*SQRT(MonteCarlo!$B$8))),TRUE)),"")</f>
        <v/>
      </c>
      <c r="X21" t="str">
        <f ca="1">IFERROR(IF(OR(MonteCarlo!$B$4="C",MonteCarlo!$B$4="c"),X$1*_xlfn.NORM.S.DIST((LN(X$1/$A21)+(MonteCarlo!$B$9+(MonteCarlo!$B$7^2)/2)*MonteCarlo!$B$8)/(MonteCarlo!$B$7*SQRT(MonteCarlo!$B$8)),TRUE)-$A21*EXP(-MonteCarlo!$B$9*MonteCarlo!$B$8)*_xlfn.NORM.S.DIST(((LN(X$1/$A21)+(MonteCarlo!$B$9+(MonteCarlo!$B$7^2)/2)*MonteCarlo!$B$8)/(MonteCarlo!$B$7*SQRT(MonteCarlo!$B$8)))-(MonteCarlo!$B$7*SQRT(MonteCarlo!$B$8)),TRUE),$A21*EXP(-MonteCarlo!$B$9*MonteCarlo!$B$8)*_xlfn.NORM.S.DIST(-(((LN(X$1/$A21)+(MonteCarlo!$B$9+(MonteCarlo!$B$7^2)/2)*MonteCarlo!$B$8)/(MonteCarlo!$B$7*SQRT(MonteCarlo!$B$8)))-(MonteCarlo!$B$7*SQRT(MonteCarlo!$B$8))),TRUE)-X$1*_xlfn.NORM.S.DIST(-((LN(X$1/$A21)+(MonteCarlo!$B$9+(MonteCarlo!$B$7^2)/2)*MonteCarlo!$B$8)/(MonteCarlo!$B$7*SQRT(MonteCarlo!$B$8))),TRUE)),"")</f>
        <v/>
      </c>
      <c r="Y21" t="str">
        <f ca="1">IFERROR(IF(OR(MonteCarlo!$B$4="C",MonteCarlo!$B$4="c"),Y$1*_xlfn.NORM.S.DIST((LN(Y$1/$A21)+(MonteCarlo!$B$9+(MonteCarlo!$B$7^2)/2)*MonteCarlo!$B$8)/(MonteCarlo!$B$7*SQRT(MonteCarlo!$B$8)),TRUE)-$A21*EXP(-MonteCarlo!$B$9*MonteCarlo!$B$8)*_xlfn.NORM.S.DIST(((LN(Y$1/$A21)+(MonteCarlo!$B$9+(MonteCarlo!$B$7^2)/2)*MonteCarlo!$B$8)/(MonteCarlo!$B$7*SQRT(MonteCarlo!$B$8)))-(MonteCarlo!$B$7*SQRT(MonteCarlo!$B$8)),TRUE),$A21*EXP(-MonteCarlo!$B$9*MonteCarlo!$B$8)*_xlfn.NORM.S.DIST(-(((LN(Y$1/$A21)+(MonteCarlo!$B$9+(MonteCarlo!$B$7^2)/2)*MonteCarlo!$B$8)/(MonteCarlo!$B$7*SQRT(MonteCarlo!$B$8)))-(MonteCarlo!$B$7*SQRT(MonteCarlo!$B$8))),TRUE)-Y$1*_xlfn.NORM.S.DIST(-((LN(Y$1/$A21)+(MonteCarlo!$B$9+(MonteCarlo!$B$7^2)/2)*MonteCarlo!$B$8)/(MonteCarlo!$B$7*SQRT(MonteCarlo!$B$8))),TRUE)),"")</f>
        <v/>
      </c>
      <c r="Z21" t="str">
        <f ca="1">IFERROR(IF(OR(MonteCarlo!$B$4="C",MonteCarlo!$B$4="c"),Z$1*_xlfn.NORM.S.DIST((LN(Z$1/$A21)+(MonteCarlo!$B$9+(MonteCarlo!$B$7^2)/2)*MonteCarlo!$B$8)/(MonteCarlo!$B$7*SQRT(MonteCarlo!$B$8)),TRUE)-$A21*EXP(-MonteCarlo!$B$9*MonteCarlo!$B$8)*_xlfn.NORM.S.DIST(((LN(Z$1/$A21)+(MonteCarlo!$B$9+(MonteCarlo!$B$7^2)/2)*MonteCarlo!$B$8)/(MonteCarlo!$B$7*SQRT(MonteCarlo!$B$8)))-(MonteCarlo!$B$7*SQRT(MonteCarlo!$B$8)),TRUE),$A21*EXP(-MonteCarlo!$B$9*MonteCarlo!$B$8)*_xlfn.NORM.S.DIST(-(((LN(Z$1/$A21)+(MonteCarlo!$B$9+(MonteCarlo!$B$7^2)/2)*MonteCarlo!$B$8)/(MonteCarlo!$B$7*SQRT(MonteCarlo!$B$8)))-(MonteCarlo!$B$7*SQRT(MonteCarlo!$B$8))),TRUE)-Z$1*_xlfn.NORM.S.DIST(-((LN(Z$1/$A21)+(MonteCarlo!$B$9+(MonteCarlo!$B$7^2)/2)*MonteCarlo!$B$8)/(MonteCarlo!$B$7*SQRT(MonteCarlo!$B$8))),TRUE)),"")</f>
        <v/>
      </c>
      <c r="AA21" t="str">
        <f ca="1">IFERROR(IF(OR(MonteCarlo!$B$4="C",MonteCarlo!$B$4="c"),AA$1*_xlfn.NORM.S.DIST((LN(AA$1/$A21)+(MonteCarlo!$B$9+(MonteCarlo!$B$7^2)/2)*MonteCarlo!$B$8)/(MonteCarlo!$B$7*SQRT(MonteCarlo!$B$8)),TRUE)-$A21*EXP(-MonteCarlo!$B$9*MonteCarlo!$B$8)*_xlfn.NORM.S.DIST(((LN(AA$1/$A21)+(MonteCarlo!$B$9+(MonteCarlo!$B$7^2)/2)*MonteCarlo!$B$8)/(MonteCarlo!$B$7*SQRT(MonteCarlo!$B$8)))-(MonteCarlo!$B$7*SQRT(MonteCarlo!$B$8)),TRUE),$A21*EXP(-MonteCarlo!$B$9*MonteCarlo!$B$8)*_xlfn.NORM.S.DIST(-(((LN(AA$1/$A21)+(MonteCarlo!$B$9+(MonteCarlo!$B$7^2)/2)*MonteCarlo!$B$8)/(MonteCarlo!$B$7*SQRT(MonteCarlo!$B$8)))-(MonteCarlo!$B$7*SQRT(MonteCarlo!$B$8))),TRUE)-AA$1*_xlfn.NORM.S.DIST(-((LN(AA$1/$A21)+(MonteCarlo!$B$9+(MonteCarlo!$B$7^2)/2)*MonteCarlo!$B$8)/(MonteCarlo!$B$7*SQRT(MonteCarlo!$B$8))),TRUE)),"")</f>
        <v/>
      </c>
      <c r="AB21" t="str">
        <f ca="1">IFERROR(IF(OR(MonteCarlo!$B$4="C",MonteCarlo!$B$4="c"),AB$1*_xlfn.NORM.S.DIST((LN(AB$1/$A21)+(MonteCarlo!$B$9+(MonteCarlo!$B$7^2)/2)*MonteCarlo!$B$8)/(MonteCarlo!$B$7*SQRT(MonteCarlo!$B$8)),TRUE)-$A21*EXP(-MonteCarlo!$B$9*MonteCarlo!$B$8)*_xlfn.NORM.S.DIST(((LN(AB$1/$A21)+(MonteCarlo!$B$9+(MonteCarlo!$B$7^2)/2)*MonteCarlo!$B$8)/(MonteCarlo!$B$7*SQRT(MonteCarlo!$B$8)))-(MonteCarlo!$B$7*SQRT(MonteCarlo!$B$8)),TRUE),$A21*EXP(-MonteCarlo!$B$9*MonteCarlo!$B$8)*_xlfn.NORM.S.DIST(-(((LN(AB$1/$A21)+(MonteCarlo!$B$9+(MonteCarlo!$B$7^2)/2)*MonteCarlo!$B$8)/(MonteCarlo!$B$7*SQRT(MonteCarlo!$B$8)))-(MonteCarlo!$B$7*SQRT(MonteCarlo!$B$8))),TRUE)-AB$1*_xlfn.NORM.S.DIST(-((LN(AB$1/$A21)+(MonteCarlo!$B$9+(MonteCarlo!$B$7^2)/2)*MonteCarlo!$B$8)/(MonteCarlo!$B$7*SQRT(MonteCarlo!$B$8))),TRUE)),"")</f>
        <v/>
      </c>
      <c r="AC21" t="str">
        <f ca="1">IFERROR(IF(OR(MonteCarlo!$B$4="C",MonteCarlo!$B$4="c"),AC$1*_xlfn.NORM.S.DIST((LN(AC$1/$A21)+(MonteCarlo!$B$9+(MonteCarlo!$B$7^2)/2)*MonteCarlo!$B$8)/(MonteCarlo!$B$7*SQRT(MonteCarlo!$B$8)),TRUE)-$A21*EXP(-MonteCarlo!$B$9*MonteCarlo!$B$8)*_xlfn.NORM.S.DIST(((LN(AC$1/$A21)+(MonteCarlo!$B$9+(MonteCarlo!$B$7^2)/2)*MonteCarlo!$B$8)/(MonteCarlo!$B$7*SQRT(MonteCarlo!$B$8)))-(MonteCarlo!$B$7*SQRT(MonteCarlo!$B$8)),TRUE),$A21*EXP(-MonteCarlo!$B$9*MonteCarlo!$B$8)*_xlfn.NORM.S.DIST(-(((LN(AC$1/$A21)+(MonteCarlo!$B$9+(MonteCarlo!$B$7^2)/2)*MonteCarlo!$B$8)/(MonteCarlo!$B$7*SQRT(MonteCarlo!$B$8)))-(MonteCarlo!$B$7*SQRT(MonteCarlo!$B$8))),TRUE)-AC$1*_xlfn.NORM.S.DIST(-((LN(AC$1/$A21)+(MonteCarlo!$B$9+(MonteCarlo!$B$7^2)/2)*MonteCarlo!$B$8)/(MonteCarlo!$B$7*SQRT(MonteCarlo!$B$8))),TRUE)),"")</f>
        <v/>
      </c>
      <c r="AD21" t="str">
        <f ca="1">IFERROR(IF(OR(MonteCarlo!$B$4="C",MonteCarlo!$B$4="c"),AD$1*_xlfn.NORM.S.DIST((LN(AD$1/$A21)+(MonteCarlo!$B$9+(MonteCarlo!$B$7^2)/2)*MonteCarlo!$B$8)/(MonteCarlo!$B$7*SQRT(MonteCarlo!$B$8)),TRUE)-$A21*EXP(-MonteCarlo!$B$9*MonteCarlo!$B$8)*_xlfn.NORM.S.DIST(((LN(AD$1/$A21)+(MonteCarlo!$B$9+(MonteCarlo!$B$7^2)/2)*MonteCarlo!$B$8)/(MonteCarlo!$B$7*SQRT(MonteCarlo!$B$8)))-(MonteCarlo!$B$7*SQRT(MonteCarlo!$B$8)),TRUE),$A21*EXP(-MonteCarlo!$B$9*MonteCarlo!$B$8)*_xlfn.NORM.S.DIST(-(((LN(AD$1/$A21)+(MonteCarlo!$B$9+(MonteCarlo!$B$7^2)/2)*MonteCarlo!$B$8)/(MonteCarlo!$B$7*SQRT(MonteCarlo!$B$8)))-(MonteCarlo!$B$7*SQRT(MonteCarlo!$B$8))),TRUE)-AD$1*_xlfn.NORM.S.DIST(-((LN(AD$1/$A21)+(MonteCarlo!$B$9+(MonteCarlo!$B$7^2)/2)*MonteCarlo!$B$8)/(MonteCarlo!$B$7*SQRT(MonteCarlo!$B$8))),TRUE)),"")</f>
        <v/>
      </c>
      <c r="AE21" t="str">
        <f ca="1">IFERROR(IF(OR(MonteCarlo!$B$4="C",MonteCarlo!$B$4="c"),AE$1*_xlfn.NORM.S.DIST((LN(AE$1/$A21)+(MonteCarlo!$B$9+(MonteCarlo!$B$7^2)/2)*MonteCarlo!$B$8)/(MonteCarlo!$B$7*SQRT(MonteCarlo!$B$8)),TRUE)-$A21*EXP(-MonteCarlo!$B$9*MonteCarlo!$B$8)*_xlfn.NORM.S.DIST(((LN(AE$1/$A21)+(MonteCarlo!$B$9+(MonteCarlo!$B$7^2)/2)*MonteCarlo!$B$8)/(MonteCarlo!$B$7*SQRT(MonteCarlo!$B$8)))-(MonteCarlo!$B$7*SQRT(MonteCarlo!$B$8)),TRUE),$A21*EXP(-MonteCarlo!$B$9*MonteCarlo!$B$8)*_xlfn.NORM.S.DIST(-(((LN(AE$1/$A21)+(MonteCarlo!$B$9+(MonteCarlo!$B$7^2)/2)*MonteCarlo!$B$8)/(MonteCarlo!$B$7*SQRT(MonteCarlo!$B$8)))-(MonteCarlo!$B$7*SQRT(MonteCarlo!$B$8))),TRUE)-AE$1*_xlfn.NORM.S.DIST(-((LN(AE$1/$A21)+(MonteCarlo!$B$9+(MonteCarlo!$B$7^2)/2)*MonteCarlo!$B$8)/(MonteCarlo!$B$7*SQRT(MonteCarlo!$B$8))),TRUE)),"")</f>
        <v/>
      </c>
      <c r="AF21" t="str">
        <f ca="1">IFERROR(IF(OR(MonteCarlo!$B$4="C",MonteCarlo!$B$4="c"),AF$1*_xlfn.NORM.S.DIST((LN(AF$1/$A21)+(MonteCarlo!$B$9+(MonteCarlo!$B$7^2)/2)*MonteCarlo!$B$8)/(MonteCarlo!$B$7*SQRT(MonteCarlo!$B$8)),TRUE)-$A21*EXP(-MonteCarlo!$B$9*MonteCarlo!$B$8)*_xlfn.NORM.S.DIST(((LN(AF$1/$A21)+(MonteCarlo!$B$9+(MonteCarlo!$B$7^2)/2)*MonteCarlo!$B$8)/(MonteCarlo!$B$7*SQRT(MonteCarlo!$B$8)))-(MonteCarlo!$B$7*SQRT(MonteCarlo!$B$8)),TRUE),$A21*EXP(-MonteCarlo!$B$9*MonteCarlo!$B$8)*_xlfn.NORM.S.DIST(-(((LN(AF$1/$A21)+(MonteCarlo!$B$9+(MonteCarlo!$B$7^2)/2)*MonteCarlo!$B$8)/(MonteCarlo!$B$7*SQRT(MonteCarlo!$B$8)))-(MonteCarlo!$B$7*SQRT(MonteCarlo!$B$8))),TRUE)-AF$1*_xlfn.NORM.S.DIST(-((LN(AF$1/$A21)+(MonteCarlo!$B$9+(MonteCarlo!$B$7^2)/2)*MonteCarlo!$B$8)/(MonteCarlo!$B$7*SQRT(MonteCarlo!$B$8))),TRUE)),"")</f>
        <v/>
      </c>
    </row>
    <row r="22" spans="2:32" x14ac:dyDescent="0.25">
      <c r="B22" t="str">
        <f ca="1">IFERROR(IF(OR(MonteCarlo!$B$4="C",MonteCarlo!$B$4="c"),B$1*_xlfn.NORM.S.DIST((LN(B$1/$A22)+(MonteCarlo!$B$9+(MonteCarlo!$B$7^2)/2)*MonteCarlo!$B$8)/(MonteCarlo!$B$7*SQRT(MonteCarlo!$B$8)),TRUE)-$A22*EXP(-MonteCarlo!$B$9*MonteCarlo!$B$8)*_xlfn.NORM.S.DIST(((LN(B$1/$A22)+(MonteCarlo!$B$9+(MonteCarlo!$B$7^2)/2)*MonteCarlo!$B$8)/(MonteCarlo!$B$7*SQRT(MonteCarlo!$B$8)))-(MonteCarlo!$B$7*SQRT(MonteCarlo!$B$8)),TRUE),$A22*EXP(-MonteCarlo!$B$9*MonteCarlo!$B$8)*_xlfn.NORM.S.DIST(-(((LN(B$1/$A22)+(MonteCarlo!$B$9+(MonteCarlo!$B$7^2)/2)*MonteCarlo!$B$8)/(MonteCarlo!$B$7*SQRT(MonteCarlo!$B$8)))-(MonteCarlo!$B$7*SQRT(MonteCarlo!$B$8))),TRUE)-B$1*_xlfn.NORM.S.DIST(-((LN(B$1/$A22)+(MonteCarlo!$B$9+(MonteCarlo!$B$7^2)/2)*MonteCarlo!$B$8)/(MonteCarlo!$B$7*SQRT(MonteCarlo!$B$8))),TRUE)),"")</f>
        <v/>
      </c>
      <c r="C22" t="str">
        <f ca="1">IFERROR(IF(OR(MonteCarlo!$B$4="C",MonteCarlo!$B$4="c"),C$1*_xlfn.NORM.S.DIST((LN(C$1/$A22)+(MonteCarlo!$B$9+(MonteCarlo!$B$7^2)/2)*MonteCarlo!$B$8)/(MonteCarlo!$B$7*SQRT(MonteCarlo!$B$8)),TRUE)-$A22*EXP(-MonteCarlo!$B$9*MonteCarlo!$B$8)*_xlfn.NORM.S.DIST(((LN(C$1/$A22)+(MonteCarlo!$B$9+(MonteCarlo!$B$7^2)/2)*MonteCarlo!$B$8)/(MonteCarlo!$B$7*SQRT(MonteCarlo!$B$8)))-(MonteCarlo!$B$7*SQRT(MonteCarlo!$B$8)),TRUE),$A22*EXP(-MonteCarlo!$B$9*MonteCarlo!$B$8)*_xlfn.NORM.S.DIST(-(((LN(C$1/$A22)+(MonteCarlo!$B$9+(MonteCarlo!$B$7^2)/2)*MonteCarlo!$B$8)/(MonteCarlo!$B$7*SQRT(MonteCarlo!$B$8)))-(MonteCarlo!$B$7*SQRT(MonteCarlo!$B$8))),TRUE)-C$1*_xlfn.NORM.S.DIST(-((LN(C$1/$A22)+(MonteCarlo!$B$9+(MonteCarlo!$B$7^2)/2)*MonteCarlo!$B$8)/(MonteCarlo!$B$7*SQRT(MonteCarlo!$B$8))),TRUE)),"")</f>
        <v/>
      </c>
      <c r="D22" t="str">
        <f ca="1">IFERROR(IF(OR(MonteCarlo!$B$4="C",MonteCarlo!$B$4="c"),D$1*_xlfn.NORM.S.DIST((LN(D$1/$A22)+(MonteCarlo!$B$9+(MonteCarlo!$B$7^2)/2)*MonteCarlo!$B$8)/(MonteCarlo!$B$7*SQRT(MonteCarlo!$B$8)),TRUE)-$A22*EXP(-MonteCarlo!$B$9*MonteCarlo!$B$8)*_xlfn.NORM.S.DIST(((LN(D$1/$A22)+(MonteCarlo!$B$9+(MonteCarlo!$B$7^2)/2)*MonteCarlo!$B$8)/(MonteCarlo!$B$7*SQRT(MonteCarlo!$B$8)))-(MonteCarlo!$B$7*SQRT(MonteCarlo!$B$8)),TRUE),$A22*EXP(-MonteCarlo!$B$9*MonteCarlo!$B$8)*_xlfn.NORM.S.DIST(-(((LN(D$1/$A22)+(MonteCarlo!$B$9+(MonteCarlo!$B$7^2)/2)*MonteCarlo!$B$8)/(MonteCarlo!$B$7*SQRT(MonteCarlo!$B$8)))-(MonteCarlo!$B$7*SQRT(MonteCarlo!$B$8))),TRUE)-D$1*_xlfn.NORM.S.DIST(-((LN(D$1/$A22)+(MonteCarlo!$B$9+(MonteCarlo!$B$7^2)/2)*MonteCarlo!$B$8)/(MonteCarlo!$B$7*SQRT(MonteCarlo!$B$8))),TRUE)),"")</f>
        <v/>
      </c>
      <c r="E22" t="str">
        <f ca="1">IFERROR(IF(OR(MonteCarlo!$B$4="C",MonteCarlo!$B$4="c"),E$1*_xlfn.NORM.S.DIST((LN(E$1/$A22)+(MonteCarlo!$B$9+(MonteCarlo!$B$7^2)/2)*MonteCarlo!$B$8)/(MonteCarlo!$B$7*SQRT(MonteCarlo!$B$8)),TRUE)-$A22*EXP(-MonteCarlo!$B$9*MonteCarlo!$B$8)*_xlfn.NORM.S.DIST(((LN(E$1/$A22)+(MonteCarlo!$B$9+(MonteCarlo!$B$7^2)/2)*MonteCarlo!$B$8)/(MonteCarlo!$B$7*SQRT(MonteCarlo!$B$8)))-(MonteCarlo!$B$7*SQRT(MonteCarlo!$B$8)),TRUE),$A22*EXP(-MonteCarlo!$B$9*MonteCarlo!$B$8)*_xlfn.NORM.S.DIST(-(((LN(E$1/$A22)+(MonteCarlo!$B$9+(MonteCarlo!$B$7^2)/2)*MonteCarlo!$B$8)/(MonteCarlo!$B$7*SQRT(MonteCarlo!$B$8)))-(MonteCarlo!$B$7*SQRT(MonteCarlo!$B$8))),TRUE)-E$1*_xlfn.NORM.S.DIST(-((LN(E$1/$A22)+(MonteCarlo!$B$9+(MonteCarlo!$B$7^2)/2)*MonteCarlo!$B$8)/(MonteCarlo!$B$7*SQRT(MonteCarlo!$B$8))),TRUE)),"")</f>
        <v/>
      </c>
      <c r="F22" t="str">
        <f ca="1">IFERROR(IF(OR(MonteCarlo!$B$4="C",MonteCarlo!$B$4="c"),F$1*_xlfn.NORM.S.DIST((LN(F$1/$A22)+(MonteCarlo!$B$9+(MonteCarlo!$B$7^2)/2)*MonteCarlo!$B$8)/(MonteCarlo!$B$7*SQRT(MonteCarlo!$B$8)),TRUE)-$A22*EXP(-MonteCarlo!$B$9*MonteCarlo!$B$8)*_xlfn.NORM.S.DIST(((LN(F$1/$A22)+(MonteCarlo!$B$9+(MonteCarlo!$B$7^2)/2)*MonteCarlo!$B$8)/(MonteCarlo!$B$7*SQRT(MonteCarlo!$B$8)))-(MonteCarlo!$B$7*SQRT(MonteCarlo!$B$8)),TRUE),$A22*EXP(-MonteCarlo!$B$9*MonteCarlo!$B$8)*_xlfn.NORM.S.DIST(-(((LN(F$1/$A22)+(MonteCarlo!$B$9+(MonteCarlo!$B$7^2)/2)*MonteCarlo!$B$8)/(MonteCarlo!$B$7*SQRT(MonteCarlo!$B$8)))-(MonteCarlo!$B$7*SQRT(MonteCarlo!$B$8))),TRUE)-F$1*_xlfn.NORM.S.DIST(-((LN(F$1/$A22)+(MonteCarlo!$B$9+(MonteCarlo!$B$7^2)/2)*MonteCarlo!$B$8)/(MonteCarlo!$B$7*SQRT(MonteCarlo!$B$8))),TRUE)),"")</f>
        <v/>
      </c>
      <c r="G22" t="str">
        <f ca="1">IFERROR(IF(OR(MonteCarlo!$B$4="C",MonteCarlo!$B$4="c"),G$1*_xlfn.NORM.S.DIST((LN(G$1/$A22)+(MonteCarlo!$B$9+(MonteCarlo!$B$7^2)/2)*MonteCarlo!$B$8)/(MonteCarlo!$B$7*SQRT(MonteCarlo!$B$8)),TRUE)-$A22*EXP(-MonteCarlo!$B$9*MonteCarlo!$B$8)*_xlfn.NORM.S.DIST(((LN(G$1/$A22)+(MonteCarlo!$B$9+(MonteCarlo!$B$7^2)/2)*MonteCarlo!$B$8)/(MonteCarlo!$B$7*SQRT(MonteCarlo!$B$8)))-(MonteCarlo!$B$7*SQRT(MonteCarlo!$B$8)),TRUE),$A22*EXP(-MonteCarlo!$B$9*MonteCarlo!$B$8)*_xlfn.NORM.S.DIST(-(((LN(G$1/$A22)+(MonteCarlo!$B$9+(MonteCarlo!$B$7^2)/2)*MonteCarlo!$B$8)/(MonteCarlo!$B$7*SQRT(MonteCarlo!$B$8)))-(MonteCarlo!$B$7*SQRT(MonteCarlo!$B$8))),TRUE)-G$1*_xlfn.NORM.S.DIST(-((LN(G$1/$A22)+(MonteCarlo!$B$9+(MonteCarlo!$B$7^2)/2)*MonteCarlo!$B$8)/(MonteCarlo!$B$7*SQRT(MonteCarlo!$B$8))),TRUE)),"")</f>
        <v/>
      </c>
      <c r="H22" t="str">
        <f ca="1">IFERROR(IF(OR(MonteCarlo!$B$4="C",MonteCarlo!$B$4="c"),H$1*_xlfn.NORM.S.DIST((LN(H$1/$A22)+(MonteCarlo!$B$9+(MonteCarlo!$B$7^2)/2)*MonteCarlo!$B$8)/(MonteCarlo!$B$7*SQRT(MonteCarlo!$B$8)),TRUE)-$A22*EXP(-MonteCarlo!$B$9*MonteCarlo!$B$8)*_xlfn.NORM.S.DIST(((LN(H$1/$A22)+(MonteCarlo!$B$9+(MonteCarlo!$B$7^2)/2)*MonteCarlo!$B$8)/(MonteCarlo!$B$7*SQRT(MonteCarlo!$B$8)))-(MonteCarlo!$B$7*SQRT(MonteCarlo!$B$8)),TRUE),$A22*EXP(-MonteCarlo!$B$9*MonteCarlo!$B$8)*_xlfn.NORM.S.DIST(-(((LN(H$1/$A22)+(MonteCarlo!$B$9+(MonteCarlo!$B$7^2)/2)*MonteCarlo!$B$8)/(MonteCarlo!$B$7*SQRT(MonteCarlo!$B$8)))-(MonteCarlo!$B$7*SQRT(MonteCarlo!$B$8))),TRUE)-H$1*_xlfn.NORM.S.DIST(-((LN(H$1/$A22)+(MonteCarlo!$B$9+(MonteCarlo!$B$7^2)/2)*MonteCarlo!$B$8)/(MonteCarlo!$B$7*SQRT(MonteCarlo!$B$8))),TRUE)),"")</f>
        <v/>
      </c>
      <c r="I22" t="str">
        <f ca="1">IFERROR(IF(OR(MonteCarlo!$B$4="C",MonteCarlo!$B$4="c"),I$1*_xlfn.NORM.S.DIST((LN(I$1/$A22)+(MonteCarlo!$B$9+(MonteCarlo!$B$7^2)/2)*MonteCarlo!$B$8)/(MonteCarlo!$B$7*SQRT(MonteCarlo!$B$8)),TRUE)-$A22*EXP(-MonteCarlo!$B$9*MonteCarlo!$B$8)*_xlfn.NORM.S.DIST(((LN(I$1/$A22)+(MonteCarlo!$B$9+(MonteCarlo!$B$7^2)/2)*MonteCarlo!$B$8)/(MonteCarlo!$B$7*SQRT(MonteCarlo!$B$8)))-(MonteCarlo!$B$7*SQRT(MonteCarlo!$B$8)),TRUE),$A22*EXP(-MonteCarlo!$B$9*MonteCarlo!$B$8)*_xlfn.NORM.S.DIST(-(((LN(I$1/$A22)+(MonteCarlo!$B$9+(MonteCarlo!$B$7^2)/2)*MonteCarlo!$B$8)/(MonteCarlo!$B$7*SQRT(MonteCarlo!$B$8)))-(MonteCarlo!$B$7*SQRT(MonteCarlo!$B$8))),TRUE)-I$1*_xlfn.NORM.S.DIST(-((LN(I$1/$A22)+(MonteCarlo!$B$9+(MonteCarlo!$B$7^2)/2)*MonteCarlo!$B$8)/(MonteCarlo!$B$7*SQRT(MonteCarlo!$B$8))),TRUE)),"")</f>
        <v/>
      </c>
      <c r="J22" t="str">
        <f ca="1">IFERROR(IF(OR(MonteCarlo!$B$4="C",MonteCarlo!$B$4="c"),J$1*_xlfn.NORM.S.DIST((LN(J$1/$A22)+(MonteCarlo!$B$9+(MonteCarlo!$B$7^2)/2)*MonteCarlo!$B$8)/(MonteCarlo!$B$7*SQRT(MonteCarlo!$B$8)),TRUE)-$A22*EXP(-MonteCarlo!$B$9*MonteCarlo!$B$8)*_xlfn.NORM.S.DIST(((LN(J$1/$A22)+(MonteCarlo!$B$9+(MonteCarlo!$B$7^2)/2)*MonteCarlo!$B$8)/(MonteCarlo!$B$7*SQRT(MonteCarlo!$B$8)))-(MonteCarlo!$B$7*SQRT(MonteCarlo!$B$8)),TRUE),$A22*EXP(-MonteCarlo!$B$9*MonteCarlo!$B$8)*_xlfn.NORM.S.DIST(-(((LN(J$1/$A22)+(MonteCarlo!$B$9+(MonteCarlo!$B$7^2)/2)*MonteCarlo!$B$8)/(MonteCarlo!$B$7*SQRT(MonteCarlo!$B$8)))-(MonteCarlo!$B$7*SQRT(MonteCarlo!$B$8))),TRUE)-J$1*_xlfn.NORM.S.DIST(-((LN(J$1/$A22)+(MonteCarlo!$B$9+(MonteCarlo!$B$7^2)/2)*MonteCarlo!$B$8)/(MonteCarlo!$B$7*SQRT(MonteCarlo!$B$8))),TRUE)),"")</f>
        <v/>
      </c>
      <c r="K22" t="str">
        <f ca="1">IFERROR(IF(OR(MonteCarlo!$B$4="C",MonteCarlo!$B$4="c"),K$1*_xlfn.NORM.S.DIST((LN(K$1/$A22)+(MonteCarlo!$B$9+(MonteCarlo!$B$7^2)/2)*MonteCarlo!$B$8)/(MonteCarlo!$B$7*SQRT(MonteCarlo!$B$8)),TRUE)-$A22*EXP(-MonteCarlo!$B$9*MonteCarlo!$B$8)*_xlfn.NORM.S.DIST(((LN(K$1/$A22)+(MonteCarlo!$B$9+(MonteCarlo!$B$7^2)/2)*MonteCarlo!$B$8)/(MonteCarlo!$B$7*SQRT(MonteCarlo!$B$8)))-(MonteCarlo!$B$7*SQRT(MonteCarlo!$B$8)),TRUE),$A22*EXP(-MonteCarlo!$B$9*MonteCarlo!$B$8)*_xlfn.NORM.S.DIST(-(((LN(K$1/$A22)+(MonteCarlo!$B$9+(MonteCarlo!$B$7^2)/2)*MonteCarlo!$B$8)/(MonteCarlo!$B$7*SQRT(MonteCarlo!$B$8)))-(MonteCarlo!$B$7*SQRT(MonteCarlo!$B$8))),TRUE)-K$1*_xlfn.NORM.S.DIST(-((LN(K$1/$A22)+(MonteCarlo!$B$9+(MonteCarlo!$B$7^2)/2)*MonteCarlo!$B$8)/(MonteCarlo!$B$7*SQRT(MonteCarlo!$B$8))),TRUE)),"")</f>
        <v/>
      </c>
      <c r="L22" t="str">
        <f ca="1">IFERROR(IF(OR(MonteCarlo!$B$4="C",MonteCarlo!$B$4="c"),L$1*_xlfn.NORM.S.DIST((LN(L$1/$A22)+(MonteCarlo!$B$9+(MonteCarlo!$B$7^2)/2)*MonteCarlo!$B$8)/(MonteCarlo!$B$7*SQRT(MonteCarlo!$B$8)),TRUE)-$A22*EXP(-MonteCarlo!$B$9*MonteCarlo!$B$8)*_xlfn.NORM.S.DIST(((LN(L$1/$A22)+(MonteCarlo!$B$9+(MonteCarlo!$B$7^2)/2)*MonteCarlo!$B$8)/(MonteCarlo!$B$7*SQRT(MonteCarlo!$B$8)))-(MonteCarlo!$B$7*SQRT(MonteCarlo!$B$8)),TRUE),$A22*EXP(-MonteCarlo!$B$9*MonteCarlo!$B$8)*_xlfn.NORM.S.DIST(-(((LN(L$1/$A22)+(MonteCarlo!$B$9+(MonteCarlo!$B$7^2)/2)*MonteCarlo!$B$8)/(MonteCarlo!$B$7*SQRT(MonteCarlo!$B$8)))-(MonteCarlo!$B$7*SQRT(MonteCarlo!$B$8))),TRUE)-L$1*_xlfn.NORM.S.DIST(-((LN(L$1/$A22)+(MonteCarlo!$B$9+(MonteCarlo!$B$7^2)/2)*MonteCarlo!$B$8)/(MonteCarlo!$B$7*SQRT(MonteCarlo!$B$8))),TRUE)),"")</f>
        <v/>
      </c>
      <c r="M22" t="str">
        <f ca="1">IFERROR(IF(OR(MonteCarlo!$B$4="C",MonteCarlo!$B$4="c"),M$1*_xlfn.NORM.S.DIST((LN(M$1/$A22)+(MonteCarlo!$B$9+(MonteCarlo!$B$7^2)/2)*MonteCarlo!$B$8)/(MonteCarlo!$B$7*SQRT(MonteCarlo!$B$8)),TRUE)-$A22*EXP(-MonteCarlo!$B$9*MonteCarlo!$B$8)*_xlfn.NORM.S.DIST(((LN(M$1/$A22)+(MonteCarlo!$B$9+(MonteCarlo!$B$7^2)/2)*MonteCarlo!$B$8)/(MonteCarlo!$B$7*SQRT(MonteCarlo!$B$8)))-(MonteCarlo!$B$7*SQRT(MonteCarlo!$B$8)),TRUE),$A22*EXP(-MonteCarlo!$B$9*MonteCarlo!$B$8)*_xlfn.NORM.S.DIST(-(((LN(M$1/$A22)+(MonteCarlo!$B$9+(MonteCarlo!$B$7^2)/2)*MonteCarlo!$B$8)/(MonteCarlo!$B$7*SQRT(MonteCarlo!$B$8)))-(MonteCarlo!$B$7*SQRT(MonteCarlo!$B$8))),TRUE)-M$1*_xlfn.NORM.S.DIST(-((LN(M$1/$A22)+(MonteCarlo!$B$9+(MonteCarlo!$B$7^2)/2)*MonteCarlo!$B$8)/(MonteCarlo!$B$7*SQRT(MonteCarlo!$B$8))),TRUE)),"")</f>
        <v/>
      </c>
      <c r="N22" t="str">
        <f ca="1">IFERROR(IF(OR(MonteCarlo!$B$4="C",MonteCarlo!$B$4="c"),N$1*_xlfn.NORM.S.DIST((LN(N$1/$A22)+(MonteCarlo!$B$9+(MonteCarlo!$B$7^2)/2)*MonteCarlo!$B$8)/(MonteCarlo!$B$7*SQRT(MonteCarlo!$B$8)),TRUE)-$A22*EXP(-MonteCarlo!$B$9*MonteCarlo!$B$8)*_xlfn.NORM.S.DIST(((LN(N$1/$A22)+(MonteCarlo!$B$9+(MonteCarlo!$B$7^2)/2)*MonteCarlo!$B$8)/(MonteCarlo!$B$7*SQRT(MonteCarlo!$B$8)))-(MonteCarlo!$B$7*SQRT(MonteCarlo!$B$8)),TRUE),$A22*EXP(-MonteCarlo!$B$9*MonteCarlo!$B$8)*_xlfn.NORM.S.DIST(-(((LN(N$1/$A22)+(MonteCarlo!$B$9+(MonteCarlo!$B$7^2)/2)*MonteCarlo!$B$8)/(MonteCarlo!$B$7*SQRT(MonteCarlo!$B$8)))-(MonteCarlo!$B$7*SQRT(MonteCarlo!$B$8))),TRUE)-N$1*_xlfn.NORM.S.DIST(-((LN(N$1/$A22)+(MonteCarlo!$B$9+(MonteCarlo!$B$7^2)/2)*MonteCarlo!$B$8)/(MonteCarlo!$B$7*SQRT(MonteCarlo!$B$8))),TRUE)),"")</f>
        <v/>
      </c>
      <c r="O22" t="str">
        <f ca="1">IFERROR(IF(OR(MonteCarlo!$B$4="C",MonteCarlo!$B$4="c"),O$1*_xlfn.NORM.S.DIST((LN(O$1/$A22)+(MonteCarlo!$B$9+(MonteCarlo!$B$7^2)/2)*MonteCarlo!$B$8)/(MonteCarlo!$B$7*SQRT(MonteCarlo!$B$8)),TRUE)-$A22*EXP(-MonteCarlo!$B$9*MonteCarlo!$B$8)*_xlfn.NORM.S.DIST(((LN(O$1/$A22)+(MonteCarlo!$B$9+(MonteCarlo!$B$7^2)/2)*MonteCarlo!$B$8)/(MonteCarlo!$B$7*SQRT(MonteCarlo!$B$8)))-(MonteCarlo!$B$7*SQRT(MonteCarlo!$B$8)),TRUE),$A22*EXP(-MonteCarlo!$B$9*MonteCarlo!$B$8)*_xlfn.NORM.S.DIST(-(((LN(O$1/$A22)+(MonteCarlo!$B$9+(MonteCarlo!$B$7^2)/2)*MonteCarlo!$B$8)/(MonteCarlo!$B$7*SQRT(MonteCarlo!$B$8)))-(MonteCarlo!$B$7*SQRT(MonteCarlo!$B$8))),TRUE)-O$1*_xlfn.NORM.S.DIST(-((LN(O$1/$A22)+(MonteCarlo!$B$9+(MonteCarlo!$B$7^2)/2)*MonteCarlo!$B$8)/(MonteCarlo!$B$7*SQRT(MonteCarlo!$B$8))),TRUE)),"")</f>
        <v/>
      </c>
      <c r="P22" t="str">
        <f ca="1">IFERROR(IF(OR(MonteCarlo!$B$4="C",MonteCarlo!$B$4="c"),P$1*_xlfn.NORM.S.DIST((LN(P$1/$A22)+(MonteCarlo!$B$9+(MonteCarlo!$B$7^2)/2)*MonteCarlo!$B$8)/(MonteCarlo!$B$7*SQRT(MonteCarlo!$B$8)),TRUE)-$A22*EXP(-MonteCarlo!$B$9*MonteCarlo!$B$8)*_xlfn.NORM.S.DIST(((LN(P$1/$A22)+(MonteCarlo!$B$9+(MonteCarlo!$B$7^2)/2)*MonteCarlo!$B$8)/(MonteCarlo!$B$7*SQRT(MonteCarlo!$B$8)))-(MonteCarlo!$B$7*SQRT(MonteCarlo!$B$8)),TRUE),$A22*EXP(-MonteCarlo!$B$9*MonteCarlo!$B$8)*_xlfn.NORM.S.DIST(-(((LN(P$1/$A22)+(MonteCarlo!$B$9+(MonteCarlo!$B$7^2)/2)*MonteCarlo!$B$8)/(MonteCarlo!$B$7*SQRT(MonteCarlo!$B$8)))-(MonteCarlo!$B$7*SQRT(MonteCarlo!$B$8))),TRUE)-P$1*_xlfn.NORM.S.DIST(-((LN(P$1/$A22)+(MonteCarlo!$B$9+(MonteCarlo!$B$7^2)/2)*MonteCarlo!$B$8)/(MonteCarlo!$B$7*SQRT(MonteCarlo!$B$8))),TRUE)),"")</f>
        <v/>
      </c>
      <c r="Q22" t="str">
        <f ca="1">IFERROR(IF(OR(MonteCarlo!$B$4="C",MonteCarlo!$B$4="c"),Q$1*_xlfn.NORM.S.DIST((LN(Q$1/$A22)+(MonteCarlo!$B$9+(MonteCarlo!$B$7^2)/2)*MonteCarlo!$B$8)/(MonteCarlo!$B$7*SQRT(MonteCarlo!$B$8)),TRUE)-$A22*EXP(-MonteCarlo!$B$9*MonteCarlo!$B$8)*_xlfn.NORM.S.DIST(((LN(Q$1/$A22)+(MonteCarlo!$B$9+(MonteCarlo!$B$7^2)/2)*MonteCarlo!$B$8)/(MonteCarlo!$B$7*SQRT(MonteCarlo!$B$8)))-(MonteCarlo!$B$7*SQRT(MonteCarlo!$B$8)),TRUE),$A22*EXP(-MonteCarlo!$B$9*MonteCarlo!$B$8)*_xlfn.NORM.S.DIST(-(((LN(Q$1/$A22)+(MonteCarlo!$B$9+(MonteCarlo!$B$7^2)/2)*MonteCarlo!$B$8)/(MonteCarlo!$B$7*SQRT(MonteCarlo!$B$8)))-(MonteCarlo!$B$7*SQRT(MonteCarlo!$B$8))),TRUE)-Q$1*_xlfn.NORM.S.DIST(-((LN(Q$1/$A22)+(MonteCarlo!$B$9+(MonteCarlo!$B$7^2)/2)*MonteCarlo!$B$8)/(MonteCarlo!$B$7*SQRT(MonteCarlo!$B$8))),TRUE)),"")</f>
        <v/>
      </c>
      <c r="R22" t="str">
        <f ca="1">IFERROR(IF(OR(MonteCarlo!$B$4="C",MonteCarlo!$B$4="c"),R$1*_xlfn.NORM.S.DIST((LN(R$1/$A22)+(MonteCarlo!$B$9+(MonteCarlo!$B$7^2)/2)*MonteCarlo!$B$8)/(MonteCarlo!$B$7*SQRT(MonteCarlo!$B$8)),TRUE)-$A22*EXP(-MonteCarlo!$B$9*MonteCarlo!$B$8)*_xlfn.NORM.S.DIST(((LN(R$1/$A22)+(MonteCarlo!$B$9+(MonteCarlo!$B$7^2)/2)*MonteCarlo!$B$8)/(MonteCarlo!$B$7*SQRT(MonteCarlo!$B$8)))-(MonteCarlo!$B$7*SQRT(MonteCarlo!$B$8)),TRUE),$A22*EXP(-MonteCarlo!$B$9*MonteCarlo!$B$8)*_xlfn.NORM.S.DIST(-(((LN(R$1/$A22)+(MonteCarlo!$B$9+(MonteCarlo!$B$7^2)/2)*MonteCarlo!$B$8)/(MonteCarlo!$B$7*SQRT(MonteCarlo!$B$8)))-(MonteCarlo!$B$7*SQRT(MonteCarlo!$B$8))),TRUE)-R$1*_xlfn.NORM.S.DIST(-((LN(R$1/$A22)+(MonteCarlo!$B$9+(MonteCarlo!$B$7^2)/2)*MonteCarlo!$B$8)/(MonteCarlo!$B$7*SQRT(MonteCarlo!$B$8))),TRUE)),"")</f>
        <v/>
      </c>
      <c r="S22" t="str">
        <f ca="1">IFERROR(IF(OR(MonteCarlo!$B$4="C",MonteCarlo!$B$4="c"),S$1*_xlfn.NORM.S.DIST((LN(S$1/$A22)+(MonteCarlo!$B$9+(MonteCarlo!$B$7^2)/2)*MonteCarlo!$B$8)/(MonteCarlo!$B$7*SQRT(MonteCarlo!$B$8)),TRUE)-$A22*EXP(-MonteCarlo!$B$9*MonteCarlo!$B$8)*_xlfn.NORM.S.DIST(((LN(S$1/$A22)+(MonteCarlo!$B$9+(MonteCarlo!$B$7^2)/2)*MonteCarlo!$B$8)/(MonteCarlo!$B$7*SQRT(MonteCarlo!$B$8)))-(MonteCarlo!$B$7*SQRT(MonteCarlo!$B$8)),TRUE),$A22*EXP(-MonteCarlo!$B$9*MonteCarlo!$B$8)*_xlfn.NORM.S.DIST(-(((LN(S$1/$A22)+(MonteCarlo!$B$9+(MonteCarlo!$B$7^2)/2)*MonteCarlo!$B$8)/(MonteCarlo!$B$7*SQRT(MonteCarlo!$B$8)))-(MonteCarlo!$B$7*SQRT(MonteCarlo!$B$8))),TRUE)-S$1*_xlfn.NORM.S.DIST(-((LN(S$1/$A22)+(MonteCarlo!$B$9+(MonteCarlo!$B$7^2)/2)*MonteCarlo!$B$8)/(MonteCarlo!$B$7*SQRT(MonteCarlo!$B$8))),TRUE)),"")</f>
        <v/>
      </c>
      <c r="T22" t="str">
        <f ca="1">IFERROR(IF(OR(MonteCarlo!$B$4="C",MonteCarlo!$B$4="c"),T$1*_xlfn.NORM.S.DIST((LN(T$1/$A22)+(MonteCarlo!$B$9+(MonteCarlo!$B$7^2)/2)*MonteCarlo!$B$8)/(MonteCarlo!$B$7*SQRT(MonteCarlo!$B$8)),TRUE)-$A22*EXP(-MonteCarlo!$B$9*MonteCarlo!$B$8)*_xlfn.NORM.S.DIST(((LN(T$1/$A22)+(MonteCarlo!$B$9+(MonteCarlo!$B$7^2)/2)*MonteCarlo!$B$8)/(MonteCarlo!$B$7*SQRT(MonteCarlo!$B$8)))-(MonteCarlo!$B$7*SQRT(MonteCarlo!$B$8)),TRUE),$A22*EXP(-MonteCarlo!$B$9*MonteCarlo!$B$8)*_xlfn.NORM.S.DIST(-(((LN(T$1/$A22)+(MonteCarlo!$B$9+(MonteCarlo!$B$7^2)/2)*MonteCarlo!$B$8)/(MonteCarlo!$B$7*SQRT(MonteCarlo!$B$8)))-(MonteCarlo!$B$7*SQRT(MonteCarlo!$B$8))),TRUE)-T$1*_xlfn.NORM.S.DIST(-((LN(T$1/$A22)+(MonteCarlo!$B$9+(MonteCarlo!$B$7^2)/2)*MonteCarlo!$B$8)/(MonteCarlo!$B$7*SQRT(MonteCarlo!$B$8))),TRUE)),"")</f>
        <v/>
      </c>
      <c r="U22" t="str">
        <f ca="1">IFERROR(IF(OR(MonteCarlo!$B$4="C",MonteCarlo!$B$4="c"),U$1*_xlfn.NORM.S.DIST((LN(U$1/$A22)+(MonteCarlo!$B$9+(MonteCarlo!$B$7^2)/2)*MonteCarlo!$B$8)/(MonteCarlo!$B$7*SQRT(MonteCarlo!$B$8)),TRUE)-$A22*EXP(-MonteCarlo!$B$9*MonteCarlo!$B$8)*_xlfn.NORM.S.DIST(((LN(U$1/$A22)+(MonteCarlo!$B$9+(MonteCarlo!$B$7^2)/2)*MonteCarlo!$B$8)/(MonteCarlo!$B$7*SQRT(MonteCarlo!$B$8)))-(MonteCarlo!$B$7*SQRT(MonteCarlo!$B$8)),TRUE),$A22*EXP(-MonteCarlo!$B$9*MonteCarlo!$B$8)*_xlfn.NORM.S.DIST(-(((LN(U$1/$A22)+(MonteCarlo!$B$9+(MonteCarlo!$B$7^2)/2)*MonteCarlo!$B$8)/(MonteCarlo!$B$7*SQRT(MonteCarlo!$B$8)))-(MonteCarlo!$B$7*SQRT(MonteCarlo!$B$8))),TRUE)-U$1*_xlfn.NORM.S.DIST(-((LN(U$1/$A22)+(MonteCarlo!$B$9+(MonteCarlo!$B$7^2)/2)*MonteCarlo!$B$8)/(MonteCarlo!$B$7*SQRT(MonteCarlo!$B$8))),TRUE)),"")</f>
        <v/>
      </c>
      <c r="V22" t="str">
        <f ca="1">IFERROR(IF(OR(MonteCarlo!$B$4="C",MonteCarlo!$B$4="c"),V$1*_xlfn.NORM.S.DIST((LN(V$1/$A22)+(MonteCarlo!$B$9+(MonteCarlo!$B$7^2)/2)*MonteCarlo!$B$8)/(MonteCarlo!$B$7*SQRT(MonteCarlo!$B$8)),TRUE)-$A22*EXP(-MonteCarlo!$B$9*MonteCarlo!$B$8)*_xlfn.NORM.S.DIST(((LN(V$1/$A22)+(MonteCarlo!$B$9+(MonteCarlo!$B$7^2)/2)*MonteCarlo!$B$8)/(MonteCarlo!$B$7*SQRT(MonteCarlo!$B$8)))-(MonteCarlo!$B$7*SQRT(MonteCarlo!$B$8)),TRUE),$A22*EXP(-MonteCarlo!$B$9*MonteCarlo!$B$8)*_xlfn.NORM.S.DIST(-(((LN(V$1/$A22)+(MonteCarlo!$B$9+(MonteCarlo!$B$7^2)/2)*MonteCarlo!$B$8)/(MonteCarlo!$B$7*SQRT(MonteCarlo!$B$8)))-(MonteCarlo!$B$7*SQRT(MonteCarlo!$B$8))),TRUE)-V$1*_xlfn.NORM.S.DIST(-((LN(V$1/$A22)+(MonteCarlo!$B$9+(MonteCarlo!$B$7^2)/2)*MonteCarlo!$B$8)/(MonteCarlo!$B$7*SQRT(MonteCarlo!$B$8))),TRUE)),"")</f>
        <v/>
      </c>
      <c r="W22" t="str">
        <f ca="1">IFERROR(IF(OR(MonteCarlo!$B$4="C",MonteCarlo!$B$4="c"),W$1*_xlfn.NORM.S.DIST((LN(W$1/$A22)+(MonteCarlo!$B$9+(MonteCarlo!$B$7^2)/2)*MonteCarlo!$B$8)/(MonteCarlo!$B$7*SQRT(MonteCarlo!$B$8)),TRUE)-$A22*EXP(-MonteCarlo!$B$9*MonteCarlo!$B$8)*_xlfn.NORM.S.DIST(((LN(W$1/$A22)+(MonteCarlo!$B$9+(MonteCarlo!$B$7^2)/2)*MonteCarlo!$B$8)/(MonteCarlo!$B$7*SQRT(MonteCarlo!$B$8)))-(MonteCarlo!$B$7*SQRT(MonteCarlo!$B$8)),TRUE),$A22*EXP(-MonteCarlo!$B$9*MonteCarlo!$B$8)*_xlfn.NORM.S.DIST(-(((LN(W$1/$A22)+(MonteCarlo!$B$9+(MonteCarlo!$B$7^2)/2)*MonteCarlo!$B$8)/(MonteCarlo!$B$7*SQRT(MonteCarlo!$B$8)))-(MonteCarlo!$B$7*SQRT(MonteCarlo!$B$8))),TRUE)-W$1*_xlfn.NORM.S.DIST(-((LN(W$1/$A22)+(MonteCarlo!$B$9+(MonteCarlo!$B$7^2)/2)*MonteCarlo!$B$8)/(MonteCarlo!$B$7*SQRT(MonteCarlo!$B$8))),TRUE)),"")</f>
        <v/>
      </c>
      <c r="X22" t="str">
        <f ca="1">IFERROR(IF(OR(MonteCarlo!$B$4="C",MonteCarlo!$B$4="c"),X$1*_xlfn.NORM.S.DIST((LN(X$1/$A22)+(MonteCarlo!$B$9+(MonteCarlo!$B$7^2)/2)*MonteCarlo!$B$8)/(MonteCarlo!$B$7*SQRT(MonteCarlo!$B$8)),TRUE)-$A22*EXP(-MonteCarlo!$B$9*MonteCarlo!$B$8)*_xlfn.NORM.S.DIST(((LN(X$1/$A22)+(MonteCarlo!$B$9+(MonteCarlo!$B$7^2)/2)*MonteCarlo!$B$8)/(MonteCarlo!$B$7*SQRT(MonteCarlo!$B$8)))-(MonteCarlo!$B$7*SQRT(MonteCarlo!$B$8)),TRUE),$A22*EXP(-MonteCarlo!$B$9*MonteCarlo!$B$8)*_xlfn.NORM.S.DIST(-(((LN(X$1/$A22)+(MonteCarlo!$B$9+(MonteCarlo!$B$7^2)/2)*MonteCarlo!$B$8)/(MonteCarlo!$B$7*SQRT(MonteCarlo!$B$8)))-(MonteCarlo!$B$7*SQRT(MonteCarlo!$B$8))),TRUE)-X$1*_xlfn.NORM.S.DIST(-((LN(X$1/$A22)+(MonteCarlo!$B$9+(MonteCarlo!$B$7^2)/2)*MonteCarlo!$B$8)/(MonteCarlo!$B$7*SQRT(MonteCarlo!$B$8))),TRUE)),"")</f>
        <v/>
      </c>
      <c r="Y22" t="str">
        <f ca="1">IFERROR(IF(OR(MonteCarlo!$B$4="C",MonteCarlo!$B$4="c"),Y$1*_xlfn.NORM.S.DIST((LN(Y$1/$A22)+(MonteCarlo!$B$9+(MonteCarlo!$B$7^2)/2)*MonteCarlo!$B$8)/(MonteCarlo!$B$7*SQRT(MonteCarlo!$B$8)),TRUE)-$A22*EXP(-MonteCarlo!$B$9*MonteCarlo!$B$8)*_xlfn.NORM.S.DIST(((LN(Y$1/$A22)+(MonteCarlo!$B$9+(MonteCarlo!$B$7^2)/2)*MonteCarlo!$B$8)/(MonteCarlo!$B$7*SQRT(MonteCarlo!$B$8)))-(MonteCarlo!$B$7*SQRT(MonteCarlo!$B$8)),TRUE),$A22*EXP(-MonteCarlo!$B$9*MonteCarlo!$B$8)*_xlfn.NORM.S.DIST(-(((LN(Y$1/$A22)+(MonteCarlo!$B$9+(MonteCarlo!$B$7^2)/2)*MonteCarlo!$B$8)/(MonteCarlo!$B$7*SQRT(MonteCarlo!$B$8)))-(MonteCarlo!$B$7*SQRT(MonteCarlo!$B$8))),TRUE)-Y$1*_xlfn.NORM.S.DIST(-((LN(Y$1/$A22)+(MonteCarlo!$B$9+(MonteCarlo!$B$7^2)/2)*MonteCarlo!$B$8)/(MonteCarlo!$B$7*SQRT(MonteCarlo!$B$8))),TRUE)),"")</f>
        <v/>
      </c>
      <c r="Z22" t="str">
        <f ca="1">IFERROR(IF(OR(MonteCarlo!$B$4="C",MonteCarlo!$B$4="c"),Z$1*_xlfn.NORM.S.DIST((LN(Z$1/$A22)+(MonteCarlo!$B$9+(MonteCarlo!$B$7^2)/2)*MonteCarlo!$B$8)/(MonteCarlo!$B$7*SQRT(MonteCarlo!$B$8)),TRUE)-$A22*EXP(-MonteCarlo!$B$9*MonteCarlo!$B$8)*_xlfn.NORM.S.DIST(((LN(Z$1/$A22)+(MonteCarlo!$B$9+(MonteCarlo!$B$7^2)/2)*MonteCarlo!$B$8)/(MonteCarlo!$B$7*SQRT(MonteCarlo!$B$8)))-(MonteCarlo!$B$7*SQRT(MonteCarlo!$B$8)),TRUE),$A22*EXP(-MonteCarlo!$B$9*MonteCarlo!$B$8)*_xlfn.NORM.S.DIST(-(((LN(Z$1/$A22)+(MonteCarlo!$B$9+(MonteCarlo!$B$7^2)/2)*MonteCarlo!$B$8)/(MonteCarlo!$B$7*SQRT(MonteCarlo!$B$8)))-(MonteCarlo!$B$7*SQRT(MonteCarlo!$B$8))),TRUE)-Z$1*_xlfn.NORM.S.DIST(-((LN(Z$1/$A22)+(MonteCarlo!$B$9+(MonteCarlo!$B$7^2)/2)*MonteCarlo!$B$8)/(MonteCarlo!$B$7*SQRT(MonteCarlo!$B$8))),TRUE)),"")</f>
        <v/>
      </c>
      <c r="AA22" t="str">
        <f ca="1">IFERROR(IF(OR(MonteCarlo!$B$4="C",MonteCarlo!$B$4="c"),AA$1*_xlfn.NORM.S.DIST((LN(AA$1/$A22)+(MonteCarlo!$B$9+(MonteCarlo!$B$7^2)/2)*MonteCarlo!$B$8)/(MonteCarlo!$B$7*SQRT(MonteCarlo!$B$8)),TRUE)-$A22*EXP(-MonteCarlo!$B$9*MonteCarlo!$B$8)*_xlfn.NORM.S.DIST(((LN(AA$1/$A22)+(MonteCarlo!$B$9+(MonteCarlo!$B$7^2)/2)*MonteCarlo!$B$8)/(MonteCarlo!$B$7*SQRT(MonteCarlo!$B$8)))-(MonteCarlo!$B$7*SQRT(MonteCarlo!$B$8)),TRUE),$A22*EXP(-MonteCarlo!$B$9*MonteCarlo!$B$8)*_xlfn.NORM.S.DIST(-(((LN(AA$1/$A22)+(MonteCarlo!$B$9+(MonteCarlo!$B$7^2)/2)*MonteCarlo!$B$8)/(MonteCarlo!$B$7*SQRT(MonteCarlo!$B$8)))-(MonteCarlo!$B$7*SQRT(MonteCarlo!$B$8))),TRUE)-AA$1*_xlfn.NORM.S.DIST(-((LN(AA$1/$A22)+(MonteCarlo!$B$9+(MonteCarlo!$B$7^2)/2)*MonteCarlo!$B$8)/(MonteCarlo!$B$7*SQRT(MonteCarlo!$B$8))),TRUE)),"")</f>
        <v/>
      </c>
      <c r="AB22" t="str">
        <f ca="1">IFERROR(IF(OR(MonteCarlo!$B$4="C",MonteCarlo!$B$4="c"),AB$1*_xlfn.NORM.S.DIST((LN(AB$1/$A22)+(MonteCarlo!$B$9+(MonteCarlo!$B$7^2)/2)*MonteCarlo!$B$8)/(MonteCarlo!$B$7*SQRT(MonteCarlo!$B$8)),TRUE)-$A22*EXP(-MonteCarlo!$B$9*MonteCarlo!$B$8)*_xlfn.NORM.S.DIST(((LN(AB$1/$A22)+(MonteCarlo!$B$9+(MonteCarlo!$B$7^2)/2)*MonteCarlo!$B$8)/(MonteCarlo!$B$7*SQRT(MonteCarlo!$B$8)))-(MonteCarlo!$B$7*SQRT(MonteCarlo!$B$8)),TRUE),$A22*EXP(-MonteCarlo!$B$9*MonteCarlo!$B$8)*_xlfn.NORM.S.DIST(-(((LN(AB$1/$A22)+(MonteCarlo!$B$9+(MonteCarlo!$B$7^2)/2)*MonteCarlo!$B$8)/(MonteCarlo!$B$7*SQRT(MonteCarlo!$B$8)))-(MonteCarlo!$B$7*SQRT(MonteCarlo!$B$8))),TRUE)-AB$1*_xlfn.NORM.S.DIST(-((LN(AB$1/$A22)+(MonteCarlo!$B$9+(MonteCarlo!$B$7^2)/2)*MonteCarlo!$B$8)/(MonteCarlo!$B$7*SQRT(MonteCarlo!$B$8))),TRUE)),"")</f>
        <v/>
      </c>
      <c r="AC22" t="str">
        <f ca="1">IFERROR(IF(OR(MonteCarlo!$B$4="C",MonteCarlo!$B$4="c"),AC$1*_xlfn.NORM.S.DIST((LN(AC$1/$A22)+(MonteCarlo!$B$9+(MonteCarlo!$B$7^2)/2)*MonteCarlo!$B$8)/(MonteCarlo!$B$7*SQRT(MonteCarlo!$B$8)),TRUE)-$A22*EXP(-MonteCarlo!$B$9*MonteCarlo!$B$8)*_xlfn.NORM.S.DIST(((LN(AC$1/$A22)+(MonteCarlo!$B$9+(MonteCarlo!$B$7^2)/2)*MonteCarlo!$B$8)/(MonteCarlo!$B$7*SQRT(MonteCarlo!$B$8)))-(MonteCarlo!$B$7*SQRT(MonteCarlo!$B$8)),TRUE),$A22*EXP(-MonteCarlo!$B$9*MonteCarlo!$B$8)*_xlfn.NORM.S.DIST(-(((LN(AC$1/$A22)+(MonteCarlo!$B$9+(MonteCarlo!$B$7^2)/2)*MonteCarlo!$B$8)/(MonteCarlo!$B$7*SQRT(MonteCarlo!$B$8)))-(MonteCarlo!$B$7*SQRT(MonteCarlo!$B$8))),TRUE)-AC$1*_xlfn.NORM.S.DIST(-((LN(AC$1/$A22)+(MonteCarlo!$B$9+(MonteCarlo!$B$7^2)/2)*MonteCarlo!$B$8)/(MonteCarlo!$B$7*SQRT(MonteCarlo!$B$8))),TRUE)),"")</f>
        <v/>
      </c>
      <c r="AD22" t="str">
        <f ca="1">IFERROR(IF(OR(MonteCarlo!$B$4="C",MonteCarlo!$B$4="c"),AD$1*_xlfn.NORM.S.DIST((LN(AD$1/$A22)+(MonteCarlo!$B$9+(MonteCarlo!$B$7^2)/2)*MonteCarlo!$B$8)/(MonteCarlo!$B$7*SQRT(MonteCarlo!$B$8)),TRUE)-$A22*EXP(-MonteCarlo!$B$9*MonteCarlo!$B$8)*_xlfn.NORM.S.DIST(((LN(AD$1/$A22)+(MonteCarlo!$B$9+(MonteCarlo!$B$7^2)/2)*MonteCarlo!$B$8)/(MonteCarlo!$B$7*SQRT(MonteCarlo!$B$8)))-(MonteCarlo!$B$7*SQRT(MonteCarlo!$B$8)),TRUE),$A22*EXP(-MonteCarlo!$B$9*MonteCarlo!$B$8)*_xlfn.NORM.S.DIST(-(((LN(AD$1/$A22)+(MonteCarlo!$B$9+(MonteCarlo!$B$7^2)/2)*MonteCarlo!$B$8)/(MonteCarlo!$B$7*SQRT(MonteCarlo!$B$8)))-(MonteCarlo!$B$7*SQRT(MonteCarlo!$B$8))),TRUE)-AD$1*_xlfn.NORM.S.DIST(-((LN(AD$1/$A22)+(MonteCarlo!$B$9+(MonteCarlo!$B$7^2)/2)*MonteCarlo!$B$8)/(MonteCarlo!$B$7*SQRT(MonteCarlo!$B$8))),TRUE)),"")</f>
        <v/>
      </c>
      <c r="AE22" t="str">
        <f ca="1">IFERROR(IF(OR(MonteCarlo!$B$4="C",MonteCarlo!$B$4="c"),AE$1*_xlfn.NORM.S.DIST((LN(AE$1/$A22)+(MonteCarlo!$B$9+(MonteCarlo!$B$7^2)/2)*MonteCarlo!$B$8)/(MonteCarlo!$B$7*SQRT(MonteCarlo!$B$8)),TRUE)-$A22*EXP(-MonteCarlo!$B$9*MonteCarlo!$B$8)*_xlfn.NORM.S.DIST(((LN(AE$1/$A22)+(MonteCarlo!$B$9+(MonteCarlo!$B$7^2)/2)*MonteCarlo!$B$8)/(MonteCarlo!$B$7*SQRT(MonteCarlo!$B$8)))-(MonteCarlo!$B$7*SQRT(MonteCarlo!$B$8)),TRUE),$A22*EXP(-MonteCarlo!$B$9*MonteCarlo!$B$8)*_xlfn.NORM.S.DIST(-(((LN(AE$1/$A22)+(MonteCarlo!$B$9+(MonteCarlo!$B$7^2)/2)*MonteCarlo!$B$8)/(MonteCarlo!$B$7*SQRT(MonteCarlo!$B$8)))-(MonteCarlo!$B$7*SQRT(MonteCarlo!$B$8))),TRUE)-AE$1*_xlfn.NORM.S.DIST(-((LN(AE$1/$A22)+(MonteCarlo!$B$9+(MonteCarlo!$B$7^2)/2)*MonteCarlo!$B$8)/(MonteCarlo!$B$7*SQRT(MonteCarlo!$B$8))),TRUE)),"")</f>
        <v/>
      </c>
      <c r="AF22" t="str">
        <f ca="1">IFERROR(IF(OR(MonteCarlo!$B$4="C",MonteCarlo!$B$4="c"),AF$1*_xlfn.NORM.S.DIST((LN(AF$1/$A22)+(MonteCarlo!$B$9+(MonteCarlo!$B$7^2)/2)*MonteCarlo!$B$8)/(MonteCarlo!$B$7*SQRT(MonteCarlo!$B$8)),TRUE)-$A22*EXP(-MonteCarlo!$B$9*MonteCarlo!$B$8)*_xlfn.NORM.S.DIST(((LN(AF$1/$A22)+(MonteCarlo!$B$9+(MonteCarlo!$B$7^2)/2)*MonteCarlo!$B$8)/(MonteCarlo!$B$7*SQRT(MonteCarlo!$B$8)))-(MonteCarlo!$B$7*SQRT(MonteCarlo!$B$8)),TRUE),$A22*EXP(-MonteCarlo!$B$9*MonteCarlo!$B$8)*_xlfn.NORM.S.DIST(-(((LN(AF$1/$A22)+(MonteCarlo!$B$9+(MonteCarlo!$B$7^2)/2)*MonteCarlo!$B$8)/(MonteCarlo!$B$7*SQRT(MonteCarlo!$B$8)))-(MonteCarlo!$B$7*SQRT(MonteCarlo!$B$8))),TRUE)-AF$1*_xlfn.NORM.S.DIST(-((LN(AF$1/$A22)+(MonteCarlo!$B$9+(MonteCarlo!$B$7^2)/2)*MonteCarlo!$B$8)/(MonteCarlo!$B$7*SQRT(MonteCarlo!$B$8))),TRUE)),"")</f>
        <v/>
      </c>
    </row>
    <row r="23" spans="2:32" x14ac:dyDescent="0.25">
      <c r="B23" t="str">
        <f ca="1">IFERROR(IF(OR(MonteCarlo!$B$4="C",MonteCarlo!$B$4="c"),B$1*_xlfn.NORM.S.DIST((LN(B$1/$A23)+(MonteCarlo!$B$9+(MonteCarlo!$B$7^2)/2)*MonteCarlo!$B$8)/(MonteCarlo!$B$7*SQRT(MonteCarlo!$B$8)),TRUE)-$A23*EXP(-MonteCarlo!$B$9*MonteCarlo!$B$8)*_xlfn.NORM.S.DIST(((LN(B$1/$A23)+(MonteCarlo!$B$9+(MonteCarlo!$B$7^2)/2)*MonteCarlo!$B$8)/(MonteCarlo!$B$7*SQRT(MonteCarlo!$B$8)))-(MonteCarlo!$B$7*SQRT(MonteCarlo!$B$8)),TRUE),$A23*EXP(-MonteCarlo!$B$9*MonteCarlo!$B$8)*_xlfn.NORM.S.DIST(-(((LN(B$1/$A23)+(MonteCarlo!$B$9+(MonteCarlo!$B$7^2)/2)*MonteCarlo!$B$8)/(MonteCarlo!$B$7*SQRT(MonteCarlo!$B$8)))-(MonteCarlo!$B$7*SQRT(MonteCarlo!$B$8))),TRUE)-B$1*_xlfn.NORM.S.DIST(-((LN(B$1/$A23)+(MonteCarlo!$B$9+(MonteCarlo!$B$7^2)/2)*MonteCarlo!$B$8)/(MonteCarlo!$B$7*SQRT(MonteCarlo!$B$8))),TRUE)),"")</f>
        <v/>
      </c>
      <c r="C23" t="str">
        <f ca="1">IFERROR(IF(OR(MonteCarlo!$B$4="C",MonteCarlo!$B$4="c"),C$1*_xlfn.NORM.S.DIST((LN(C$1/$A23)+(MonteCarlo!$B$9+(MonteCarlo!$B$7^2)/2)*MonteCarlo!$B$8)/(MonteCarlo!$B$7*SQRT(MonteCarlo!$B$8)),TRUE)-$A23*EXP(-MonteCarlo!$B$9*MonteCarlo!$B$8)*_xlfn.NORM.S.DIST(((LN(C$1/$A23)+(MonteCarlo!$B$9+(MonteCarlo!$B$7^2)/2)*MonteCarlo!$B$8)/(MonteCarlo!$B$7*SQRT(MonteCarlo!$B$8)))-(MonteCarlo!$B$7*SQRT(MonteCarlo!$B$8)),TRUE),$A23*EXP(-MonteCarlo!$B$9*MonteCarlo!$B$8)*_xlfn.NORM.S.DIST(-(((LN(C$1/$A23)+(MonteCarlo!$B$9+(MonteCarlo!$B$7^2)/2)*MonteCarlo!$B$8)/(MonteCarlo!$B$7*SQRT(MonteCarlo!$B$8)))-(MonteCarlo!$B$7*SQRT(MonteCarlo!$B$8))),TRUE)-C$1*_xlfn.NORM.S.DIST(-((LN(C$1/$A23)+(MonteCarlo!$B$9+(MonteCarlo!$B$7^2)/2)*MonteCarlo!$B$8)/(MonteCarlo!$B$7*SQRT(MonteCarlo!$B$8))),TRUE)),"")</f>
        <v/>
      </c>
      <c r="D23" t="str">
        <f ca="1">IFERROR(IF(OR(MonteCarlo!$B$4="C",MonteCarlo!$B$4="c"),D$1*_xlfn.NORM.S.DIST((LN(D$1/$A23)+(MonteCarlo!$B$9+(MonteCarlo!$B$7^2)/2)*MonteCarlo!$B$8)/(MonteCarlo!$B$7*SQRT(MonteCarlo!$B$8)),TRUE)-$A23*EXP(-MonteCarlo!$B$9*MonteCarlo!$B$8)*_xlfn.NORM.S.DIST(((LN(D$1/$A23)+(MonteCarlo!$B$9+(MonteCarlo!$B$7^2)/2)*MonteCarlo!$B$8)/(MonteCarlo!$B$7*SQRT(MonteCarlo!$B$8)))-(MonteCarlo!$B$7*SQRT(MonteCarlo!$B$8)),TRUE),$A23*EXP(-MonteCarlo!$B$9*MonteCarlo!$B$8)*_xlfn.NORM.S.DIST(-(((LN(D$1/$A23)+(MonteCarlo!$B$9+(MonteCarlo!$B$7^2)/2)*MonteCarlo!$B$8)/(MonteCarlo!$B$7*SQRT(MonteCarlo!$B$8)))-(MonteCarlo!$B$7*SQRT(MonteCarlo!$B$8))),TRUE)-D$1*_xlfn.NORM.S.DIST(-((LN(D$1/$A23)+(MonteCarlo!$B$9+(MonteCarlo!$B$7^2)/2)*MonteCarlo!$B$8)/(MonteCarlo!$B$7*SQRT(MonteCarlo!$B$8))),TRUE)),"")</f>
        <v/>
      </c>
      <c r="E23" t="str">
        <f ca="1">IFERROR(IF(OR(MonteCarlo!$B$4="C",MonteCarlo!$B$4="c"),E$1*_xlfn.NORM.S.DIST((LN(E$1/$A23)+(MonteCarlo!$B$9+(MonteCarlo!$B$7^2)/2)*MonteCarlo!$B$8)/(MonteCarlo!$B$7*SQRT(MonteCarlo!$B$8)),TRUE)-$A23*EXP(-MonteCarlo!$B$9*MonteCarlo!$B$8)*_xlfn.NORM.S.DIST(((LN(E$1/$A23)+(MonteCarlo!$B$9+(MonteCarlo!$B$7^2)/2)*MonteCarlo!$B$8)/(MonteCarlo!$B$7*SQRT(MonteCarlo!$B$8)))-(MonteCarlo!$B$7*SQRT(MonteCarlo!$B$8)),TRUE),$A23*EXP(-MonteCarlo!$B$9*MonteCarlo!$B$8)*_xlfn.NORM.S.DIST(-(((LN(E$1/$A23)+(MonteCarlo!$B$9+(MonteCarlo!$B$7^2)/2)*MonteCarlo!$B$8)/(MonteCarlo!$B$7*SQRT(MonteCarlo!$B$8)))-(MonteCarlo!$B$7*SQRT(MonteCarlo!$B$8))),TRUE)-E$1*_xlfn.NORM.S.DIST(-((LN(E$1/$A23)+(MonteCarlo!$B$9+(MonteCarlo!$B$7^2)/2)*MonteCarlo!$B$8)/(MonteCarlo!$B$7*SQRT(MonteCarlo!$B$8))),TRUE)),"")</f>
        <v/>
      </c>
      <c r="F23" t="str">
        <f ca="1">IFERROR(IF(OR(MonteCarlo!$B$4="C",MonteCarlo!$B$4="c"),F$1*_xlfn.NORM.S.DIST((LN(F$1/$A23)+(MonteCarlo!$B$9+(MonteCarlo!$B$7^2)/2)*MonteCarlo!$B$8)/(MonteCarlo!$B$7*SQRT(MonteCarlo!$B$8)),TRUE)-$A23*EXP(-MonteCarlo!$B$9*MonteCarlo!$B$8)*_xlfn.NORM.S.DIST(((LN(F$1/$A23)+(MonteCarlo!$B$9+(MonteCarlo!$B$7^2)/2)*MonteCarlo!$B$8)/(MonteCarlo!$B$7*SQRT(MonteCarlo!$B$8)))-(MonteCarlo!$B$7*SQRT(MonteCarlo!$B$8)),TRUE),$A23*EXP(-MonteCarlo!$B$9*MonteCarlo!$B$8)*_xlfn.NORM.S.DIST(-(((LN(F$1/$A23)+(MonteCarlo!$B$9+(MonteCarlo!$B$7^2)/2)*MonteCarlo!$B$8)/(MonteCarlo!$B$7*SQRT(MonteCarlo!$B$8)))-(MonteCarlo!$B$7*SQRT(MonteCarlo!$B$8))),TRUE)-F$1*_xlfn.NORM.S.DIST(-((LN(F$1/$A23)+(MonteCarlo!$B$9+(MonteCarlo!$B$7^2)/2)*MonteCarlo!$B$8)/(MonteCarlo!$B$7*SQRT(MonteCarlo!$B$8))),TRUE)),"")</f>
        <v/>
      </c>
      <c r="G23" t="str">
        <f ca="1">IFERROR(IF(OR(MonteCarlo!$B$4="C",MonteCarlo!$B$4="c"),G$1*_xlfn.NORM.S.DIST((LN(G$1/$A23)+(MonteCarlo!$B$9+(MonteCarlo!$B$7^2)/2)*MonteCarlo!$B$8)/(MonteCarlo!$B$7*SQRT(MonteCarlo!$B$8)),TRUE)-$A23*EXP(-MonteCarlo!$B$9*MonteCarlo!$B$8)*_xlfn.NORM.S.DIST(((LN(G$1/$A23)+(MonteCarlo!$B$9+(MonteCarlo!$B$7^2)/2)*MonteCarlo!$B$8)/(MonteCarlo!$B$7*SQRT(MonteCarlo!$B$8)))-(MonteCarlo!$B$7*SQRT(MonteCarlo!$B$8)),TRUE),$A23*EXP(-MonteCarlo!$B$9*MonteCarlo!$B$8)*_xlfn.NORM.S.DIST(-(((LN(G$1/$A23)+(MonteCarlo!$B$9+(MonteCarlo!$B$7^2)/2)*MonteCarlo!$B$8)/(MonteCarlo!$B$7*SQRT(MonteCarlo!$B$8)))-(MonteCarlo!$B$7*SQRT(MonteCarlo!$B$8))),TRUE)-G$1*_xlfn.NORM.S.DIST(-((LN(G$1/$A23)+(MonteCarlo!$B$9+(MonteCarlo!$B$7^2)/2)*MonteCarlo!$B$8)/(MonteCarlo!$B$7*SQRT(MonteCarlo!$B$8))),TRUE)),"")</f>
        <v/>
      </c>
      <c r="H23" t="str">
        <f ca="1">IFERROR(IF(OR(MonteCarlo!$B$4="C",MonteCarlo!$B$4="c"),H$1*_xlfn.NORM.S.DIST((LN(H$1/$A23)+(MonteCarlo!$B$9+(MonteCarlo!$B$7^2)/2)*MonteCarlo!$B$8)/(MonteCarlo!$B$7*SQRT(MonteCarlo!$B$8)),TRUE)-$A23*EXP(-MonteCarlo!$B$9*MonteCarlo!$B$8)*_xlfn.NORM.S.DIST(((LN(H$1/$A23)+(MonteCarlo!$B$9+(MonteCarlo!$B$7^2)/2)*MonteCarlo!$B$8)/(MonteCarlo!$B$7*SQRT(MonteCarlo!$B$8)))-(MonteCarlo!$B$7*SQRT(MonteCarlo!$B$8)),TRUE),$A23*EXP(-MonteCarlo!$B$9*MonteCarlo!$B$8)*_xlfn.NORM.S.DIST(-(((LN(H$1/$A23)+(MonteCarlo!$B$9+(MonteCarlo!$B$7^2)/2)*MonteCarlo!$B$8)/(MonteCarlo!$B$7*SQRT(MonteCarlo!$B$8)))-(MonteCarlo!$B$7*SQRT(MonteCarlo!$B$8))),TRUE)-H$1*_xlfn.NORM.S.DIST(-((LN(H$1/$A23)+(MonteCarlo!$B$9+(MonteCarlo!$B$7^2)/2)*MonteCarlo!$B$8)/(MonteCarlo!$B$7*SQRT(MonteCarlo!$B$8))),TRUE)),"")</f>
        <v/>
      </c>
      <c r="I23" t="str">
        <f ca="1">IFERROR(IF(OR(MonteCarlo!$B$4="C",MonteCarlo!$B$4="c"),I$1*_xlfn.NORM.S.DIST((LN(I$1/$A23)+(MonteCarlo!$B$9+(MonteCarlo!$B$7^2)/2)*MonteCarlo!$B$8)/(MonteCarlo!$B$7*SQRT(MonteCarlo!$B$8)),TRUE)-$A23*EXP(-MonteCarlo!$B$9*MonteCarlo!$B$8)*_xlfn.NORM.S.DIST(((LN(I$1/$A23)+(MonteCarlo!$B$9+(MonteCarlo!$B$7^2)/2)*MonteCarlo!$B$8)/(MonteCarlo!$B$7*SQRT(MonteCarlo!$B$8)))-(MonteCarlo!$B$7*SQRT(MonteCarlo!$B$8)),TRUE),$A23*EXP(-MonteCarlo!$B$9*MonteCarlo!$B$8)*_xlfn.NORM.S.DIST(-(((LN(I$1/$A23)+(MonteCarlo!$B$9+(MonteCarlo!$B$7^2)/2)*MonteCarlo!$B$8)/(MonteCarlo!$B$7*SQRT(MonteCarlo!$B$8)))-(MonteCarlo!$B$7*SQRT(MonteCarlo!$B$8))),TRUE)-I$1*_xlfn.NORM.S.DIST(-((LN(I$1/$A23)+(MonteCarlo!$B$9+(MonteCarlo!$B$7^2)/2)*MonteCarlo!$B$8)/(MonteCarlo!$B$7*SQRT(MonteCarlo!$B$8))),TRUE)),"")</f>
        <v/>
      </c>
      <c r="J23" t="str">
        <f ca="1">IFERROR(IF(OR(MonteCarlo!$B$4="C",MonteCarlo!$B$4="c"),J$1*_xlfn.NORM.S.DIST((LN(J$1/$A23)+(MonteCarlo!$B$9+(MonteCarlo!$B$7^2)/2)*MonteCarlo!$B$8)/(MonteCarlo!$B$7*SQRT(MonteCarlo!$B$8)),TRUE)-$A23*EXP(-MonteCarlo!$B$9*MonteCarlo!$B$8)*_xlfn.NORM.S.DIST(((LN(J$1/$A23)+(MonteCarlo!$B$9+(MonteCarlo!$B$7^2)/2)*MonteCarlo!$B$8)/(MonteCarlo!$B$7*SQRT(MonteCarlo!$B$8)))-(MonteCarlo!$B$7*SQRT(MonteCarlo!$B$8)),TRUE),$A23*EXP(-MonteCarlo!$B$9*MonteCarlo!$B$8)*_xlfn.NORM.S.DIST(-(((LN(J$1/$A23)+(MonteCarlo!$B$9+(MonteCarlo!$B$7^2)/2)*MonteCarlo!$B$8)/(MonteCarlo!$B$7*SQRT(MonteCarlo!$B$8)))-(MonteCarlo!$B$7*SQRT(MonteCarlo!$B$8))),TRUE)-J$1*_xlfn.NORM.S.DIST(-((LN(J$1/$A23)+(MonteCarlo!$B$9+(MonteCarlo!$B$7^2)/2)*MonteCarlo!$B$8)/(MonteCarlo!$B$7*SQRT(MonteCarlo!$B$8))),TRUE)),"")</f>
        <v/>
      </c>
      <c r="K23" t="str">
        <f ca="1">IFERROR(IF(OR(MonteCarlo!$B$4="C",MonteCarlo!$B$4="c"),K$1*_xlfn.NORM.S.DIST((LN(K$1/$A23)+(MonteCarlo!$B$9+(MonteCarlo!$B$7^2)/2)*MonteCarlo!$B$8)/(MonteCarlo!$B$7*SQRT(MonteCarlo!$B$8)),TRUE)-$A23*EXP(-MonteCarlo!$B$9*MonteCarlo!$B$8)*_xlfn.NORM.S.DIST(((LN(K$1/$A23)+(MonteCarlo!$B$9+(MonteCarlo!$B$7^2)/2)*MonteCarlo!$B$8)/(MonteCarlo!$B$7*SQRT(MonteCarlo!$B$8)))-(MonteCarlo!$B$7*SQRT(MonteCarlo!$B$8)),TRUE),$A23*EXP(-MonteCarlo!$B$9*MonteCarlo!$B$8)*_xlfn.NORM.S.DIST(-(((LN(K$1/$A23)+(MonteCarlo!$B$9+(MonteCarlo!$B$7^2)/2)*MonteCarlo!$B$8)/(MonteCarlo!$B$7*SQRT(MonteCarlo!$B$8)))-(MonteCarlo!$B$7*SQRT(MonteCarlo!$B$8))),TRUE)-K$1*_xlfn.NORM.S.DIST(-((LN(K$1/$A23)+(MonteCarlo!$B$9+(MonteCarlo!$B$7^2)/2)*MonteCarlo!$B$8)/(MonteCarlo!$B$7*SQRT(MonteCarlo!$B$8))),TRUE)),"")</f>
        <v/>
      </c>
      <c r="L23" t="str">
        <f ca="1">IFERROR(IF(OR(MonteCarlo!$B$4="C",MonteCarlo!$B$4="c"),L$1*_xlfn.NORM.S.DIST((LN(L$1/$A23)+(MonteCarlo!$B$9+(MonteCarlo!$B$7^2)/2)*MonteCarlo!$B$8)/(MonteCarlo!$B$7*SQRT(MonteCarlo!$B$8)),TRUE)-$A23*EXP(-MonteCarlo!$B$9*MonteCarlo!$B$8)*_xlfn.NORM.S.DIST(((LN(L$1/$A23)+(MonteCarlo!$B$9+(MonteCarlo!$B$7^2)/2)*MonteCarlo!$B$8)/(MonteCarlo!$B$7*SQRT(MonteCarlo!$B$8)))-(MonteCarlo!$B$7*SQRT(MonteCarlo!$B$8)),TRUE),$A23*EXP(-MonteCarlo!$B$9*MonteCarlo!$B$8)*_xlfn.NORM.S.DIST(-(((LN(L$1/$A23)+(MonteCarlo!$B$9+(MonteCarlo!$B$7^2)/2)*MonteCarlo!$B$8)/(MonteCarlo!$B$7*SQRT(MonteCarlo!$B$8)))-(MonteCarlo!$B$7*SQRT(MonteCarlo!$B$8))),TRUE)-L$1*_xlfn.NORM.S.DIST(-((LN(L$1/$A23)+(MonteCarlo!$B$9+(MonteCarlo!$B$7^2)/2)*MonteCarlo!$B$8)/(MonteCarlo!$B$7*SQRT(MonteCarlo!$B$8))),TRUE)),"")</f>
        <v/>
      </c>
      <c r="M23" t="str">
        <f ca="1">IFERROR(IF(OR(MonteCarlo!$B$4="C",MonteCarlo!$B$4="c"),M$1*_xlfn.NORM.S.DIST((LN(M$1/$A23)+(MonteCarlo!$B$9+(MonteCarlo!$B$7^2)/2)*MonteCarlo!$B$8)/(MonteCarlo!$B$7*SQRT(MonteCarlo!$B$8)),TRUE)-$A23*EXP(-MonteCarlo!$B$9*MonteCarlo!$B$8)*_xlfn.NORM.S.DIST(((LN(M$1/$A23)+(MonteCarlo!$B$9+(MonteCarlo!$B$7^2)/2)*MonteCarlo!$B$8)/(MonteCarlo!$B$7*SQRT(MonteCarlo!$B$8)))-(MonteCarlo!$B$7*SQRT(MonteCarlo!$B$8)),TRUE),$A23*EXP(-MonteCarlo!$B$9*MonteCarlo!$B$8)*_xlfn.NORM.S.DIST(-(((LN(M$1/$A23)+(MonteCarlo!$B$9+(MonteCarlo!$B$7^2)/2)*MonteCarlo!$B$8)/(MonteCarlo!$B$7*SQRT(MonteCarlo!$B$8)))-(MonteCarlo!$B$7*SQRT(MonteCarlo!$B$8))),TRUE)-M$1*_xlfn.NORM.S.DIST(-((LN(M$1/$A23)+(MonteCarlo!$B$9+(MonteCarlo!$B$7^2)/2)*MonteCarlo!$B$8)/(MonteCarlo!$B$7*SQRT(MonteCarlo!$B$8))),TRUE)),"")</f>
        <v/>
      </c>
      <c r="N23" t="str">
        <f ca="1">IFERROR(IF(OR(MonteCarlo!$B$4="C",MonteCarlo!$B$4="c"),N$1*_xlfn.NORM.S.DIST((LN(N$1/$A23)+(MonteCarlo!$B$9+(MonteCarlo!$B$7^2)/2)*MonteCarlo!$B$8)/(MonteCarlo!$B$7*SQRT(MonteCarlo!$B$8)),TRUE)-$A23*EXP(-MonteCarlo!$B$9*MonteCarlo!$B$8)*_xlfn.NORM.S.DIST(((LN(N$1/$A23)+(MonteCarlo!$B$9+(MonteCarlo!$B$7^2)/2)*MonteCarlo!$B$8)/(MonteCarlo!$B$7*SQRT(MonteCarlo!$B$8)))-(MonteCarlo!$B$7*SQRT(MonteCarlo!$B$8)),TRUE),$A23*EXP(-MonteCarlo!$B$9*MonteCarlo!$B$8)*_xlfn.NORM.S.DIST(-(((LN(N$1/$A23)+(MonteCarlo!$B$9+(MonteCarlo!$B$7^2)/2)*MonteCarlo!$B$8)/(MonteCarlo!$B$7*SQRT(MonteCarlo!$B$8)))-(MonteCarlo!$B$7*SQRT(MonteCarlo!$B$8))),TRUE)-N$1*_xlfn.NORM.S.DIST(-((LN(N$1/$A23)+(MonteCarlo!$B$9+(MonteCarlo!$B$7^2)/2)*MonteCarlo!$B$8)/(MonteCarlo!$B$7*SQRT(MonteCarlo!$B$8))),TRUE)),"")</f>
        <v/>
      </c>
      <c r="O23" t="str">
        <f ca="1">IFERROR(IF(OR(MonteCarlo!$B$4="C",MonteCarlo!$B$4="c"),O$1*_xlfn.NORM.S.DIST((LN(O$1/$A23)+(MonteCarlo!$B$9+(MonteCarlo!$B$7^2)/2)*MonteCarlo!$B$8)/(MonteCarlo!$B$7*SQRT(MonteCarlo!$B$8)),TRUE)-$A23*EXP(-MonteCarlo!$B$9*MonteCarlo!$B$8)*_xlfn.NORM.S.DIST(((LN(O$1/$A23)+(MonteCarlo!$B$9+(MonteCarlo!$B$7^2)/2)*MonteCarlo!$B$8)/(MonteCarlo!$B$7*SQRT(MonteCarlo!$B$8)))-(MonteCarlo!$B$7*SQRT(MonteCarlo!$B$8)),TRUE),$A23*EXP(-MonteCarlo!$B$9*MonteCarlo!$B$8)*_xlfn.NORM.S.DIST(-(((LN(O$1/$A23)+(MonteCarlo!$B$9+(MonteCarlo!$B$7^2)/2)*MonteCarlo!$B$8)/(MonteCarlo!$B$7*SQRT(MonteCarlo!$B$8)))-(MonteCarlo!$B$7*SQRT(MonteCarlo!$B$8))),TRUE)-O$1*_xlfn.NORM.S.DIST(-((LN(O$1/$A23)+(MonteCarlo!$B$9+(MonteCarlo!$B$7^2)/2)*MonteCarlo!$B$8)/(MonteCarlo!$B$7*SQRT(MonteCarlo!$B$8))),TRUE)),"")</f>
        <v/>
      </c>
      <c r="P23" t="str">
        <f ca="1">IFERROR(IF(OR(MonteCarlo!$B$4="C",MonteCarlo!$B$4="c"),P$1*_xlfn.NORM.S.DIST((LN(P$1/$A23)+(MonteCarlo!$B$9+(MonteCarlo!$B$7^2)/2)*MonteCarlo!$B$8)/(MonteCarlo!$B$7*SQRT(MonteCarlo!$B$8)),TRUE)-$A23*EXP(-MonteCarlo!$B$9*MonteCarlo!$B$8)*_xlfn.NORM.S.DIST(((LN(P$1/$A23)+(MonteCarlo!$B$9+(MonteCarlo!$B$7^2)/2)*MonteCarlo!$B$8)/(MonteCarlo!$B$7*SQRT(MonteCarlo!$B$8)))-(MonteCarlo!$B$7*SQRT(MonteCarlo!$B$8)),TRUE),$A23*EXP(-MonteCarlo!$B$9*MonteCarlo!$B$8)*_xlfn.NORM.S.DIST(-(((LN(P$1/$A23)+(MonteCarlo!$B$9+(MonteCarlo!$B$7^2)/2)*MonteCarlo!$B$8)/(MonteCarlo!$B$7*SQRT(MonteCarlo!$B$8)))-(MonteCarlo!$B$7*SQRT(MonteCarlo!$B$8))),TRUE)-P$1*_xlfn.NORM.S.DIST(-((LN(P$1/$A23)+(MonteCarlo!$B$9+(MonteCarlo!$B$7^2)/2)*MonteCarlo!$B$8)/(MonteCarlo!$B$7*SQRT(MonteCarlo!$B$8))),TRUE)),"")</f>
        <v/>
      </c>
      <c r="Q23" t="str">
        <f ca="1">IFERROR(IF(OR(MonteCarlo!$B$4="C",MonteCarlo!$B$4="c"),Q$1*_xlfn.NORM.S.DIST((LN(Q$1/$A23)+(MonteCarlo!$B$9+(MonteCarlo!$B$7^2)/2)*MonteCarlo!$B$8)/(MonteCarlo!$B$7*SQRT(MonteCarlo!$B$8)),TRUE)-$A23*EXP(-MonteCarlo!$B$9*MonteCarlo!$B$8)*_xlfn.NORM.S.DIST(((LN(Q$1/$A23)+(MonteCarlo!$B$9+(MonteCarlo!$B$7^2)/2)*MonteCarlo!$B$8)/(MonteCarlo!$B$7*SQRT(MonteCarlo!$B$8)))-(MonteCarlo!$B$7*SQRT(MonteCarlo!$B$8)),TRUE),$A23*EXP(-MonteCarlo!$B$9*MonteCarlo!$B$8)*_xlfn.NORM.S.DIST(-(((LN(Q$1/$A23)+(MonteCarlo!$B$9+(MonteCarlo!$B$7^2)/2)*MonteCarlo!$B$8)/(MonteCarlo!$B$7*SQRT(MonteCarlo!$B$8)))-(MonteCarlo!$B$7*SQRT(MonteCarlo!$B$8))),TRUE)-Q$1*_xlfn.NORM.S.DIST(-((LN(Q$1/$A23)+(MonteCarlo!$B$9+(MonteCarlo!$B$7^2)/2)*MonteCarlo!$B$8)/(MonteCarlo!$B$7*SQRT(MonteCarlo!$B$8))),TRUE)),"")</f>
        <v/>
      </c>
      <c r="R23" t="str">
        <f ca="1">IFERROR(IF(OR(MonteCarlo!$B$4="C",MonteCarlo!$B$4="c"),R$1*_xlfn.NORM.S.DIST((LN(R$1/$A23)+(MonteCarlo!$B$9+(MonteCarlo!$B$7^2)/2)*MonteCarlo!$B$8)/(MonteCarlo!$B$7*SQRT(MonteCarlo!$B$8)),TRUE)-$A23*EXP(-MonteCarlo!$B$9*MonteCarlo!$B$8)*_xlfn.NORM.S.DIST(((LN(R$1/$A23)+(MonteCarlo!$B$9+(MonteCarlo!$B$7^2)/2)*MonteCarlo!$B$8)/(MonteCarlo!$B$7*SQRT(MonteCarlo!$B$8)))-(MonteCarlo!$B$7*SQRT(MonteCarlo!$B$8)),TRUE),$A23*EXP(-MonteCarlo!$B$9*MonteCarlo!$B$8)*_xlfn.NORM.S.DIST(-(((LN(R$1/$A23)+(MonteCarlo!$B$9+(MonteCarlo!$B$7^2)/2)*MonteCarlo!$B$8)/(MonteCarlo!$B$7*SQRT(MonteCarlo!$B$8)))-(MonteCarlo!$B$7*SQRT(MonteCarlo!$B$8))),TRUE)-R$1*_xlfn.NORM.S.DIST(-((LN(R$1/$A23)+(MonteCarlo!$B$9+(MonteCarlo!$B$7^2)/2)*MonteCarlo!$B$8)/(MonteCarlo!$B$7*SQRT(MonteCarlo!$B$8))),TRUE)),"")</f>
        <v/>
      </c>
      <c r="S23" t="str">
        <f ca="1">IFERROR(IF(OR(MonteCarlo!$B$4="C",MonteCarlo!$B$4="c"),S$1*_xlfn.NORM.S.DIST((LN(S$1/$A23)+(MonteCarlo!$B$9+(MonteCarlo!$B$7^2)/2)*MonteCarlo!$B$8)/(MonteCarlo!$B$7*SQRT(MonteCarlo!$B$8)),TRUE)-$A23*EXP(-MonteCarlo!$B$9*MonteCarlo!$B$8)*_xlfn.NORM.S.DIST(((LN(S$1/$A23)+(MonteCarlo!$B$9+(MonteCarlo!$B$7^2)/2)*MonteCarlo!$B$8)/(MonteCarlo!$B$7*SQRT(MonteCarlo!$B$8)))-(MonteCarlo!$B$7*SQRT(MonteCarlo!$B$8)),TRUE),$A23*EXP(-MonteCarlo!$B$9*MonteCarlo!$B$8)*_xlfn.NORM.S.DIST(-(((LN(S$1/$A23)+(MonteCarlo!$B$9+(MonteCarlo!$B$7^2)/2)*MonteCarlo!$B$8)/(MonteCarlo!$B$7*SQRT(MonteCarlo!$B$8)))-(MonteCarlo!$B$7*SQRT(MonteCarlo!$B$8))),TRUE)-S$1*_xlfn.NORM.S.DIST(-((LN(S$1/$A23)+(MonteCarlo!$B$9+(MonteCarlo!$B$7^2)/2)*MonteCarlo!$B$8)/(MonteCarlo!$B$7*SQRT(MonteCarlo!$B$8))),TRUE)),"")</f>
        <v/>
      </c>
      <c r="T23" t="str">
        <f ca="1">IFERROR(IF(OR(MonteCarlo!$B$4="C",MonteCarlo!$B$4="c"),T$1*_xlfn.NORM.S.DIST((LN(T$1/$A23)+(MonteCarlo!$B$9+(MonteCarlo!$B$7^2)/2)*MonteCarlo!$B$8)/(MonteCarlo!$B$7*SQRT(MonteCarlo!$B$8)),TRUE)-$A23*EXP(-MonteCarlo!$B$9*MonteCarlo!$B$8)*_xlfn.NORM.S.DIST(((LN(T$1/$A23)+(MonteCarlo!$B$9+(MonteCarlo!$B$7^2)/2)*MonteCarlo!$B$8)/(MonteCarlo!$B$7*SQRT(MonteCarlo!$B$8)))-(MonteCarlo!$B$7*SQRT(MonteCarlo!$B$8)),TRUE),$A23*EXP(-MonteCarlo!$B$9*MonteCarlo!$B$8)*_xlfn.NORM.S.DIST(-(((LN(T$1/$A23)+(MonteCarlo!$B$9+(MonteCarlo!$B$7^2)/2)*MonteCarlo!$B$8)/(MonteCarlo!$B$7*SQRT(MonteCarlo!$B$8)))-(MonteCarlo!$B$7*SQRT(MonteCarlo!$B$8))),TRUE)-T$1*_xlfn.NORM.S.DIST(-((LN(T$1/$A23)+(MonteCarlo!$B$9+(MonteCarlo!$B$7^2)/2)*MonteCarlo!$B$8)/(MonteCarlo!$B$7*SQRT(MonteCarlo!$B$8))),TRUE)),"")</f>
        <v/>
      </c>
      <c r="U23" t="str">
        <f ca="1">IFERROR(IF(OR(MonteCarlo!$B$4="C",MonteCarlo!$B$4="c"),U$1*_xlfn.NORM.S.DIST((LN(U$1/$A23)+(MonteCarlo!$B$9+(MonteCarlo!$B$7^2)/2)*MonteCarlo!$B$8)/(MonteCarlo!$B$7*SQRT(MonteCarlo!$B$8)),TRUE)-$A23*EXP(-MonteCarlo!$B$9*MonteCarlo!$B$8)*_xlfn.NORM.S.DIST(((LN(U$1/$A23)+(MonteCarlo!$B$9+(MonteCarlo!$B$7^2)/2)*MonteCarlo!$B$8)/(MonteCarlo!$B$7*SQRT(MonteCarlo!$B$8)))-(MonteCarlo!$B$7*SQRT(MonteCarlo!$B$8)),TRUE),$A23*EXP(-MonteCarlo!$B$9*MonteCarlo!$B$8)*_xlfn.NORM.S.DIST(-(((LN(U$1/$A23)+(MonteCarlo!$B$9+(MonteCarlo!$B$7^2)/2)*MonteCarlo!$B$8)/(MonteCarlo!$B$7*SQRT(MonteCarlo!$B$8)))-(MonteCarlo!$B$7*SQRT(MonteCarlo!$B$8))),TRUE)-U$1*_xlfn.NORM.S.DIST(-((LN(U$1/$A23)+(MonteCarlo!$B$9+(MonteCarlo!$B$7^2)/2)*MonteCarlo!$B$8)/(MonteCarlo!$B$7*SQRT(MonteCarlo!$B$8))),TRUE)),"")</f>
        <v/>
      </c>
      <c r="V23" t="str">
        <f ca="1">IFERROR(IF(OR(MonteCarlo!$B$4="C",MonteCarlo!$B$4="c"),V$1*_xlfn.NORM.S.DIST((LN(V$1/$A23)+(MonteCarlo!$B$9+(MonteCarlo!$B$7^2)/2)*MonteCarlo!$B$8)/(MonteCarlo!$B$7*SQRT(MonteCarlo!$B$8)),TRUE)-$A23*EXP(-MonteCarlo!$B$9*MonteCarlo!$B$8)*_xlfn.NORM.S.DIST(((LN(V$1/$A23)+(MonteCarlo!$B$9+(MonteCarlo!$B$7^2)/2)*MonteCarlo!$B$8)/(MonteCarlo!$B$7*SQRT(MonteCarlo!$B$8)))-(MonteCarlo!$B$7*SQRT(MonteCarlo!$B$8)),TRUE),$A23*EXP(-MonteCarlo!$B$9*MonteCarlo!$B$8)*_xlfn.NORM.S.DIST(-(((LN(V$1/$A23)+(MonteCarlo!$B$9+(MonteCarlo!$B$7^2)/2)*MonteCarlo!$B$8)/(MonteCarlo!$B$7*SQRT(MonteCarlo!$B$8)))-(MonteCarlo!$B$7*SQRT(MonteCarlo!$B$8))),TRUE)-V$1*_xlfn.NORM.S.DIST(-((LN(V$1/$A23)+(MonteCarlo!$B$9+(MonteCarlo!$B$7^2)/2)*MonteCarlo!$B$8)/(MonteCarlo!$B$7*SQRT(MonteCarlo!$B$8))),TRUE)),"")</f>
        <v/>
      </c>
      <c r="W23" t="str">
        <f ca="1">IFERROR(IF(OR(MonteCarlo!$B$4="C",MonteCarlo!$B$4="c"),W$1*_xlfn.NORM.S.DIST((LN(W$1/$A23)+(MonteCarlo!$B$9+(MonteCarlo!$B$7^2)/2)*MonteCarlo!$B$8)/(MonteCarlo!$B$7*SQRT(MonteCarlo!$B$8)),TRUE)-$A23*EXP(-MonteCarlo!$B$9*MonteCarlo!$B$8)*_xlfn.NORM.S.DIST(((LN(W$1/$A23)+(MonteCarlo!$B$9+(MonteCarlo!$B$7^2)/2)*MonteCarlo!$B$8)/(MonteCarlo!$B$7*SQRT(MonteCarlo!$B$8)))-(MonteCarlo!$B$7*SQRT(MonteCarlo!$B$8)),TRUE),$A23*EXP(-MonteCarlo!$B$9*MonteCarlo!$B$8)*_xlfn.NORM.S.DIST(-(((LN(W$1/$A23)+(MonteCarlo!$B$9+(MonteCarlo!$B$7^2)/2)*MonteCarlo!$B$8)/(MonteCarlo!$B$7*SQRT(MonteCarlo!$B$8)))-(MonteCarlo!$B$7*SQRT(MonteCarlo!$B$8))),TRUE)-W$1*_xlfn.NORM.S.DIST(-((LN(W$1/$A23)+(MonteCarlo!$B$9+(MonteCarlo!$B$7^2)/2)*MonteCarlo!$B$8)/(MonteCarlo!$B$7*SQRT(MonteCarlo!$B$8))),TRUE)),"")</f>
        <v/>
      </c>
      <c r="X23" t="str">
        <f ca="1">IFERROR(IF(OR(MonteCarlo!$B$4="C",MonteCarlo!$B$4="c"),X$1*_xlfn.NORM.S.DIST((LN(X$1/$A23)+(MonteCarlo!$B$9+(MonteCarlo!$B$7^2)/2)*MonteCarlo!$B$8)/(MonteCarlo!$B$7*SQRT(MonteCarlo!$B$8)),TRUE)-$A23*EXP(-MonteCarlo!$B$9*MonteCarlo!$B$8)*_xlfn.NORM.S.DIST(((LN(X$1/$A23)+(MonteCarlo!$B$9+(MonteCarlo!$B$7^2)/2)*MonteCarlo!$B$8)/(MonteCarlo!$B$7*SQRT(MonteCarlo!$B$8)))-(MonteCarlo!$B$7*SQRT(MonteCarlo!$B$8)),TRUE),$A23*EXP(-MonteCarlo!$B$9*MonteCarlo!$B$8)*_xlfn.NORM.S.DIST(-(((LN(X$1/$A23)+(MonteCarlo!$B$9+(MonteCarlo!$B$7^2)/2)*MonteCarlo!$B$8)/(MonteCarlo!$B$7*SQRT(MonteCarlo!$B$8)))-(MonteCarlo!$B$7*SQRT(MonteCarlo!$B$8))),TRUE)-X$1*_xlfn.NORM.S.DIST(-((LN(X$1/$A23)+(MonteCarlo!$B$9+(MonteCarlo!$B$7^2)/2)*MonteCarlo!$B$8)/(MonteCarlo!$B$7*SQRT(MonteCarlo!$B$8))),TRUE)),"")</f>
        <v/>
      </c>
      <c r="Y23" t="str">
        <f ca="1">IFERROR(IF(OR(MonteCarlo!$B$4="C",MonteCarlo!$B$4="c"),Y$1*_xlfn.NORM.S.DIST((LN(Y$1/$A23)+(MonteCarlo!$B$9+(MonteCarlo!$B$7^2)/2)*MonteCarlo!$B$8)/(MonteCarlo!$B$7*SQRT(MonteCarlo!$B$8)),TRUE)-$A23*EXP(-MonteCarlo!$B$9*MonteCarlo!$B$8)*_xlfn.NORM.S.DIST(((LN(Y$1/$A23)+(MonteCarlo!$B$9+(MonteCarlo!$B$7^2)/2)*MonteCarlo!$B$8)/(MonteCarlo!$B$7*SQRT(MonteCarlo!$B$8)))-(MonteCarlo!$B$7*SQRT(MonteCarlo!$B$8)),TRUE),$A23*EXP(-MonteCarlo!$B$9*MonteCarlo!$B$8)*_xlfn.NORM.S.DIST(-(((LN(Y$1/$A23)+(MonteCarlo!$B$9+(MonteCarlo!$B$7^2)/2)*MonteCarlo!$B$8)/(MonteCarlo!$B$7*SQRT(MonteCarlo!$B$8)))-(MonteCarlo!$B$7*SQRT(MonteCarlo!$B$8))),TRUE)-Y$1*_xlfn.NORM.S.DIST(-((LN(Y$1/$A23)+(MonteCarlo!$B$9+(MonteCarlo!$B$7^2)/2)*MonteCarlo!$B$8)/(MonteCarlo!$B$7*SQRT(MonteCarlo!$B$8))),TRUE)),"")</f>
        <v/>
      </c>
      <c r="Z23" t="str">
        <f ca="1">IFERROR(IF(OR(MonteCarlo!$B$4="C",MonteCarlo!$B$4="c"),Z$1*_xlfn.NORM.S.DIST((LN(Z$1/$A23)+(MonteCarlo!$B$9+(MonteCarlo!$B$7^2)/2)*MonteCarlo!$B$8)/(MonteCarlo!$B$7*SQRT(MonteCarlo!$B$8)),TRUE)-$A23*EXP(-MonteCarlo!$B$9*MonteCarlo!$B$8)*_xlfn.NORM.S.DIST(((LN(Z$1/$A23)+(MonteCarlo!$B$9+(MonteCarlo!$B$7^2)/2)*MonteCarlo!$B$8)/(MonteCarlo!$B$7*SQRT(MonteCarlo!$B$8)))-(MonteCarlo!$B$7*SQRT(MonteCarlo!$B$8)),TRUE),$A23*EXP(-MonteCarlo!$B$9*MonteCarlo!$B$8)*_xlfn.NORM.S.DIST(-(((LN(Z$1/$A23)+(MonteCarlo!$B$9+(MonteCarlo!$B$7^2)/2)*MonteCarlo!$B$8)/(MonteCarlo!$B$7*SQRT(MonteCarlo!$B$8)))-(MonteCarlo!$B$7*SQRT(MonteCarlo!$B$8))),TRUE)-Z$1*_xlfn.NORM.S.DIST(-((LN(Z$1/$A23)+(MonteCarlo!$B$9+(MonteCarlo!$B$7^2)/2)*MonteCarlo!$B$8)/(MonteCarlo!$B$7*SQRT(MonteCarlo!$B$8))),TRUE)),"")</f>
        <v/>
      </c>
      <c r="AA23" t="str">
        <f ca="1">IFERROR(IF(OR(MonteCarlo!$B$4="C",MonteCarlo!$B$4="c"),AA$1*_xlfn.NORM.S.DIST((LN(AA$1/$A23)+(MonteCarlo!$B$9+(MonteCarlo!$B$7^2)/2)*MonteCarlo!$B$8)/(MonteCarlo!$B$7*SQRT(MonteCarlo!$B$8)),TRUE)-$A23*EXP(-MonteCarlo!$B$9*MonteCarlo!$B$8)*_xlfn.NORM.S.DIST(((LN(AA$1/$A23)+(MonteCarlo!$B$9+(MonteCarlo!$B$7^2)/2)*MonteCarlo!$B$8)/(MonteCarlo!$B$7*SQRT(MonteCarlo!$B$8)))-(MonteCarlo!$B$7*SQRT(MonteCarlo!$B$8)),TRUE),$A23*EXP(-MonteCarlo!$B$9*MonteCarlo!$B$8)*_xlfn.NORM.S.DIST(-(((LN(AA$1/$A23)+(MonteCarlo!$B$9+(MonteCarlo!$B$7^2)/2)*MonteCarlo!$B$8)/(MonteCarlo!$B$7*SQRT(MonteCarlo!$B$8)))-(MonteCarlo!$B$7*SQRT(MonteCarlo!$B$8))),TRUE)-AA$1*_xlfn.NORM.S.DIST(-((LN(AA$1/$A23)+(MonteCarlo!$B$9+(MonteCarlo!$B$7^2)/2)*MonteCarlo!$B$8)/(MonteCarlo!$B$7*SQRT(MonteCarlo!$B$8))),TRUE)),"")</f>
        <v/>
      </c>
      <c r="AB23" t="str">
        <f ca="1">IFERROR(IF(OR(MonteCarlo!$B$4="C",MonteCarlo!$B$4="c"),AB$1*_xlfn.NORM.S.DIST((LN(AB$1/$A23)+(MonteCarlo!$B$9+(MonteCarlo!$B$7^2)/2)*MonteCarlo!$B$8)/(MonteCarlo!$B$7*SQRT(MonteCarlo!$B$8)),TRUE)-$A23*EXP(-MonteCarlo!$B$9*MonteCarlo!$B$8)*_xlfn.NORM.S.DIST(((LN(AB$1/$A23)+(MonteCarlo!$B$9+(MonteCarlo!$B$7^2)/2)*MonteCarlo!$B$8)/(MonteCarlo!$B$7*SQRT(MonteCarlo!$B$8)))-(MonteCarlo!$B$7*SQRT(MonteCarlo!$B$8)),TRUE),$A23*EXP(-MonteCarlo!$B$9*MonteCarlo!$B$8)*_xlfn.NORM.S.DIST(-(((LN(AB$1/$A23)+(MonteCarlo!$B$9+(MonteCarlo!$B$7^2)/2)*MonteCarlo!$B$8)/(MonteCarlo!$B$7*SQRT(MonteCarlo!$B$8)))-(MonteCarlo!$B$7*SQRT(MonteCarlo!$B$8))),TRUE)-AB$1*_xlfn.NORM.S.DIST(-((LN(AB$1/$A23)+(MonteCarlo!$B$9+(MonteCarlo!$B$7^2)/2)*MonteCarlo!$B$8)/(MonteCarlo!$B$7*SQRT(MonteCarlo!$B$8))),TRUE)),"")</f>
        <v/>
      </c>
      <c r="AC23" t="str">
        <f ca="1">IFERROR(IF(OR(MonteCarlo!$B$4="C",MonteCarlo!$B$4="c"),AC$1*_xlfn.NORM.S.DIST((LN(AC$1/$A23)+(MonteCarlo!$B$9+(MonteCarlo!$B$7^2)/2)*MonteCarlo!$B$8)/(MonteCarlo!$B$7*SQRT(MonteCarlo!$B$8)),TRUE)-$A23*EXP(-MonteCarlo!$B$9*MonteCarlo!$B$8)*_xlfn.NORM.S.DIST(((LN(AC$1/$A23)+(MonteCarlo!$B$9+(MonteCarlo!$B$7^2)/2)*MonteCarlo!$B$8)/(MonteCarlo!$B$7*SQRT(MonteCarlo!$B$8)))-(MonteCarlo!$B$7*SQRT(MonteCarlo!$B$8)),TRUE),$A23*EXP(-MonteCarlo!$B$9*MonteCarlo!$B$8)*_xlfn.NORM.S.DIST(-(((LN(AC$1/$A23)+(MonteCarlo!$B$9+(MonteCarlo!$B$7^2)/2)*MonteCarlo!$B$8)/(MonteCarlo!$B$7*SQRT(MonteCarlo!$B$8)))-(MonteCarlo!$B$7*SQRT(MonteCarlo!$B$8))),TRUE)-AC$1*_xlfn.NORM.S.DIST(-((LN(AC$1/$A23)+(MonteCarlo!$B$9+(MonteCarlo!$B$7^2)/2)*MonteCarlo!$B$8)/(MonteCarlo!$B$7*SQRT(MonteCarlo!$B$8))),TRUE)),"")</f>
        <v/>
      </c>
      <c r="AD23" t="str">
        <f ca="1">IFERROR(IF(OR(MonteCarlo!$B$4="C",MonteCarlo!$B$4="c"),AD$1*_xlfn.NORM.S.DIST((LN(AD$1/$A23)+(MonteCarlo!$B$9+(MonteCarlo!$B$7^2)/2)*MonteCarlo!$B$8)/(MonteCarlo!$B$7*SQRT(MonteCarlo!$B$8)),TRUE)-$A23*EXP(-MonteCarlo!$B$9*MonteCarlo!$B$8)*_xlfn.NORM.S.DIST(((LN(AD$1/$A23)+(MonteCarlo!$B$9+(MonteCarlo!$B$7^2)/2)*MonteCarlo!$B$8)/(MonteCarlo!$B$7*SQRT(MonteCarlo!$B$8)))-(MonteCarlo!$B$7*SQRT(MonteCarlo!$B$8)),TRUE),$A23*EXP(-MonteCarlo!$B$9*MonteCarlo!$B$8)*_xlfn.NORM.S.DIST(-(((LN(AD$1/$A23)+(MonteCarlo!$B$9+(MonteCarlo!$B$7^2)/2)*MonteCarlo!$B$8)/(MonteCarlo!$B$7*SQRT(MonteCarlo!$B$8)))-(MonteCarlo!$B$7*SQRT(MonteCarlo!$B$8))),TRUE)-AD$1*_xlfn.NORM.S.DIST(-((LN(AD$1/$A23)+(MonteCarlo!$B$9+(MonteCarlo!$B$7^2)/2)*MonteCarlo!$B$8)/(MonteCarlo!$B$7*SQRT(MonteCarlo!$B$8))),TRUE)),"")</f>
        <v/>
      </c>
      <c r="AE23" t="str">
        <f ca="1">IFERROR(IF(OR(MonteCarlo!$B$4="C",MonteCarlo!$B$4="c"),AE$1*_xlfn.NORM.S.DIST((LN(AE$1/$A23)+(MonteCarlo!$B$9+(MonteCarlo!$B$7^2)/2)*MonteCarlo!$B$8)/(MonteCarlo!$B$7*SQRT(MonteCarlo!$B$8)),TRUE)-$A23*EXP(-MonteCarlo!$B$9*MonteCarlo!$B$8)*_xlfn.NORM.S.DIST(((LN(AE$1/$A23)+(MonteCarlo!$B$9+(MonteCarlo!$B$7^2)/2)*MonteCarlo!$B$8)/(MonteCarlo!$B$7*SQRT(MonteCarlo!$B$8)))-(MonteCarlo!$B$7*SQRT(MonteCarlo!$B$8)),TRUE),$A23*EXP(-MonteCarlo!$B$9*MonteCarlo!$B$8)*_xlfn.NORM.S.DIST(-(((LN(AE$1/$A23)+(MonteCarlo!$B$9+(MonteCarlo!$B$7^2)/2)*MonteCarlo!$B$8)/(MonteCarlo!$B$7*SQRT(MonteCarlo!$B$8)))-(MonteCarlo!$B$7*SQRT(MonteCarlo!$B$8))),TRUE)-AE$1*_xlfn.NORM.S.DIST(-((LN(AE$1/$A23)+(MonteCarlo!$B$9+(MonteCarlo!$B$7^2)/2)*MonteCarlo!$B$8)/(MonteCarlo!$B$7*SQRT(MonteCarlo!$B$8))),TRUE)),"")</f>
        <v/>
      </c>
      <c r="AF23" t="str">
        <f ca="1">IFERROR(IF(OR(MonteCarlo!$B$4="C",MonteCarlo!$B$4="c"),AF$1*_xlfn.NORM.S.DIST((LN(AF$1/$A23)+(MonteCarlo!$B$9+(MonteCarlo!$B$7^2)/2)*MonteCarlo!$B$8)/(MonteCarlo!$B$7*SQRT(MonteCarlo!$B$8)),TRUE)-$A23*EXP(-MonteCarlo!$B$9*MonteCarlo!$B$8)*_xlfn.NORM.S.DIST(((LN(AF$1/$A23)+(MonteCarlo!$B$9+(MonteCarlo!$B$7^2)/2)*MonteCarlo!$B$8)/(MonteCarlo!$B$7*SQRT(MonteCarlo!$B$8)))-(MonteCarlo!$B$7*SQRT(MonteCarlo!$B$8)),TRUE),$A23*EXP(-MonteCarlo!$B$9*MonteCarlo!$B$8)*_xlfn.NORM.S.DIST(-(((LN(AF$1/$A23)+(MonteCarlo!$B$9+(MonteCarlo!$B$7^2)/2)*MonteCarlo!$B$8)/(MonteCarlo!$B$7*SQRT(MonteCarlo!$B$8)))-(MonteCarlo!$B$7*SQRT(MonteCarlo!$B$8))),TRUE)-AF$1*_xlfn.NORM.S.DIST(-((LN(AF$1/$A23)+(MonteCarlo!$B$9+(MonteCarlo!$B$7^2)/2)*MonteCarlo!$B$8)/(MonteCarlo!$B$7*SQRT(MonteCarlo!$B$8))),TRUE)),"")</f>
        <v/>
      </c>
    </row>
    <row r="24" spans="2:32" x14ac:dyDescent="0.25">
      <c r="B24" t="str">
        <f ca="1">IFERROR(IF(OR(MonteCarlo!$B$4="C",MonteCarlo!$B$4="c"),B$1*_xlfn.NORM.S.DIST((LN(B$1/$A24)+(MonteCarlo!$B$9+(MonteCarlo!$B$7^2)/2)*MonteCarlo!$B$8)/(MonteCarlo!$B$7*SQRT(MonteCarlo!$B$8)),TRUE)-$A24*EXP(-MonteCarlo!$B$9*MonteCarlo!$B$8)*_xlfn.NORM.S.DIST(((LN(B$1/$A24)+(MonteCarlo!$B$9+(MonteCarlo!$B$7^2)/2)*MonteCarlo!$B$8)/(MonteCarlo!$B$7*SQRT(MonteCarlo!$B$8)))-(MonteCarlo!$B$7*SQRT(MonteCarlo!$B$8)),TRUE),$A24*EXP(-MonteCarlo!$B$9*MonteCarlo!$B$8)*_xlfn.NORM.S.DIST(-(((LN(B$1/$A24)+(MonteCarlo!$B$9+(MonteCarlo!$B$7^2)/2)*MonteCarlo!$B$8)/(MonteCarlo!$B$7*SQRT(MonteCarlo!$B$8)))-(MonteCarlo!$B$7*SQRT(MonteCarlo!$B$8))),TRUE)-B$1*_xlfn.NORM.S.DIST(-((LN(B$1/$A24)+(MonteCarlo!$B$9+(MonteCarlo!$B$7^2)/2)*MonteCarlo!$B$8)/(MonteCarlo!$B$7*SQRT(MonteCarlo!$B$8))),TRUE)),"")</f>
        <v/>
      </c>
      <c r="C24" t="str">
        <f ca="1">IFERROR(IF(OR(MonteCarlo!$B$4="C",MonteCarlo!$B$4="c"),C$1*_xlfn.NORM.S.DIST((LN(C$1/$A24)+(MonteCarlo!$B$9+(MonteCarlo!$B$7^2)/2)*MonteCarlo!$B$8)/(MonteCarlo!$B$7*SQRT(MonteCarlo!$B$8)),TRUE)-$A24*EXP(-MonteCarlo!$B$9*MonteCarlo!$B$8)*_xlfn.NORM.S.DIST(((LN(C$1/$A24)+(MonteCarlo!$B$9+(MonteCarlo!$B$7^2)/2)*MonteCarlo!$B$8)/(MonteCarlo!$B$7*SQRT(MonteCarlo!$B$8)))-(MonteCarlo!$B$7*SQRT(MonteCarlo!$B$8)),TRUE),$A24*EXP(-MonteCarlo!$B$9*MonteCarlo!$B$8)*_xlfn.NORM.S.DIST(-(((LN(C$1/$A24)+(MonteCarlo!$B$9+(MonteCarlo!$B$7^2)/2)*MonteCarlo!$B$8)/(MonteCarlo!$B$7*SQRT(MonteCarlo!$B$8)))-(MonteCarlo!$B$7*SQRT(MonteCarlo!$B$8))),TRUE)-C$1*_xlfn.NORM.S.DIST(-((LN(C$1/$A24)+(MonteCarlo!$B$9+(MonteCarlo!$B$7^2)/2)*MonteCarlo!$B$8)/(MonteCarlo!$B$7*SQRT(MonteCarlo!$B$8))),TRUE)),"")</f>
        <v/>
      </c>
      <c r="D24" t="str">
        <f ca="1">IFERROR(IF(OR(MonteCarlo!$B$4="C",MonteCarlo!$B$4="c"),D$1*_xlfn.NORM.S.DIST((LN(D$1/$A24)+(MonteCarlo!$B$9+(MonteCarlo!$B$7^2)/2)*MonteCarlo!$B$8)/(MonteCarlo!$B$7*SQRT(MonteCarlo!$B$8)),TRUE)-$A24*EXP(-MonteCarlo!$B$9*MonteCarlo!$B$8)*_xlfn.NORM.S.DIST(((LN(D$1/$A24)+(MonteCarlo!$B$9+(MonteCarlo!$B$7^2)/2)*MonteCarlo!$B$8)/(MonteCarlo!$B$7*SQRT(MonteCarlo!$B$8)))-(MonteCarlo!$B$7*SQRT(MonteCarlo!$B$8)),TRUE),$A24*EXP(-MonteCarlo!$B$9*MonteCarlo!$B$8)*_xlfn.NORM.S.DIST(-(((LN(D$1/$A24)+(MonteCarlo!$B$9+(MonteCarlo!$B$7^2)/2)*MonteCarlo!$B$8)/(MonteCarlo!$B$7*SQRT(MonteCarlo!$B$8)))-(MonteCarlo!$B$7*SQRT(MonteCarlo!$B$8))),TRUE)-D$1*_xlfn.NORM.S.DIST(-((LN(D$1/$A24)+(MonteCarlo!$B$9+(MonteCarlo!$B$7^2)/2)*MonteCarlo!$B$8)/(MonteCarlo!$B$7*SQRT(MonteCarlo!$B$8))),TRUE)),"")</f>
        <v/>
      </c>
      <c r="E24" t="str">
        <f ca="1">IFERROR(IF(OR(MonteCarlo!$B$4="C",MonteCarlo!$B$4="c"),E$1*_xlfn.NORM.S.DIST((LN(E$1/$A24)+(MonteCarlo!$B$9+(MonteCarlo!$B$7^2)/2)*MonteCarlo!$B$8)/(MonteCarlo!$B$7*SQRT(MonteCarlo!$B$8)),TRUE)-$A24*EXP(-MonteCarlo!$B$9*MonteCarlo!$B$8)*_xlfn.NORM.S.DIST(((LN(E$1/$A24)+(MonteCarlo!$B$9+(MonteCarlo!$B$7^2)/2)*MonteCarlo!$B$8)/(MonteCarlo!$B$7*SQRT(MonteCarlo!$B$8)))-(MonteCarlo!$B$7*SQRT(MonteCarlo!$B$8)),TRUE),$A24*EXP(-MonteCarlo!$B$9*MonteCarlo!$B$8)*_xlfn.NORM.S.DIST(-(((LN(E$1/$A24)+(MonteCarlo!$B$9+(MonteCarlo!$B$7^2)/2)*MonteCarlo!$B$8)/(MonteCarlo!$B$7*SQRT(MonteCarlo!$B$8)))-(MonteCarlo!$B$7*SQRT(MonteCarlo!$B$8))),TRUE)-E$1*_xlfn.NORM.S.DIST(-((LN(E$1/$A24)+(MonteCarlo!$B$9+(MonteCarlo!$B$7^2)/2)*MonteCarlo!$B$8)/(MonteCarlo!$B$7*SQRT(MonteCarlo!$B$8))),TRUE)),"")</f>
        <v/>
      </c>
      <c r="F24" t="str">
        <f ca="1">IFERROR(IF(OR(MonteCarlo!$B$4="C",MonteCarlo!$B$4="c"),F$1*_xlfn.NORM.S.DIST((LN(F$1/$A24)+(MonteCarlo!$B$9+(MonteCarlo!$B$7^2)/2)*MonteCarlo!$B$8)/(MonteCarlo!$B$7*SQRT(MonteCarlo!$B$8)),TRUE)-$A24*EXP(-MonteCarlo!$B$9*MonteCarlo!$B$8)*_xlfn.NORM.S.DIST(((LN(F$1/$A24)+(MonteCarlo!$B$9+(MonteCarlo!$B$7^2)/2)*MonteCarlo!$B$8)/(MonteCarlo!$B$7*SQRT(MonteCarlo!$B$8)))-(MonteCarlo!$B$7*SQRT(MonteCarlo!$B$8)),TRUE),$A24*EXP(-MonteCarlo!$B$9*MonteCarlo!$B$8)*_xlfn.NORM.S.DIST(-(((LN(F$1/$A24)+(MonteCarlo!$B$9+(MonteCarlo!$B$7^2)/2)*MonteCarlo!$B$8)/(MonteCarlo!$B$7*SQRT(MonteCarlo!$B$8)))-(MonteCarlo!$B$7*SQRT(MonteCarlo!$B$8))),TRUE)-F$1*_xlfn.NORM.S.DIST(-((LN(F$1/$A24)+(MonteCarlo!$B$9+(MonteCarlo!$B$7^2)/2)*MonteCarlo!$B$8)/(MonteCarlo!$B$7*SQRT(MonteCarlo!$B$8))),TRUE)),"")</f>
        <v/>
      </c>
      <c r="G24" t="str">
        <f ca="1">IFERROR(IF(OR(MonteCarlo!$B$4="C",MonteCarlo!$B$4="c"),G$1*_xlfn.NORM.S.DIST((LN(G$1/$A24)+(MonteCarlo!$B$9+(MonteCarlo!$B$7^2)/2)*MonteCarlo!$B$8)/(MonteCarlo!$B$7*SQRT(MonteCarlo!$B$8)),TRUE)-$A24*EXP(-MonteCarlo!$B$9*MonteCarlo!$B$8)*_xlfn.NORM.S.DIST(((LN(G$1/$A24)+(MonteCarlo!$B$9+(MonteCarlo!$B$7^2)/2)*MonteCarlo!$B$8)/(MonteCarlo!$B$7*SQRT(MonteCarlo!$B$8)))-(MonteCarlo!$B$7*SQRT(MonteCarlo!$B$8)),TRUE),$A24*EXP(-MonteCarlo!$B$9*MonteCarlo!$B$8)*_xlfn.NORM.S.DIST(-(((LN(G$1/$A24)+(MonteCarlo!$B$9+(MonteCarlo!$B$7^2)/2)*MonteCarlo!$B$8)/(MonteCarlo!$B$7*SQRT(MonteCarlo!$B$8)))-(MonteCarlo!$B$7*SQRT(MonteCarlo!$B$8))),TRUE)-G$1*_xlfn.NORM.S.DIST(-((LN(G$1/$A24)+(MonteCarlo!$B$9+(MonteCarlo!$B$7^2)/2)*MonteCarlo!$B$8)/(MonteCarlo!$B$7*SQRT(MonteCarlo!$B$8))),TRUE)),"")</f>
        <v/>
      </c>
      <c r="H24" t="str">
        <f ca="1">IFERROR(IF(OR(MonteCarlo!$B$4="C",MonteCarlo!$B$4="c"),H$1*_xlfn.NORM.S.DIST((LN(H$1/$A24)+(MonteCarlo!$B$9+(MonteCarlo!$B$7^2)/2)*MonteCarlo!$B$8)/(MonteCarlo!$B$7*SQRT(MonteCarlo!$B$8)),TRUE)-$A24*EXP(-MonteCarlo!$B$9*MonteCarlo!$B$8)*_xlfn.NORM.S.DIST(((LN(H$1/$A24)+(MonteCarlo!$B$9+(MonteCarlo!$B$7^2)/2)*MonteCarlo!$B$8)/(MonteCarlo!$B$7*SQRT(MonteCarlo!$B$8)))-(MonteCarlo!$B$7*SQRT(MonteCarlo!$B$8)),TRUE),$A24*EXP(-MonteCarlo!$B$9*MonteCarlo!$B$8)*_xlfn.NORM.S.DIST(-(((LN(H$1/$A24)+(MonteCarlo!$B$9+(MonteCarlo!$B$7^2)/2)*MonteCarlo!$B$8)/(MonteCarlo!$B$7*SQRT(MonteCarlo!$B$8)))-(MonteCarlo!$B$7*SQRT(MonteCarlo!$B$8))),TRUE)-H$1*_xlfn.NORM.S.DIST(-((LN(H$1/$A24)+(MonteCarlo!$B$9+(MonteCarlo!$B$7^2)/2)*MonteCarlo!$B$8)/(MonteCarlo!$B$7*SQRT(MonteCarlo!$B$8))),TRUE)),"")</f>
        <v/>
      </c>
      <c r="I24" t="str">
        <f ca="1">IFERROR(IF(OR(MonteCarlo!$B$4="C",MonteCarlo!$B$4="c"),I$1*_xlfn.NORM.S.DIST((LN(I$1/$A24)+(MonteCarlo!$B$9+(MonteCarlo!$B$7^2)/2)*MonteCarlo!$B$8)/(MonteCarlo!$B$7*SQRT(MonteCarlo!$B$8)),TRUE)-$A24*EXP(-MonteCarlo!$B$9*MonteCarlo!$B$8)*_xlfn.NORM.S.DIST(((LN(I$1/$A24)+(MonteCarlo!$B$9+(MonteCarlo!$B$7^2)/2)*MonteCarlo!$B$8)/(MonteCarlo!$B$7*SQRT(MonteCarlo!$B$8)))-(MonteCarlo!$B$7*SQRT(MonteCarlo!$B$8)),TRUE),$A24*EXP(-MonteCarlo!$B$9*MonteCarlo!$B$8)*_xlfn.NORM.S.DIST(-(((LN(I$1/$A24)+(MonteCarlo!$B$9+(MonteCarlo!$B$7^2)/2)*MonteCarlo!$B$8)/(MonteCarlo!$B$7*SQRT(MonteCarlo!$B$8)))-(MonteCarlo!$B$7*SQRT(MonteCarlo!$B$8))),TRUE)-I$1*_xlfn.NORM.S.DIST(-((LN(I$1/$A24)+(MonteCarlo!$B$9+(MonteCarlo!$B$7^2)/2)*MonteCarlo!$B$8)/(MonteCarlo!$B$7*SQRT(MonteCarlo!$B$8))),TRUE)),"")</f>
        <v/>
      </c>
      <c r="J24" t="str">
        <f ca="1">IFERROR(IF(OR(MonteCarlo!$B$4="C",MonteCarlo!$B$4="c"),J$1*_xlfn.NORM.S.DIST((LN(J$1/$A24)+(MonteCarlo!$B$9+(MonteCarlo!$B$7^2)/2)*MonteCarlo!$B$8)/(MonteCarlo!$B$7*SQRT(MonteCarlo!$B$8)),TRUE)-$A24*EXP(-MonteCarlo!$B$9*MonteCarlo!$B$8)*_xlfn.NORM.S.DIST(((LN(J$1/$A24)+(MonteCarlo!$B$9+(MonteCarlo!$B$7^2)/2)*MonteCarlo!$B$8)/(MonteCarlo!$B$7*SQRT(MonteCarlo!$B$8)))-(MonteCarlo!$B$7*SQRT(MonteCarlo!$B$8)),TRUE),$A24*EXP(-MonteCarlo!$B$9*MonteCarlo!$B$8)*_xlfn.NORM.S.DIST(-(((LN(J$1/$A24)+(MonteCarlo!$B$9+(MonteCarlo!$B$7^2)/2)*MonteCarlo!$B$8)/(MonteCarlo!$B$7*SQRT(MonteCarlo!$B$8)))-(MonteCarlo!$B$7*SQRT(MonteCarlo!$B$8))),TRUE)-J$1*_xlfn.NORM.S.DIST(-((LN(J$1/$A24)+(MonteCarlo!$B$9+(MonteCarlo!$B$7^2)/2)*MonteCarlo!$B$8)/(MonteCarlo!$B$7*SQRT(MonteCarlo!$B$8))),TRUE)),"")</f>
        <v/>
      </c>
      <c r="K24" t="str">
        <f ca="1">IFERROR(IF(OR(MonteCarlo!$B$4="C",MonteCarlo!$B$4="c"),K$1*_xlfn.NORM.S.DIST((LN(K$1/$A24)+(MonteCarlo!$B$9+(MonteCarlo!$B$7^2)/2)*MonteCarlo!$B$8)/(MonteCarlo!$B$7*SQRT(MonteCarlo!$B$8)),TRUE)-$A24*EXP(-MonteCarlo!$B$9*MonteCarlo!$B$8)*_xlfn.NORM.S.DIST(((LN(K$1/$A24)+(MonteCarlo!$B$9+(MonteCarlo!$B$7^2)/2)*MonteCarlo!$B$8)/(MonteCarlo!$B$7*SQRT(MonteCarlo!$B$8)))-(MonteCarlo!$B$7*SQRT(MonteCarlo!$B$8)),TRUE),$A24*EXP(-MonteCarlo!$B$9*MonteCarlo!$B$8)*_xlfn.NORM.S.DIST(-(((LN(K$1/$A24)+(MonteCarlo!$B$9+(MonteCarlo!$B$7^2)/2)*MonteCarlo!$B$8)/(MonteCarlo!$B$7*SQRT(MonteCarlo!$B$8)))-(MonteCarlo!$B$7*SQRT(MonteCarlo!$B$8))),TRUE)-K$1*_xlfn.NORM.S.DIST(-((LN(K$1/$A24)+(MonteCarlo!$B$9+(MonteCarlo!$B$7^2)/2)*MonteCarlo!$B$8)/(MonteCarlo!$B$7*SQRT(MonteCarlo!$B$8))),TRUE)),"")</f>
        <v/>
      </c>
      <c r="L24" t="str">
        <f ca="1">IFERROR(IF(OR(MonteCarlo!$B$4="C",MonteCarlo!$B$4="c"),L$1*_xlfn.NORM.S.DIST((LN(L$1/$A24)+(MonteCarlo!$B$9+(MonteCarlo!$B$7^2)/2)*MonteCarlo!$B$8)/(MonteCarlo!$B$7*SQRT(MonteCarlo!$B$8)),TRUE)-$A24*EXP(-MonteCarlo!$B$9*MonteCarlo!$B$8)*_xlfn.NORM.S.DIST(((LN(L$1/$A24)+(MonteCarlo!$B$9+(MonteCarlo!$B$7^2)/2)*MonteCarlo!$B$8)/(MonteCarlo!$B$7*SQRT(MonteCarlo!$B$8)))-(MonteCarlo!$B$7*SQRT(MonteCarlo!$B$8)),TRUE),$A24*EXP(-MonteCarlo!$B$9*MonteCarlo!$B$8)*_xlfn.NORM.S.DIST(-(((LN(L$1/$A24)+(MonteCarlo!$B$9+(MonteCarlo!$B$7^2)/2)*MonteCarlo!$B$8)/(MonteCarlo!$B$7*SQRT(MonteCarlo!$B$8)))-(MonteCarlo!$B$7*SQRT(MonteCarlo!$B$8))),TRUE)-L$1*_xlfn.NORM.S.DIST(-((LN(L$1/$A24)+(MonteCarlo!$B$9+(MonteCarlo!$B$7^2)/2)*MonteCarlo!$B$8)/(MonteCarlo!$B$7*SQRT(MonteCarlo!$B$8))),TRUE)),"")</f>
        <v/>
      </c>
      <c r="M24" t="str">
        <f ca="1">IFERROR(IF(OR(MonteCarlo!$B$4="C",MonteCarlo!$B$4="c"),M$1*_xlfn.NORM.S.DIST((LN(M$1/$A24)+(MonteCarlo!$B$9+(MonteCarlo!$B$7^2)/2)*MonteCarlo!$B$8)/(MonteCarlo!$B$7*SQRT(MonteCarlo!$B$8)),TRUE)-$A24*EXP(-MonteCarlo!$B$9*MonteCarlo!$B$8)*_xlfn.NORM.S.DIST(((LN(M$1/$A24)+(MonteCarlo!$B$9+(MonteCarlo!$B$7^2)/2)*MonteCarlo!$B$8)/(MonteCarlo!$B$7*SQRT(MonteCarlo!$B$8)))-(MonteCarlo!$B$7*SQRT(MonteCarlo!$B$8)),TRUE),$A24*EXP(-MonteCarlo!$B$9*MonteCarlo!$B$8)*_xlfn.NORM.S.DIST(-(((LN(M$1/$A24)+(MonteCarlo!$B$9+(MonteCarlo!$B$7^2)/2)*MonteCarlo!$B$8)/(MonteCarlo!$B$7*SQRT(MonteCarlo!$B$8)))-(MonteCarlo!$B$7*SQRT(MonteCarlo!$B$8))),TRUE)-M$1*_xlfn.NORM.S.DIST(-((LN(M$1/$A24)+(MonteCarlo!$B$9+(MonteCarlo!$B$7^2)/2)*MonteCarlo!$B$8)/(MonteCarlo!$B$7*SQRT(MonteCarlo!$B$8))),TRUE)),"")</f>
        <v/>
      </c>
      <c r="N24" t="str">
        <f ca="1">IFERROR(IF(OR(MonteCarlo!$B$4="C",MonteCarlo!$B$4="c"),N$1*_xlfn.NORM.S.DIST((LN(N$1/$A24)+(MonteCarlo!$B$9+(MonteCarlo!$B$7^2)/2)*MonteCarlo!$B$8)/(MonteCarlo!$B$7*SQRT(MonteCarlo!$B$8)),TRUE)-$A24*EXP(-MonteCarlo!$B$9*MonteCarlo!$B$8)*_xlfn.NORM.S.DIST(((LN(N$1/$A24)+(MonteCarlo!$B$9+(MonteCarlo!$B$7^2)/2)*MonteCarlo!$B$8)/(MonteCarlo!$B$7*SQRT(MonteCarlo!$B$8)))-(MonteCarlo!$B$7*SQRT(MonteCarlo!$B$8)),TRUE),$A24*EXP(-MonteCarlo!$B$9*MonteCarlo!$B$8)*_xlfn.NORM.S.DIST(-(((LN(N$1/$A24)+(MonteCarlo!$B$9+(MonteCarlo!$B$7^2)/2)*MonteCarlo!$B$8)/(MonteCarlo!$B$7*SQRT(MonteCarlo!$B$8)))-(MonteCarlo!$B$7*SQRT(MonteCarlo!$B$8))),TRUE)-N$1*_xlfn.NORM.S.DIST(-((LN(N$1/$A24)+(MonteCarlo!$B$9+(MonteCarlo!$B$7^2)/2)*MonteCarlo!$B$8)/(MonteCarlo!$B$7*SQRT(MonteCarlo!$B$8))),TRUE)),"")</f>
        <v/>
      </c>
      <c r="O24" t="str">
        <f ca="1">IFERROR(IF(OR(MonteCarlo!$B$4="C",MonteCarlo!$B$4="c"),O$1*_xlfn.NORM.S.DIST((LN(O$1/$A24)+(MonteCarlo!$B$9+(MonteCarlo!$B$7^2)/2)*MonteCarlo!$B$8)/(MonteCarlo!$B$7*SQRT(MonteCarlo!$B$8)),TRUE)-$A24*EXP(-MonteCarlo!$B$9*MonteCarlo!$B$8)*_xlfn.NORM.S.DIST(((LN(O$1/$A24)+(MonteCarlo!$B$9+(MonteCarlo!$B$7^2)/2)*MonteCarlo!$B$8)/(MonteCarlo!$B$7*SQRT(MonteCarlo!$B$8)))-(MonteCarlo!$B$7*SQRT(MonteCarlo!$B$8)),TRUE),$A24*EXP(-MonteCarlo!$B$9*MonteCarlo!$B$8)*_xlfn.NORM.S.DIST(-(((LN(O$1/$A24)+(MonteCarlo!$B$9+(MonteCarlo!$B$7^2)/2)*MonteCarlo!$B$8)/(MonteCarlo!$B$7*SQRT(MonteCarlo!$B$8)))-(MonteCarlo!$B$7*SQRT(MonteCarlo!$B$8))),TRUE)-O$1*_xlfn.NORM.S.DIST(-((LN(O$1/$A24)+(MonteCarlo!$B$9+(MonteCarlo!$B$7^2)/2)*MonteCarlo!$B$8)/(MonteCarlo!$B$7*SQRT(MonteCarlo!$B$8))),TRUE)),"")</f>
        <v/>
      </c>
      <c r="P24" t="str">
        <f ca="1">IFERROR(IF(OR(MonteCarlo!$B$4="C",MonteCarlo!$B$4="c"),P$1*_xlfn.NORM.S.DIST((LN(P$1/$A24)+(MonteCarlo!$B$9+(MonteCarlo!$B$7^2)/2)*MonteCarlo!$B$8)/(MonteCarlo!$B$7*SQRT(MonteCarlo!$B$8)),TRUE)-$A24*EXP(-MonteCarlo!$B$9*MonteCarlo!$B$8)*_xlfn.NORM.S.DIST(((LN(P$1/$A24)+(MonteCarlo!$B$9+(MonteCarlo!$B$7^2)/2)*MonteCarlo!$B$8)/(MonteCarlo!$B$7*SQRT(MonteCarlo!$B$8)))-(MonteCarlo!$B$7*SQRT(MonteCarlo!$B$8)),TRUE),$A24*EXP(-MonteCarlo!$B$9*MonteCarlo!$B$8)*_xlfn.NORM.S.DIST(-(((LN(P$1/$A24)+(MonteCarlo!$B$9+(MonteCarlo!$B$7^2)/2)*MonteCarlo!$B$8)/(MonteCarlo!$B$7*SQRT(MonteCarlo!$B$8)))-(MonteCarlo!$B$7*SQRT(MonteCarlo!$B$8))),TRUE)-P$1*_xlfn.NORM.S.DIST(-((LN(P$1/$A24)+(MonteCarlo!$B$9+(MonteCarlo!$B$7^2)/2)*MonteCarlo!$B$8)/(MonteCarlo!$B$7*SQRT(MonteCarlo!$B$8))),TRUE)),"")</f>
        <v/>
      </c>
      <c r="Q24" t="str">
        <f ca="1">IFERROR(IF(OR(MonteCarlo!$B$4="C",MonteCarlo!$B$4="c"),Q$1*_xlfn.NORM.S.DIST((LN(Q$1/$A24)+(MonteCarlo!$B$9+(MonteCarlo!$B$7^2)/2)*MonteCarlo!$B$8)/(MonteCarlo!$B$7*SQRT(MonteCarlo!$B$8)),TRUE)-$A24*EXP(-MonteCarlo!$B$9*MonteCarlo!$B$8)*_xlfn.NORM.S.DIST(((LN(Q$1/$A24)+(MonteCarlo!$B$9+(MonteCarlo!$B$7^2)/2)*MonteCarlo!$B$8)/(MonteCarlo!$B$7*SQRT(MonteCarlo!$B$8)))-(MonteCarlo!$B$7*SQRT(MonteCarlo!$B$8)),TRUE),$A24*EXP(-MonteCarlo!$B$9*MonteCarlo!$B$8)*_xlfn.NORM.S.DIST(-(((LN(Q$1/$A24)+(MonteCarlo!$B$9+(MonteCarlo!$B$7^2)/2)*MonteCarlo!$B$8)/(MonteCarlo!$B$7*SQRT(MonteCarlo!$B$8)))-(MonteCarlo!$B$7*SQRT(MonteCarlo!$B$8))),TRUE)-Q$1*_xlfn.NORM.S.DIST(-((LN(Q$1/$A24)+(MonteCarlo!$B$9+(MonteCarlo!$B$7^2)/2)*MonteCarlo!$B$8)/(MonteCarlo!$B$7*SQRT(MonteCarlo!$B$8))),TRUE)),"")</f>
        <v/>
      </c>
      <c r="R24" t="str">
        <f ca="1">IFERROR(IF(OR(MonteCarlo!$B$4="C",MonteCarlo!$B$4="c"),R$1*_xlfn.NORM.S.DIST((LN(R$1/$A24)+(MonteCarlo!$B$9+(MonteCarlo!$B$7^2)/2)*MonteCarlo!$B$8)/(MonteCarlo!$B$7*SQRT(MonteCarlo!$B$8)),TRUE)-$A24*EXP(-MonteCarlo!$B$9*MonteCarlo!$B$8)*_xlfn.NORM.S.DIST(((LN(R$1/$A24)+(MonteCarlo!$B$9+(MonteCarlo!$B$7^2)/2)*MonteCarlo!$B$8)/(MonteCarlo!$B$7*SQRT(MonteCarlo!$B$8)))-(MonteCarlo!$B$7*SQRT(MonteCarlo!$B$8)),TRUE),$A24*EXP(-MonteCarlo!$B$9*MonteCarlo!$B$8)*_xlfn.NORM.S.DIST(-(((LN(R$1/$A24)+(MonteCarlo!$B$9+(MonteCarlo!$B$7^2)/2)*MonteCarlo!$B$8)/(MonteCarlo!$B$7*SQRT(MonteCarlo!$B$8)))-(MonteCarlo!$B$7*SQRT(MonteCarlo!$B$8))),TRUE)-R$1*_xlfn.NORM.S.DIST(-((LN(R$1/$A24)+(MonteCarlo!$B$9+(MonteCarlo!$B$7^2)/2)*MonteCarlo!$B$8)/(MonteCarlo!$B$7*SQRT(MonteCarlo!$B$8))),TRUE)),"")</f>
        <v/>
      </c>
      <c r="S24" t="str">
        <f ca="1">IFERROR(IF(OR(MonteCarlo!$B$4="C",MonteCarlo!$B$4="c"),S$1*_xlfn.NORM.S.DIST((LN(S$1/$A24)+(MonteCarlo!$B$9+(MonteCarlo!$B$7^2)/2)*MonteCarlo!$B$8)/(MonteCarlo!$B$7*SQRT(MonteCarlo!$B$8)),TRUE)-$A24*EXP(-MonteCarlo!$B$9*MonteCarlo!$B$8)*_xlfn.NORM.S.DIST(((LN(S$1/$A24)+(MonteCarlo!$B$9+(MonteCarlo!$B$7^2)/2)*MonteCarlo!$B$8)/(MonteCarlo!$B$7*SQRT(MonteCarlo!$B$8)))-(MonteCarlo!$B$7*SQRT(MonteCarlo!$B$8)),TRUE),$A24*EXP(-MonteCarlo!$B$9*MonteCarlo!$B$8)*_xlfn.NORM.S.DIST(-(((LN(S$1/$A24)+(MonteCarlo!$B$9+(MonteCarlo!$B$7^2)/2)*MonteCarlo!$B$8)/(MonteCarlo!$B$7*SQRT(MonteCarlo!$B$8)))-(MonteCarlo!$B$7*SQRT(MonteCarlo!$B$8))),TRUE)-S$1*_xlfn.NORM.S.DIST(-((LN(S$1/$A24)+(MonteCarlo!$B$9+(MonteCarlo!$B$7^2)/2)*MonteCarlo!$B$8)/(MonteCarlo!$B$7*SQRT(MonteCarlo!$B$8))),TRUE)),"")</f>
        <v/>
      </c>
      <c r="T24" t="str">
        <f ca="1">IFERROR(IF(OR(MonteCarlo!$B$4="C",MonteCarlo!$B$4="c"),T$1*_xlfn.NORM.S.DIST((LN(T$1/$A24)+(MonteCarlo!$B$9+(MonteCarlo!$B$7^2)/2)*MonteCarlo!$B$8)/(MonteCarlo!$B$7*SQRT(MonteCarlo!$B$8)),TRUE)-$A24*EXP(-MonteCarlo!$B$9*MonteCarlo!$B$8)*_xlfn.NORM.S.DIST(((LN(T$1/$A24)+(MonteCarlo!$B$9+(MonteCarlo!$B$7^2)/2)*MonteCarlo!$B$8)/(MonteCarlo!$B$7*SQRT(MonteCarlo!$B$8)))-(MonteCarlo!$B$7*SQRT(MonteCarlo!$B$8)),TRUE),$A24*EXP(-MonteCarlo!$B$9*MonteCarlo!$B$8)*_xlfn.NORM.S.DIST(-(((LN(T$1/$A24)+(MonteCarlo!$B$9+(MonteCarlo!$B$7^2)/2)*MonteCarlo!$B$8)/(MonteCarlo!$B$7*SQRT(MonteCarlo!$B$8)))-(MonteCarlo!$B$7*SQRT(MonteCarlo!$B$8))),TRUE)-T$1*_xlfn.NORM.S.DIST(-((LN(T$1/$A24)+(MonteCarlo!$B$9+(MonteCarlo!$B$7^2)/2)*MonteCarlo!$B$8)/(MonteCarlo!$B$7*SQRT(MonteCarlo!$B$8))),TRUE)),"")</f>
        <v/>
      </c>
      <c r="U24" t="str">
        <f ca="1">IFERROR(IF(OR(MonteCarlo!$B$4="C",MonteCarlo!$B$4="c"),U$1*_xlfn.NORM.S.DIST((LN(U$1/$A24)+(MonteCarlo!$B$9+(MonteCarlo!$B$7^2)/2)*MonteCarlo!$B$8)/(MonteCarlo!$B$7*SQRT(MonteCarlo!$B$8)),TRUE)-$A24*EXP(-MonteCarlo!$B$9*MonteCarlo!$B$8)*_xlfn.NORM.S.DIST(((LN(U$1/$A24)+(MonteCarlo!$B$9+(MonteCarlo!$B$7^2)/2)*MonteCarlo!$B$8)/(MonteCarlo!$B$7*SQRT(MonteCarlo!$B$8)))-(MonteCarlo!$B$7*SQRT(MonteCarlo!$B$8)),TRUE),$A24*EXP(-MonteCarlo!$B$9*MonteCarlo!$B$8)*_xlfn.NORM.S.DIST(-(((LN(U$1/$A24)+(MonteCarlo!$B$9+(MonteCarlo!$B$7^2)/2)*MonteCarlo!$B$8)/(MonteCarlo!$B$7*SQRT(MonteCarlo!$B$8)))-(MonteCarlo!$B$7*SQRT(MonteCarlo!$B$8))),TRUE)-U$1*_xlfn.NORM.S.DIST(-((LN(U$1/$A24)+(MonteCarlo!$B$9+(MonteCarlo!$B$7^2)/2)*MonteCarlo!$B$8)/(MonteCarlo!$B$7*SQRT(MonteCarlo!$B$8))),TRUE)),"")</f>
        <v/>
      </c>
      <c r="V24" t="str">
        <f ca="1">IFERROR(IF(OR(MonteCarlo!$B$4="C",MonteCarlo!$B$4="c"),V$1*_xlfn.NORM.S.DIST((LN(V$1/$A24)+(MonteCarlo!$B$9+(MonteCarlo!$B$7^2)/2)*MonteCarlo!$B$8)/(MonteCarlo!$B$7*SQRT(MonteCarlo!$B$8)),TRUE)-$A24*EXP(-MonteCarlo!$B$9*MonteCarlo!$B$8)*_xlfn.NORM.S.DIST(((LN(V$1/$A24)+(MonteCarlo!$B$9+(MonteCarlo!$B$7^2)/2)*MonteCarlo!$B$8)/(MonteCarlo!$B$7*SQRT(MonteCarlo!$B$8)))-(MonteCarlo!$B$7*SQRT(MonteCarlo!$B$8)),TRUE),$A24*EXP(-MonteCarlo!$B$9*MonteCarlo!$B$8)*_xlfn.NORM.S.DIST(-(((LN(V$1/$A24)+(MonteCarlo!$B$9+(MonteCarlo!$B$7^2)/2)*MonteCarlo!$B$8)/(MonteCarlo!$B$7*SQRT(MonteCarlo!$B$8)))-(MonteCarlo!$B$7*SQRT(MonteCarlo!$B$8))),TRUE)-V$1*_xlfn.NORM.S.DIST(-((LN(V$1/$A24)+(MonteCarlo!$B$9+(MonteCarlo!$B$7^2)/2)*MonteCarlo!$B$8)/(MonteCarlo!$B$7*SQRT(MonteCarlo!$B$8))),TRUE)),"")</f>
        <v/>
      </c>
      <c r="W24" t="str">
        <f ca="1">IFERROR(IF(OR(MonteCarlo!$B$4="C",MonteCarlo!$B$4="c"),W$1*_xlfn.NORM.S.DIST((LN(W$1/$A24)+(MonteCarlo!$B$9+(MonteCarlo!$B$7^2)/2)*MonteCarlo!$B$8)/(MonteCarlo!$B$7*SQRT(MonteCarlo!$B$8)),TRUE)-$A24*EXP(-MonteCarlo!$B$9*MonteCarlo!$B$8)*_xlfn.NORM.S.DIST(((LN(W$1/$A24)+(MonteCarlo!$B$9+(MonteCarlo!$B$7^2)/2)*MonteCarlo!$B$8)/(MonteCarlo!$B$7*SQRT(MonteCarlo!$B$8)))-(MonteCarlo!$B$7*SQRT(MonteCarlo!$B$8)),TRUE),$A24*EXP(-MonteCarlo!$B$9*MonteCarlo!$B$8)*_xlfn.NORM.S.DIST(-(((LN(W$1/$A24)+(MonteCarlo!$B$9+(MonteCarlo!$B$7^2)/2)*MonteCarlo!$B$8)/(MonteCarlo!$B$7*SQRT(MonteCarlo!$B$8)))-(MonteCarlo!$B$7*SQRT(MonteCarlo!$B$8))),TRUE)-W$1*_xlfn.NORM.S.DIST(-((LN(W$1/$A24)+(MonteCarlo!$B$9+(MonteCarlo!$B$7^2)/2)*MonteCarlo!$B$8)/(MonteCarlo!$B$7*SQRT(MonteCarlo!$B$8))),TRUE)),"")</f>
        <v/>
      </c>
      <c r="X24" t="str">
        <f ca="1">IFERROR(IF(OR(MonteCarlo!$B$4="C",MonteCarlo!$B$4="c"),X$1*_xlfn.NORM.S.DIST((LN(X$1/$A24)+(MonteCarlo!$B$9+(MonteCarlo!$B$7^2)/2)*MonteCarlo!$B$8)/(MonteCarlo!$B$7*SQRT(MonteCarlo!$B$8)),TRUE)-$A24*EXP(-MonteCarlo!$B$9*MonteCarlo!$B$8)*_xlfn.NORM.S.DIST(((LN(X$1/$A24)+(MonteCarlo!$B$9+(MonteCarlo!$B$7^2)/2)*MonteCarlo!$B$8)/(MonteCarlo!$B$7*SQRT(MonteCarlo!$B$8)))-(MonteCarlo!$B$7*SQRT(MonteCarlo!$B$8)),TRUE),$A24*EXP(-MonteCarlo!$B$9*MonteCarlo!$B$8)*_xlfn.NORM.S.DIST(-(((LN(X$1/$A24)+(MonteCarlo!$B$9+(MonteCarlo!$B$7^2)/2)*MonteCarlo!$B$8)/(MonteCarlo!$B$7*SQRT(MonteCarlo!$B$8)))-(MonteCarlo!$B$7*SQRT(MonteCarlo!$B$8))),TRUE)-X$1*_xlfn.NORM.S.DIST(-((LN(X$1/$A24)+(MonteCarlo!$B$9+(MonteCarlo!$B$7^2)/2)*MonteCarlo!$B$8)/(MonteCarlo!$B$7*SQRT(MonteCarlo!$B$8))),TRUE)),"")</f>
        <v/>
      </c>
      <c r="Y24" t="str">
        <f ca="1">IFERROR(IF(OR(MonteCarlo!$B$4="C",MonteCarlo!$B$4="c"),Y$1*_xlfn.NORM.S.DIST((LN(Y$1/$A24)+(MonteCarlo!$B$9+(MonteCarlo!$B$7^2)/2)*MonteCarlo!$B$8)/(MonteCarlo!$B$7*SQRT(MonteCarlo!$B$8)),TRUE)-$A24*EXP(-MonteCarlo!$B$9*MonteCarlo!$B$8)*_xlfn.NORM.S.DIST(((LN(Y$1/$A24)+(MonteCarlo!$B$9+(MonteCarlo!$B$7^2)/2)*MonteCarlo!$B$8)/(MonteCarlo!$B$7*SQRT(MonteCarlo!$B$8)))-(MonteCarlo!$B$7*SQRT(MonteCarlo!$B$8)),TRUE),$A24*EXP(-MonteCarlo!$B$9*MonteCarlo!$B$8)*_xlfn.NORM.S.DIST(-(((LN(Y$1/$A24)+(MonteCarlo!$B$9+(MonteCarlo!$B$7^2)/2)*MonteCarlo!$B$8)/(MonteCarlo!$B$7*SQRT(MonteCarlo!$B$8)))-(MonteCarlo!$B$7*SQRT(MonteCarlo!$B$8))),TRUE)-Y$1*_xlfn.NORM.S.DIST(-((LN(Y$1/$A24)+(MonteCarlo!$B$9+(MonteCarlo!$B$7^2)/2)*MonteCarlo!$B$8)/(MonteCarlo!$B$7*SQRT(MonteCarlo!$B$8))),TRUE)),"")</f>
        <v/>
      </c>
      <c r="Z24" t="str">
        <f ca="1">IFERROR(IF(OR(MonteCarlo!$B$4="C",MonteCarlo!$B$4="c"),Z$1*_xlfn.NORM.S.DIST((LN(Z$1/$A24)+(MonteCarlo!$B$9+(MonteCarlo!$B$7^2)/2)*MonteCarlo!$B$8)/(MonteCarlo!$B$7*SQRT(MonteCarlo!$B$8)),TRUE)-$A24*EXP(-MonteCarlo!$B$9*MonteCarlo!$B$8)*_xlfn.NORM.S.DIST(((LN(Z$1/$A24)+(MonteCarlo!$B$9+(MonteCarlo!$B$7^2)/2)*MonteCarlo!$B$8)/(MonteCarlo!$B$7*SQRT(MonteCarlo!$B$8)))-(MonteCarlo!$B$7*SQRT(MonteCarlo!$B$8)),TRUE),$A24*EXP(-MonteCarlo!$B$9*MonteCarlo!$B$8)*_xlfn.NORM.S.DIST(-(((LN(Z$1/$A24)+(MonteCarlo!$B$9+(MonteCarlo!$B$7^2)/2)*MonteCarlo!$B$8)/(MonteCarlo!$B$7*SQRT(MonteCarlo!$B$8)))-(MonteCarlo!$B$7*SQRT(MonteCarlo!$B$8))),TRUE)-Z$1*_xlfn.NORM.S.DIST(-((LN(Z$1/$A24)+(MonteCarlo!$B$9+(MonteCarlo!$B$7^2)/2)*MonteCarlo!$B$8)/(MonteCarlo!$B$7*SQRT(MonteCarlo!$B$8))),TRUE)),"")</f>
        <v/>
      </c>
      <c r="AA24" t="str">
        <f ca="1">IFERROR(IF(OR(MonteCarlo!$B$4="C",MonteCarlo!$B$4="c"),AA$1*_xlfn.NORM.S.DIST((LN(AA$1/$A24)+(MonteCarlo!$B$9+(MonteCarlo!$B$7^2)/2)*MonteCarlo!$B$8)/(MonteCarlo!$B$7*SQRT(MonteCarlo!$B$8)),TRUE)-$A24*EXP(-MonteCarlo!$B$9*MonteCarlo!$B$8)*_xlfn.NORM.S.DIST(((LN(AA$1/$A24)+(MonteCarlo!$B$9+(MonteCarlo!$B$7^2)/2)*MonteCarlo!$B$8)/(MonteCarlo!$B$7*SQRT(MonteCarlo!$B$8)))-(MonteCarlo!$B$7*SQRT(MonteCarlo!$B$8)),TRUE),$A24*EXP(-MonteCarlo!$B$9*MonteCarlo!$B$8)*_xlfn.NORM.S.DIST(-(((LN(AA$1/$A24)+(MonteCarlo!$B$9+(MonteCarlo!$B$7^2)/2)*MonteCarlo!$B$8)/(MonteCarlo!$B$7*SQRT(MonteCarlo!$B$8)))-(MonteCarlo!$B$7*SQRT(MonteCarlo!$B$8))),TRUE)-AA$1*_xlfn.NORM.S.DIST(-((LN(AA$1/$A24)+(MonteCarlo!$B$9+(MonteCarlo!$B$7^2)/2)*MonteCarlo!$B$8)/(MonteCarlo!$B$7*SQRT(MonteCarlo!$B$8))),TRUE)),"")</f>
        <v/>
      </c>
      <c r="AB24" t="str">
        <f ca="1">IFERROR(IF(OR(MonteCarlo!$B$4="C",MonteCarlo!$B$4="c"),AB$1*_xlfn.NORM.S.DIST((LN(AB$1/$A24)+(MonteCarlo!$B$9+(MonteCarlo!$B$7^2)/2)*MonteCarlo!$B$8)/(MonteCarlo!$B$7*SQRT(MonteCarlo!$B$8)),TRUE)-$A24*EXP(-MonteCarlo!$B$9*MonteCarlo!$B$8)*_xlfn.NORM.S.DIST(((LN(AB$1/$A24)+(MonteCarlo!$B$9+(MonteCarlo!$B$7^2)/2)*MonteCarlo!$B$8)/(MonteCarlo!$B$7*SQRT(MonteCarlo!$B$8)))-(MonteCarlo!$B$7*SQRT(MonteCarlo!$B$8)),TRUE),$A24*EXP(-MonteCarlo!$B$9*MonteCarlo!$B$8)*_xlfn.NORM.S.DIST(-(((LN(AB$1/$A24)+(MonteCarlo!$B$9+(MonteCarlo!$B$7^2)/2)*MonteCarlo!$B$8)/(MonteCarlo!$B$7*SQRT(MonteCarlo!$B$8)))-(MonteCarlo!$B$7*SQRT(MonteCarlo!$B$8))),TRUE)-AB$1*_xlfn.NORM.S.DIST(-((LN(AB$1/$A24)+(MonteCarlo!$B$9+(MonteCarlo!$B$7^2)/2)*MonteCarlo!$B$8)/(MonteCarlo!$B$7*SQRT(MonteCarlo!$B$8))),TRUE)),"")</f>
        <v/>
      </c>
      <c r="AC24" t="str">
        <f ca="1">IFERROR(IF(OR(MonteCarlo!$B$4="C",MonteCarlo!$B$4="c"),AC$1*_xlfn.NORM.S.DIST((LN(AC$1/$A24)+(MonteCarlo!$B$9+(MonteCarlo!$B$7^2)/2)*MonteCarlo!$B$8)/(MonteCarlo!$B$7*SQRT(MonteCarlo!$B$8)),TRUE)-$A24*EXP(-MonteCarlo!$B$9*MonteCarlo!$B$8)*_xlfn.NORM.S.DIST(((LN(AC$1/$A24)+(MonteCarlo!$B$9+(MonteCarlo!$B$7^2)/2)*MonteCarlo!$B$8)/(MonteCarlo!$B$7*SQRT(MonteCarlo!$B$8)))-(MonteCarlo!$B$7*SQRT(MonteCarlo!$B$8)),TRUE),$A24*EXP(-MonteCarlo!$B$9*MonteCarlo!$B$8)*_xlfn.NORM.S.DIST(-(((LN(AC$1/$A24)+(MonteCarlo!$B$9+(MonteCarlo!$B$7^2)/2)*MonteCarlo!$B$8)/(MonteCarlo!$B$7*SQRT(MonteCarlo!$B$8)))-(MonteCarlo!$B$7*SQRT(MonteCarlo!$B$8))),TRUE)-AC$1*_xlfn.NORM.S.DIST(-((LN(AC$1/$A24)+(MonteCarlo!$B$9+(MonteCarlo!$B$7^2)/2)*MonteCarlo!$B$8)/(MonteCarlo!$B$7*SQRT(MonteCarlo!$B$8))),TRUE)),"")</f>
        <v/>
      </c>
      <c r="AD24" t="str">
        <f ca="1">IFERROR(IF(OR(MonteCarlo!$B$4="C",MonteCarlo!$B$4="c"),AD$1*_xlfn.NORM.S.DIST((LN(AD$1/$A24)+(MonteCarlo!$B$9+(MonteCarlo!$B$7^2)/2)*MonteCarlo!$B$8)/(MonteCarlo!$B$7*SQRT(MonteCarlo!$B$8)),TRUE)-$A24*EXP(-MonteCarlo!$B$9*MonteCarlo!$B$8)*_xlfn.NORM.S.DIST(((LN(AD$1/$A24)+(MonteCarlo!$B$9+(MonteCarlo!$B$7^2)/2)*MonteCarlo!$B$8)/(MonteCarlo!$B$7*SQRT(MonteCarlo!$B$8)))-(MonteCarlo!$B$7*SQRT(MonteCarlo!$B$8)),TRUE),$A24*EXP(-MonteCarlo!$B$9*MonteCarlo!$B$8)*_xlfn.NORM.S.DIST(-(((LN(AD$1/$A24)+(MonteCarlo!$B$9+(MonteCarlo!$B$7^2)/2)*MonteCarlo!$B$8)/(MonteCarlo!$B$7*SQRT(MonteCarlo!$B$8)))-(MonteCarlo!$B$7*SQRT(MonteCarlo!$B$8))),TRUE)-AD$1*_xlfn.NORM.S.DIST(-((LN(AD$1/$A24)+(MonteCarlo!$B$9+(MonteCarlo!$B$7^2)/2)*MonteCarlo!$B$8)/(MonteCarlo!$B$7*SQRT(MonteCarlo!$B$8))),TRUE)),"")</f>
        <v/>
      </c>
      <c r="AE24" t="str">
        <f ca="1">IFERROR(IF(OR(MonteCarlo!$B$4="C",MonteCarlo!$B$4="c"),AE$1*_xlfn.NORM.S.DIST((LN(AE$1/$A24)+(MonteCarlo!$B$9+(MonteCarlo!$B$7^2)/2)*MonteCarlo!$B$8)/(MonteCarlo!$B$7*SQRT(MonteCarlo!$B$8)),TRUE)-$A24*EXP(-MonteCarlo!$B$9*MonteCarlo!$B$8)*_xlfn.NORM.S.DIST(((LN(AE$1/$A24)+(MonteCarlo!$B$9+(MonteCarlo!$B$7^2)/2)*MonteCarlo!$B$8)/(MonteCarlo!$B$7*SQRT(MonteCarlo!$B$8)))-(MonteCarlo!$B$7*SQRT(MonteCarlo!$B$8)),TRUE),$A24*EXP(-MonteCarlo!$B$9*MonteCarlo!$B$8)*_xlfn.NORM.S.DIST(-(((LN(AE$1/$A24)+(MonteCarlo!$B$9+(MonteCarlo!$B$7^2)/2)*MonteCarlo!$B$8)/(MonteCarlo!$B$7*SQRT(MonteCarlo!$B$8)))-(MonteCarlo!$B$7*SQRT(MonteCarlo!$B$8))),TRUE)-AE$1*_xlfn.NORM.S.DIST(-((LN(AE$1/$A24)+(MonteCarlo!$B$9+(MonteCarlo!$B$7^2)/2)*MonteCarlo!$B$8)/(MonteCarlo!$B$7*SQRT(MonteCarlo!$B$8))),TRUE)),"")</f>
        <v/>
      </c>
      <c r="AF24" t="str">
        <f ca="1">IFERROR(IF(OR(MonteCarlo!$B$4="C",MonteCarlo!$B$4="c"),AF$1*_xlfn.NORM.S.DIST((LN(AF$1/$A24)+(MonteCarlo!$B$9+(MonteCarlo!$B$7^2)/2)*MonteCarlo!$B$8)/(MonteCarlo!$B$7*SQRT(MonteCarlo!$B$8)),TRUE)-$A24*EXP(-MonteCarlo!$B$9*MonteCarlo!$B$8)*_xlfn.NORM.S.DIST(((LN(AF$1/$A24)+(MonteCarlo!$B$9+(MonteCarlo!$B$7^2)/2)*MonteCarlo!$B$8)/(MonteCarlo!$B$7*SQRT(MonteCarlo!$B$8)))-(MonteCarlo!$B$7*SQRT(MonteCarlo!$B$8)),TRUE),$A24*EXP(-MonteCarlo!$B$9*MonteCarlo!$B$8)*_xlfn.NORM.S.DIST(-(((LN(AF$1/$A24)+(MonteCarlo!$B$9+(MonteCarlo!$B$7^2)/2)*MonteCarlo!$B$8)/(MonteCarlo!$B$7*SQRT(MonteCarlo!$B$8)))-(MonteCarlo!$B$7*SQRT(MonteCarlo!$B$8))),TRUE)-AF$1*_xlfn.NORM.S.DIST(-((LN(AF$1/$A24)+(MonteCarlo!$B$9+(MonteCarlo!$B$7^2)/2)*MonteCarlo!$B$8)/(MonteCarlo!$B$7*SQRT(MonteCarlo!$B$8))),TRUE)),"")</f>
        <v/>
      </c>
    </row>
    <row r="25" spans="2:32" x14ac:dyDescent="0.25">
      <c r="B25" t="str">
        <f ca="1">IFERROR(IF(OR(MonteCarlo!$B$4="C",MonteCarlo!$B$4="c"),B$1*_xlfn.NORM.S.DIST((LN(B$1/$A25)+(MonteCarlo!$B$9+(MonteCarlo!$B$7^2)/2)*MonteCarlo!$B$8)/(MonteCarlo!$B$7*SQRT(MonteCarlo!$B$8)),TRUE)-$A25*EXP(-MonteCarlo!$B$9*MonteCarlo!$B$8)*_xlfn.NORM.S.DIST(((LN(B$1/$A25)+(MonteCarlo!$B$9+(MonteCarlo!$B$7^2)/2)*MonteCarlo!$B$8)/(MonteCarlo!$B$7*SQRT(MonteCarlo!$B$8)))-(MonteCarlo!$B$7*SQRT(MonteCarlo!$B$8)),TRUE),$A25*EXP(-MonteCarlo!$B$9*MonteCarlo!$B$8)*_xlfn.NORM.S.DIST(-(((LN(B$1/$A25)+(MonteCarlo!$B$9+(MonteCarlo!$B$7^2)/2)*MonteCarlo!$B$8)/(MonteCarlo!$B$7*SQRT(MonteCarlo!$B$8)))-(MonteCarlo!$B$7*SQRT(MonteCarlo!$B$8))),TRUE)-B$1*_xlfn.NORM.S.DIST(-((LN(B$1/$A25)+(MonteCarlo!$B$9+(MonteCarlo!$B$7^2)/2)*MonteCarlo!$B$8)/(MonteCarlo!$B$7*SQRT(MonteCarlo!$B$8))),TRUE)),"")</f>
        <v/>
      </c>
      <c r="C25" t="str">
        <f ca="1">IFERROR(IF(OR(MonteCarlo!$B$4="C",MonteCarlo!$B$4="c"),C$1*_xlfn.NORM.S.DIST((LN(C$1/$A25)+(MonteCarlo!$B$9+(MonteCarlo!$B$7^2)/2)*MonteCarlo!$B$8)/(MonteCarlo!$B$7*SQRT(MonteCarlo!$B$8)),TRUE)-$A25*EXP(-MonteCarlo!$B$9*MonteCarlo!$B$8)*_xlfn.NORM.S.DIST(((LN(C$1/$A25)+(MonteCarlo!$B$9+(MonteCarlo!$B$7^2)/2)*MonteCarlo!$B$8)/(MonteCarlo!$B$7*SQRT(MonteCarlo!$B$8)))-(MonteCarlo!$B$7*SQRT(MonteCarlo!$B$8)),TRUE),$A25*EXP(-MonteCarlo!$B$9*MonteCarlo!$B$8)*_xlfn.NORM.S.DIST(-(((LN(C$1/$A25)+(MonteCarlo!$B$9+(MonteCarlo!$B$7^2)/2)*MonteCarlo!$B$8)/(MonteCarlo!$B$7*SQRT(MonteCarlo!$B$8)))-(MonteCarlo!$B$7*SQRT(MonteCarlo!$B$8))),TRUE)-C$1*_xlfn.NORM.S.DIST(-((LN(C$1/$A25)+(MonteCarlo!$B$9+(MonteCarlo!$B$7^2)/2)*MonteCarlo!$B$8)/(MonteCarlo!$B$7*SQRT(MonteCarlo!$B$8))),TRUE)),"")</f>
        <v/>
      </c>
      <c r="D25" t="str">
        <f ca="1">IFERROR(IF(OR(MonteCarlo!$B$4="C",MonteCarlo!$B$4="c"),D$1*_xlfn.NORM.S.DIST((LN(D$1/$A25)+(MonteCarlo!$B$9+(MonteCarlo!$B$7^2)/2)*MonteCarlo!$B$8)/(MonteCarlo!$B$7*SQRT(MonteCarlo!$B$8)),TRUE)-$A25*EXP(-MonteCarlo!$B$9*MonteCarlo!$B$8)*_xlfn.NORM.S.DIST(((LN(D$1/$A25)+(MonteCarlo!$B$9+(MonteCarlo!$B$7^2)/2)*MonteCarlo!$B$8)/(MonteCarlo!$B$7*SQRT(MonteCarlo!$B$8)))-(MonteCarlo!$B$7*SQRT(MonteCarlo!$B$8)),TRUE),$A25*EXP(-MonteCarlo!$B$9*MonteCarlo!$B$8)*_xlfn.NORM.S.DIST(-(((LN(D$1/$A25)+(MonteCarlo!$B$9+(MonteCarlo!$B$7^2)/2)*MonteCarlo!$B$8)/(MonteCarlo!$B$7*SQRT(MonteCarlo!$B$8)))-(MonteCarlo!$B$7*SQRT(MonteCarlo!$B$8))),TRUE)-D$1*_xlfn.NORM.S.DIST(-((LN(D$1/$A25)+(MonteCarlo!$B$9+(MonteCarlo!$B$7^2)/2)*MonteCarlo!$B$8)/(MonteCarlo!$B$7*SQRT(MonteCarlo!$B$8))),TRUE)),"")</f>
        <v/>
      </c>
      <c r="E25" t="str">
        <f ca="1">IFERROR(IF(OR(MonteCarlo!$B$4="C",MonteCarlo!$B$4="c"),E$1*_xlfn.NORM.S.DIST((LN(E$1/$A25)+(MonteCarlo!$B$9+(MonteCarlo!$B$7^2)/2)*MonteCarlo!$B$8)/(MonteCarlo!$B$7*SQRT(MonteCarlo!$B$8)),TRUE)-$A25*EXP(-MonteCarlo!$B$9*MonteCarlo!$B$8)*_xlfn.NORM.S.DIST(((LN(E$1/$A25)+(MonteCarlo!$B$9+(MonteCarlo!$B$7^2)/2)*MonteCarlo!$B$8)/(MonteCarlo!$B$7*SQRT(MonteCarlo!$B$8)))-(MonteCarlo!$B$7*SQRT(MonteCarlo!$B$8)),TRUE),$A25*EXP(-MonteCarlo!$B$9*MonteCarlo!$B$8)*_xlfn.NORM.S.DIST(-(((LN(E$1/$A25)+(MonteCarlo!$B$9+(MonteCarlo!$B$7^2)/2)*MonteCarlo!$B$8)/(MonteCarlo!$B$7*SQRT(MonteCarlo!$B$8)))-(MonteCarlo!$B$7*SQRT(MonteCarlo!$B$8))),TRUE)-E$1*_xlfn.NORM.S.DIST(-((LN(E$1/$A25)+(MonteCarlo!$B$9+(MonteCarlo!$B$7^2)/2)*MonteCarlo!$B$8)/(MonteCarlo!$B$7*SQRT(MonteCarlo!$B$8))),TRUE)),"")</f>
        <v/>
      </c>
      <c r="F25" t="str">
        <f ca="1">IFERROR(IF(OR(MonteCarlo!$B$4="C",MonteCarlo!$B$4="c"),F$1*_xlfn.NORM.S.DIST((LN(F$1/$A25)+(MonteCarlo!$B$9+(MonteCarlo!$B$7^2)/2)*MonteCarlo!$B$8)/(MonteCarlo!$B$7*SQRT(MonteCarlo!$B$8)),TRUE)-$A25*EXP(-MonteCarlo!$B$9*MonteCarlo!$B$8)*_xlfn.NORM.S.DIST(((LN(F$1/$A25)+(MonteCarlo!$B$9+(MonteCarlo!$B$7^2)/2)*MonteCarlo!$B$8)/(MonteCarlo!$B$7*SQRT(MonteCarlo!$B$8)))-(MonteCarlo!$B$7*SQRT(MonteCarlo!$B$8)),TRUE),$A25*EXP(-MonteCarlo!$B$9*MonteCarlo!$B$8)*_xlfn.NORM.S.DIST(-(((LN(F$1/$A25)+(MonteCarlo!$B$9+(MonteCarlo!$B$7^2)/2)*MonteCarlo!$B$8)/(MonteCarlo!$B$7*SQRT(MonteCarlo!$B$8)))-(MonteCarlo!$B$7*SQRT(MonteCarlo!$B$8))),TRUE)-F$1*_xlfn.NORM.S.DIST(-((LN(F$1/$A25)+(MonteCarlo!$B$9+(MonteCarlo!$B$7^2)/2)*MonteCarlo!$B$8)/(MonteCarlo!$B$7*SQRT(MonteCarlo!$B$8))),TRUE)),"")</f>
        <v/>
      </c>
      <c r="G25" t="str">
        <f ca="1">IFERROR(IF(OR(MonteCarlo!$B$4="C",MonteCarlo!$B$4="c"),G$1*_xlfn.NORM.S.DIST((LN(G$1/$A25)+(MonteCarlo!$B$9+(MonteCarlo!$B$7^2)/2)*MonteCarlo!$B$8)/(MonteCarlo!$B$7*SQRT(MonteCarlo!$B$8)),TRUE)-$A25*EXP(-MonteCarlo!$B$9*MonteCarlo!$B$8)*_xlfn.NORM.S.DIST(((LN(G$1/$A25)+(MonteCarlo!$B$9+(MonteCarlo!$B$7^2)/2)*MonteCarlo!$B$8)/(MonteCarlo!$B$7*SQRT(MonteCarlo!$B$8)))-(MonteCarlo!$B$7*SQRT(MonteCarlo!$B$8)),TRUE),$A25*EXP(-MonteCarlo!$B$9*MonteCarlo!$B$8)*_xlfn.NORM.S.DIST(-(((LN(G$1/$A25)+(MonteCarlo!$B$9+(MonteCarlo!$B$7^2)/2)*MonteCarlo!$B$8)/(MonteCarlo!$B$7*SQRT(MonteCarlo!$B$8)))-(MonteCarlo!$B$7*SQRT(MonteCarlo!$B$8))),TRUE)-G$1*_xlfn.NORM.S.DIST(-((LN(G$1/$A25)+(MonteCarlo!$B$9+(MonteCarlo!$B$7^2)/2)*MonteCarlo!$B$8)/(MonteCarlo!$B$7*SQRT(MonteCarlo!$B$8))),TRUE)),"")</f>
        <v/>
      </c>
      <c r="H25" t="str">
        <f ca="1">IFERROR(IF(OR(MonteCarlo!$B$4="C",MonteCarlo!$B$4="c"),H$1*_xlfn.NORM.S.DIST((LN(H$1/$A25)+(MonteCarlo!$B$9+(MonteCarlo!$B$7^2)/2)*MonteCarlo!$B$8)/(MonteCarlo!$B$7*SQRT(MonteCarlo!$B$8)),TRUE)-$A25*EXP(-MonteCarlo!$B$9*MonteCarlo!$B$8)*_xlfn.NORM.S.DIST(((LN(H$1/$A25)+(MonteCarlo!$B$9+(MonteCarlo!$B$7^2)/2)*MonteCarlo!$B$8)/(MonteCarlo!$B$7*SQRT(MonteCarlo!$B$8)))-(MonteCarlo!$B$7*SQRT(MonteCarlo!$B$8)),TRUE),$A25*EXP(-MonteCarlo!$B$9*MonteCarlo!$B$8)*_xlfn.NORM.S.DIST(-(((LN(H$1/$A25)+(MonteCarlo!$B$9+(MonteCarlo!$B$7^2)/2)*MonteCarlo!$B$8)/(MonteCarlo!$B$7*SQRT(MonteCarlo!$B$8)))-(MonteCarlo!$B$7*SQRT(MonteCarlo!$B$8))),TRUE)-H$1*_xlfn.NORM.S.DIST(-((LN(H$1/$A25)+(MonteCarlo!$B$9+(MonteCarlo!$B$7^2)/2)*MonteCarlo!$B$8)/(MonteCarlo!$B$7*SQRT(MonteCarlo!$B$8))),TRUE)),"")</f>
        <v/>
      </c>
      <c r="I25" t="str">
        <f ca="1">IFERROR(IF(OR(MonteCarlo!$B$4="C",MonteCarlo!$B$4="c"),I$1*_xlfn.NORM.S.DIST((LN(I$1/$A25)+(MonteCarlo!$B$9+(MonteCarlo!$B$7^2)/2)*MonteCarlo!$B$8)/(MonteCarlo!$B$7*SQRT(MonteCarlo!$B$8)),TRUE)-$A25*EXP(-MonteCarlo!$B$9*MonteCarlo!$B$8)*_xlfn.NORM.S.DIST(((LN(I$1/$A25)+(MonteCarlo!$B$9+(MonteCarlo!$B$7^2)/2)*MonteCarlo!$B$8)/(MonteCarlo!$B$7*SQRT(MonteCarlo!$B$8)))-(MonteCarlo!$B$7*SQRT(MonteCarlo!$B$8)),TRUE),$A25*EXP(-MonteCarlo!$B$9*MonteCarlo!$B$8)*_xlfn.NORM.S.DIST(-(((LN(I$1/$A25)+(MonteCarlo!$B$9+(MonteCarlo!$B$7^2)/2)*MonteCarlo!$B$8)/(MonteCarlo!$B$7*SQRT(MonteCarlo!$B$8)))-(MonteCarlo!$B$7*SQRT(MonteCarlo!$B$8))),TRUE)-I$1*_xlfn.NORM.S.DIST(-((LN(I$1/$A25)+(MonteCarlo!$B$9+(MonteCarlo!$B$7^2)/2)*MonteCarlo!$B$8)/(MonteCarlo!$B$7*SQRT(MonteCarlo!$B$8))),TRUE)),"")</f>
        <v/>
      </c>
      <c r="J25" t="str">
        <f ca="1">IFERROR(IF(OR(MonteCarlo!$B$4="C",MonteCarlo!$B$4="c"),J$1*_xlfn.NORM.S.DIST((LN(J$1/$A25)+(MonteCarlo!$B$9+(MonteCarlo!$B$7^2)/2)*MonteCarlo!$B$8)/(MonteCarlo!$B$7*SQRT(MonteCarlo!$B$8)),TRUE)-$A25*EXP(-MonteCarlo!$B$9*MonteCarlo!$B$8)*_xlfn.NORM.S.DIST(((LN(J$1/$A25)+(MonteCarlo!$B$9+(MonteCarlo!$B$7^2)/2)*MonteCarlo!$B$8)/(MonteCarlo!$B$7*SQRT(MonteCarlo!$B$8)))-(MonteCarlo!$B$7*SQRT(MonteCarlo!$B$8)),TRUE),$A25*EXP(-MonteCarlo!$B$9*MonteCarlo!$B$8)*_xlfn.NORM.S.DIST(-(((LN(J$1/$A25)+(MonteCarlo!$B$9+(MonteCarlo!$B$7^2)/2)*MonteCarlo!$B$8)/(MonteCarlo!$B$7*SQRT(MonteCarlo!$B$8)))-(MonteCarlo!$B$7*SQRT(MonteCarlo!$B$8))),TRUE)-J$1*_xlfn.NORM.S.DIST(-((LN(J$1/$A25)+(MonteCarlo!$B$9+(MonteCarlo!$B$7^2)/2)*MonteCarlo!$B$8)/(MonteCarlo!$B$7*SQRT(MonteCarlo!$B$8))),TRUE)),"")</f>
        <v/>
      </c>
      <c r="K25" t="str">
        <f ca="1">IFERROR(IF(OR(MonteCarlo!$B$4="C",MonteCarlo!$B$4="c"),K$1*_xlfn.NORM.S.DIST((LN(K$1/$A25)+(MonteCarlo!$B$9+(MonteCarlo!$B$7^2)/2)*MonteCarlo!$B$8)/(MonteCarlo!$B$7*SQRT(MonteCarlo!$B$8)),TRUE)-$A25*EXP(-MonteCarlo!$B$9*MonteCarlo!$B$8)*_xlfn.NORM.S.DIST(((LN(K$1/$A25)+(MonteCarlo!$B$9+(MonteCarlo!$B$7^2)/2)*MonteCarlo!$B$8)/(MonteCarlo!$B$7*SQRT(MonteCarlo!$B$8)))-(MonteCarlo!$B$7*SQRT(MonteCarlo!$B$8)),TRUE),$A25*EXP(-MonteCarlo!$B$9*MonteCarlo!$B$8)*_xlfn.NORM.S.DIST(-(((LN(K$1/$A25)+(MonteCarlo!$B$9+(MonteCarlo!$B$7^2)/2)*MonteCarlo!$B$8)/(MonteCarlo!$B$7*SQRT(MonteCarlo!$B$8)))-(MonteCarlo!$B$7*SQRT(MonteCarlo!$B$8))),TRUE)-K$1*_xlfn.NORM.S.DIST(-((LN(K$1/$A25)+(MonteCarlo!$B$9+(MonteCarlo!$B$7^2)/2)*MonteCarlo!$B$8)/(MonteCarlo!$B$7*SQRT(MonteCarlo!$B$8))),TRUE)),"")</f>
        <v/>
      </c>
      <c r="L25" t="str">
        <f ca="1">IFERROR(IF(OR(MonteCarlo!$B$4="C",MonteCarlo!$B$4="c"),L$1*_xlfn.NORM.S.DIST((LN(L$1/$A25)+(MonteCarlo!$B$9+(MonteCarlo!$B$7^2)/2)*MonteCarlo!$B$8)/(MonteCarlo!$B$7*SQRT(MonteCarlo!$B$8)),TRUE)-$A25*EXP(-MonteCarlo!$B$9*MonteCarlo!$B$8)*_xlfn.NORM.S.DIST(((LN(L$1/$A25)+(MonteCarlo!$B$9+(MonteCarlo!$B$7^2)/2)*MonteCarlo!$B$8)/(MonteCarlo!$B$7*SQRT(MonteCarlo!$B$8)))-(MonteCarlo!$B$7*SQRT(MonteCarlo!$B$8)),TRUE),$A25*EXP(-MonteCarlo!$B$9*MonteCarlo!$B$8)*_xlfn.NORM.S.DIST(-(((LN(L$1/$A25)+(MonteCarlo!$B$9+(MonteCarlo!$B$7^2)/2)*MonteCarlo!$B$8)/(MonteCarlo!$B$7*SQRT(MonteCarlo!$B$8)))-(MonteCarlo!$B$7*SQRT(MonteCarlo!$B$8))),TRUE)-L$1*_xlfn.NORM.S.DIST(-((LN(L$1/$A25)+(MonteCarlo!$B$9+(MonteCarlo!$B$7^2)/2)*MonteCarlo!$B$8)/(MonteCarlo!$B$7*SQRT(MonteCarlo!$B$8))),TRUE)),"")</f>
        <v/>
      </c>
      <c r="M25" t="str">
        <f ca="1">IFERROR(IF(OR(MonteCarlo!$B$4="C",MonteCarlo!$B$4="c"),M$1*_xlfn.NORM.S.DIST((LN(M$1/$A25)+(MonteCarlo!$B$9+(MonteCarlo!$B$7^2)/2)*MonteCarlo!$B$8)/(MonteCarlo!$B$7*SQRT(MonteCarlo!$B$8)),TRUE)-$A25*EXP(-MonteCarlo!$B$9*MonteCarlo!$B$8)*_xlfn.NORM.S.DIST(((LN(M$1/$A25)+(MonteCarlo!$B$9+(MonteCarlo!$B$7^2)/2)*MonteCarlo!$B$8)/(MonteCarlo!$B$7*SQRT(MonteCarlo!$B$8)))-(MonteCarlo!$B$7*SQRT(MonteCarlo!$B$8)),TRUE),$A25*EXP(-MonteCarlo!$B$9*MonteCarlo!$B$8)*_xlfn.NORM.S.DIST(-(((LN(M$1/$A25)+(MonteCarlo!$B$9+(MonteCarlo!$B$7^2)/2)*MonteCarlo!$B$8)/(MonteCarlo!$B$7*SQRT(MonteCarlo!$B$8)))-(MonteCarlo!$B$7*SQRT(MonteCarlo!$B$8))),TRUE)-M$1*_xlfn.NORM.S.DIST(-((LN(M$1/$A25)+(MonteCarlo!$B$9+(MonteCarlo!$B$7^2)/2)*MonteCarlo!$B$8)/(MonteCarlo!$B$7*SQRT(MonteCarlo!$B$8))),TRUE)),"")</f>
        <v/>
      </c>
      <c r="N25" t="str">
        <f ca="1">IFERROR(IF(OR(MonteCarlo!$B$4="C",MonteCarlo!$B$4="c"),N$1*_xlfn.NORM.S.DIST((LN(N$1/$A25)+(MonteCarlo!$B$9+(MonteCarlo!$B$7^2)/2)*MonteCarlo!$B$8)/(MonteCarlo!$B$7*SQRT(MonteCarlo!$B$8)),TRUE)-$A25*EXP(-MonteCarlo!$B$9*MonteCarlo!$B$8)*_xlfn.NORM.S.DIST(((LN(N$1/$A25)+(MonteCarlo!$B$9+(MonteCarlo!$B$7^2)/2)*MonteCarlo!$B$8)/(MonteCarlo!$B$7*SQRT(MonteCarlo!$B$8)))-(MonteCarlo!$B$7*SQRT(MonteCarlo!$B$8)),TRUE),$A25*EXP(-MonteCarlo!$B$9*MonteCarlo!$B$8)*_xlfn.NORM.S.DIST(-(((LN(N$1/$A25)+(MonteCarlo!$B$9+(MonteCarlo!$B$7^2)/2)*MonteCarlo!$B$8)/(MonteCarlo!$B$7*SQRT(MonteCarlo!$B$8)))-(MonteCarlo!$B$7*SQRT(MonteCarlo!$B$8))),TRUE)-N$1*_xlfn.NORM.S.DIST(-((LN(N$1/$A25)+(MonteCarlo!$B$9+(MonteCarlo!$B$7^2)/2)*MonteCarlo!$B$8)/(MonteCarlo!$B$7*SQRT(MonteCarlo!$B$8))),TRUE)),"")</f>
        <v/>
      </c>
      <c r="O25" t="str">
        <f ca="1">IFERROR(IF(OR(MonteCarlo!$B$4="C",MonteCarlo!$B$4="c"),O$1*_xlfn.NORM.S.DIST((LN(O$1/$A25)+(MonteCarlo!$B$9+(MonteCarlo!$B$7^2)/2)*MonteCarlo!$B$8)/(MonteCarlo!$B$7*SQRT(MonteCarlo!$B$8)),TRUE)-$A25*EXP(-MonteCarlo!$B$9*MonteCarlo!$B$8)*_xlfn.NORM.S.DIST(((LN(O$1/$A25)+(MonteCarlo!$B$9+(MonteCarlo!$B$7^2)/2)*MonteCarlo!$B$8)/(MonteCarlo!$B$7*SQRT(MonteCarlo!$B$8)))-(MonteCarlo!$B$7*SQRT(MonteCarlo!$B$8)),TRUE),$A25*EXP(-MonteCarlo!$B$9*MonteCarlo!$B$8)*_xlfn.NORM.S.DIST(-(((LN(O$1/$A25)+(MonteCarlo!$B$9+(MonteCarlo!$B$7^2)/2)*MonteCarlo!$B$8)/(MonteCarlo!$B$7*SQRT(MonteCarlo!$B$8)))-(MonteCarlo!$B$7*SQRT(MonteCarlo!$B$8))),TRUE)-O$1*_xlfn.NORM.S.DIST(-((LN(O$1/$A25)+(MonteCarlo!$B$9+(MonteCarlo!$B$7^2)/2)*MonteCarlo!$B$8)/(MonteCarlo!$B$7*SQRT(MonteCarlo!$B$8))),TRUE)),"")</f>
        <v/>
      </c>
      <c r="P25" t="str">
        <f ca="1">IFERROR(IF(OR(MonteCarlo!$B$4="C",MonteCarlo!$B$4="c"),P$1*_xlfn.NORM.S.DIST((LN(P$1/$A25)+(MonteCarlo!$B$9+(MonteCarlo!$B$7^2)/2)*MonteCarlo!$B$8)/(MonteCarlo!$B$7*SQRT(MonteCarlo!$B$8)),TRUE)-$A25*EXP(-MonteCarlo!$B$9*MonteCarlo!$B$8)*_xlfn.NORM.S.DIST(((LN(P$1/$A25)+(MonteCarlo!$B$9+(MonteCarlo!$B$7^2)/2)*MonteCarlo!$B$8)/(MonteCarlo!$B$7*SQRT(MonteCarlo!$B$8)))-(MonteCarlo!$B$7*SQRT(MonteCarlo!$B$8)),TRUE),$A25*EXP(-MonteCarlo!$B$9*MonteCarlo!$B$8)*_xlfn.NORM.S.DIST(-(((LN(P$1/$A25)+(MonteCarlo!$B$9+(MonteCarlo!$B$7^2)/2)*MonteCarlo!$B$8)/(MonteCarlo!$B$7*SQRT(MonteCarlo!$B$8)))-(MonteCarlo!$B$7*SQRT(MonteCarlo!$B$8))),TRUE)-P$1*_xlfn.NORM.S.DIST(-((LN(P$1/$A25)+(MonteCarlo!$B$9+(MonteCarlo!$B$7^2)/2)*MonteCarlo!$B$8)/(MonteCarlo!$B$7*SQRT(MonteCarlo!$B$8))),TRUE)),"")</f>
        <v/>
      </c>
      <c r="Q25" t="str">
        <f ca="1">IFERROR(IF(OR(MonteCarlo!$B$4="C",MonteCarlo!$B$4="c"),Q$1*_xlfn.NORM.S.DIST((LN(Q$1/$A25)+(MonteCarlo!$B$9+(MonteCarlo!$B$7^2)/2)*MonteCarlo!$B$8)/(MonteCarlo!$B$7*SQRT(MonteCarlo!$B$8)),TRUE)-$A25*EXP(-MonteCarlo!$B$9*MonteCarlo!$B$8)*_xlfn.NORM.S.DIST(((LN(Q$1/$A25)+(MonteCarlo!$B$9+(MonteCarlo!$B$7^2)/2)*MonteCarlo!$B$8)/(MonteCarlo!$B$7*SQRT(MonteCarlo!$B$8)))-(MonteCarlo!$B$7*SQRT(MonteCarlo!$B$8)),TRUE),$A25*EXP(-MonteCarlo!$B$9*MonteCarlo!$B$8)*_xlfn.NORM.S.DIST(-(((LN(Q$1/$A25)+(MonteCarlo!$B$9+(MonteCarlo!$B$7^2)/2)*MonteCarlo!$B$8)/(MonteCarlo!$B$7*SQRT(MonteCarlo!$B$8)))-(MonteCarlo!$B$7*SQRT(MonteCarlo!$B$8))),TRUE)-Q$1*_xlfn.NORM.S.DIST(-((LN(Q$1/$A25)+(MonteCarlo!$B$9+(MonteCarlo!$B$7^2)/2)*MonteCarlo!$B$8)/(MonteCarlo!$B$7*SQRT(MonteCarlo!$B$8))),TRUE)),"")</f>
        <v/>
      </c>
      <c r="R25" t="str">
        <f ca="1">IFERROR(IF(OR(MonteCarlo!$B$4="C",MonteCarlo!$B$4="c"),R$1*_xlfn.NORM.S.DIST((LN(R$1/$A25)+(MonteCarlo!$B$9+(MonteCarlo!$B$7^2)/2)*MonteCarlo!$B$8)/(MonteCarlo!$B$7*SQRT(MonteCarlo!$B$8)),TRUE)-$A25*EXP(-MonteCarlo!$B$9*MonteCarlo!$B$8)*_xlfn.NORM.S.DIST(((LN(R$1/$A25)+(MonteCarlo!$B$9+(MonteCarlo!$B$7^2)/2)*MonteCarlo!$B$8)/(MonteCarlo!$B$7*SQRT(MonteCarlo!$B$8)))-(MonteCarlo!$B$7*SQRT(MonteCarlo!$B$8)),TRUE),$A25*EXP(-MonteCarlo!$B$9*MonteCarlo!$B$8)*_xlfn.NORM.S.DIST(-(((LN(R$1/$A25)+(MonteCarlo!$B$9+(MonteCarlo!$B$7^2)/2)*MonteCarlo!$B$8)/(MonteCarlo!$B$7*SQRT(MonteCarlo!$B$8)))-(MonteCarlo!$B$7*SQRT(MonteCarlo!$B$8))),TRUE)-R$1*_xlfn.NORM.S.DIST(-((LN(R$1/$A25)+(MonteCarlo!$B$9+(MonteCarlo!$B$7^2)/2)*MonteCarlo!$B$8)/(MonteCarlo!$B$7*SQRT(MonteCarlo!$B$8))),TRUE)),"")</f>
        <v/>
      </c>
      <c r="S25" t="str">
        <f ca="1">IFERROR(IF(OR(MonteCarlo!$B$4="C",MonteCarlo!$B$4="c"),S$1*_xlfn.NORM.S.DIST((LN(S$1/$A25)+(MonteCarlo!$B$9+(MonteCarlo!$B$7^2)/2)*MonteCarlo!$B$8)/(MonteCarlo!$B$7*SQRT(MonteCarlo!$B$8)),TRUE)-$A25*EXP(-MonteCarlo!$B$9*MonteCarlo!$B$8)*_xlfn.NORM.S.DIST(((LN(S$1/$A25)+(MonteCarlo!$B$9+(MonteCarlo!$B$7^2)/2)*MonteCarlo!$B$8)/(MonteCarlo!$B$7*SQRT(MonteCarlo!$B$8)))-(MonteCarlo!$B$7*SQRT(MonteCarlo!$B$8)),TRUE),$A25*EXP(-MonteCarlo!$B$9*MonteCarlo!$B$8)*_xlfn.NORM.S.DIST(-(((LN(S$1/$A25)+(MonteCarlo!$B$9+(MonteCarlo!$B$7^2)/2)*MonteCarlo!$B$8)/(MonteCarlo!$B$7*SQRT(MonteCarlo!$B$8)))-(MonteCarlo!$B$7*SQRT(MonteCarlo!$B$8))),TRUE)-S$1*_xlfn.NORM.S.DIST(-((LN(S$1/$A25)+(MonteCarlo!$B$9+(MonteCarlo!$B$7^2)/2)*MonteCarlo!$B$8)/(MonteCarlo!$B$7*SQRT(MonteCarlo!$B$8))),TRUE)),"")</f>
        <v/>
      </c>
      <c r="T25" t="str">
        <f ca="1">IFERROR(IF(OR(MonteCarlo!$B$4="C",MonteCarlo!$B$4="c"),T$1*_xlfn.NORM.S.DIST((LN(T$1/$A25)+(MonteCarlo!$B$9+(MonteCarlo!$B$7^2)/2)*MonteCarlo!$B$8)/(MonteCarlo!$B$7*SQRT(MonteCarlo!$B$8)),TRUE)-$A25*EXP(-MonteCarlo!$B$9*MonteCarlo!$B$8)*_xlfn.NORM.S.DIST(((LN(T$1/$A25)+(MonteCarlo!$B$9+(MonteCarlo!$B$7^2)/2)*MonteCarlo!$B$8)/(MonteCarlo!$B$7*SQRT(MonteCarlo!$B$8)))-(MonteCarlo!$B$7*SQRT(MonteCarlo!$B$8)),TRUE),$A25*EXP(-MonteCarlo!$B$9*MonteCarlo!$B$8)*_xlfn.NORM.S.DIST(-(((LN(T$1/$A25)+(MonteCarlo!$B$9+(MonteCarlo!$B$7^2)/2)*MonteCarlo!$B$8)/(MonteCarlo!$B$7*SQRT(MonteCarlo!$B$8)))-(MonteCarlo!$B$7*SQRT(MonteCarlo!$B$8))),TRUE)-T$1*_xlfn.NORM.S.DIST(-((LN(T$1/$A25)+(MonteCarlo!$B$9+(MonteCarlo!$B$7^2)/2)*MonteCarlo!$B$8)/(MonteCarlo!$B$7*SQRT(MonteCarlo!$B$8))),TRUE)),"")</f>
        <v/>
      </c>
      <c r="U25" t="str">
        <f ca="1">IFERROR(IF(OR(MonteCarlo!$B$4="C",MonteCarlo!$B$4="c"),U$1*_xlfn.NORM.S.DIST((LN(U$1/$A25)+(MonteCarlo!$B$9+(MonteCarlo!$B$7^2)/2)*MonteCarlo!$B$8)/(MonteCarlo!$B$7*SQRT(MonteCarlo!$B$8)),TRUE)-$A25*EXP(-MonteCarlo!$B$9*MonteCarlo!$B$8)*_xlfn.NORM.S.DIST(((LN(U$1/$A25)+(MonteCarlo!$B$9+(MonteCarlo!$B$7^2)/2)*MonteCarlo!$B$8)/(MonteCarlo!$B$7*SQRT(MonteCarlo!$B$8)))-(MonteCarlo!$B$7*SQRT(MonteCarlo!$B$8)),TRUE),$A25*EXP(-MonteCarlo!$B$9*MonteCarlo!$B$8)*_xlfn.NORM.S.DIST(-(((LN(U$1/$A25)+(MonteCarlo!$B$9+(MonteCarlo!$B$7^2)/2)*MonteCarlo!$B$8)/(MonteCarlo!$B$7*SQRT(MonteCarlo!$B$8)))-(MonteCarlo!$B$7*SQRT(MonteCarlo!$B$8))),TRUE)-U$1*_xlfn.NORM.S.DIST(-((LN(U$1/$A25)+(MonteCarlo!$B$9+(MonteCarlo!$B$7^2)/2)*MonteCarlo!$B$8)/(MonteCarlo!$B$7*SQRT(MonteCarlo!$B$8))),TRUE)),"")</f>
        <v/>
      </c>
      <c r="V25" t="str">
        <f ca="1">IFERROR(IF(OR(MonteCarlo!$B$4="C",MonteCarlo!$B$4="c"),V$1*_xlfn.NORM.S.DIST((LN(V$1/$A25)+(MonteCarlo!$B$9+(MonteCarlo!$B$7^2)/2)*MonteCarlo!$B$8)/(MonteCarlo!$B$7*SQRT(MonteCarlo!$B$8)),TRUE)-$A25*EXP(-MonteCarlo!$B$9*MonteCarlo!$B$8)*_xlfn.NORM.S.DIST(((LN(V$1/$A25)+(MonteCarlo!$B$9+(MonteCarlo!$B$7^2)/2)*MonteCarlo!$B$8)/(MonteCarlo!$B$7*SQRT(MonteCarlo!$B$8)))-(MonteCarlo!$B$7*SQRT(MonteCarlo!$B$8)),TRUE),$A25*EXP(-MonteCarlo!$B$9*MonteCarlo!$B$8)*_xlfn.NORM.S.DIST(-(((LN(V$1/$A25)+(MonteCarlo!$B$9+(MonteCarlo!$B$7^2)/2)*MonteCarlo!$B$8)/(MonteCarlo!$B$7*SQRT(MonteCarlo!$B$8)))-(MonteCarlo!$B$7*SQRT(MonteCarlo!$B$8))),TRUE)-V$1*_xlfn.NORM.S.DIST(-((LN(V$1/$A25)+(MonteCarlo!$B$9+(MonteCarlo!$B$7^2)/2)*MonteCarlo!$B$8)/(MonteCarlo!$B$7*SQRT(MonteCarlo!$B$8))),TRUE)),"")</f>
        <v/>
      </c>
      <c r="W25" t="str">
        <f ca="1">IFERROR(IF(OR(MonteCarlo!$B$4="C",MonteCarlo!$B$4="c"),W$1*_xlfn.NORM.S.DIST((LN(W$1/$A25)+(MonteCarlo!$B$9+(MonteCarlo!$B$7^2)/2)*MonteCarlo!$B$8)/(MonteCarlo!$B$7*SQRT(MonteCarlo!$B$8)),TRUE)-$A25*EXP(-MonteCarlo!$B$9*MonteCarlo!$B$8)*_xlfn.NORM.S.DIST(((LN(W$1/$A25)+(MonteCarlo!$B$9+(MonteCarlo!$B$7^2)/2)*MonteCarlo!$B$8)/(MonteCarlo!$B$7*SQRT(MonteCarlo!$B$8)))-(MonteCarlo!$B$7*SQRT(MonteCarlo!$B$8)),TRUE),$A25*EXP(-MonteCarlo!$B$9*MonteCarlo!$B$8)*_xlfn.NORM.S.DIST(-(((LN(W$1/$A25)+(MonteCarlo!$B$9+(MonteCarlo!$B$7^2)/2)*MonteCarlo!$B$8)/(MonteCarlo!$B$7*SQRT(MonteCarlo!$B$8)))-(MonteCarlo!$B$7*SQRT(MonteCarlo!$B$8))),TRUE)-W$1*_xlfn.NORM.S.DIST(-((LN(W$1/$A25)+(MonteCarlo!$B$9+(MonteCarlo!$B$7^2)/2)*MonteCarlo!$B$8)/(MonteCarlo!$B$7*SQRT(MonteCarlo!$B$8))),TRUE)),"")</f>
        <v/>
      </c>
      <c r="X25" t="str">
        <f ca="1">IFERROR(IF(OR(MonteCarlo!$B$4="C",MonteCarlo!$B$4="c"),X$1*_xlfn.NORM.S.DIST((LN(X$1/$A25)+(MonteCarlo!$B$9+(MonteCarlo!$B$7^2)/2)*MonteCarlo!$B$8)/(MonteCarlo!$B$7*SQRT(MonteCarlo!$B$8)),TRUE)-$A25*EXP(-MonteCarlo!$B$9*MonteCarlo!$B$8)*_xlfn.NORM.S.DIST(((LN(X$1/$A25)+(MonteCarlo!$B$9+(MonteCarlo!$B$7^2)/2)*MonteCarlo!$B$8)/(MonteCarlo!$B$7*SQRT(MonteCarlo!$B$8)))-(MonteCarlo!$B$7*SQRT(MonteCarlo!$B$8)),TRUE),$A25*EXP(-MonteCarlo!$B$9*MonteCarlo!$B$8)*_xlfn.NORM.S.DIST(-(((LN(X$1/$A25)+(MonteCarlo!$B$9+(MonteCarlo!$B$7^2)/2)*MonteCarlo!$B$8)/(MonteCarlo!$B$7*SQRT(MonteCarlo!$B$8)))-(MonteCarlo!$B$7*SQRT(MonteCarlo!$B$8))),TRUE)-X$1*_xlfn.NORM.S.DIST(-((LN(X$1/$A25)+(MonteCarlo!$B$9+(MonteCarlo!$B$7^2)/2)*MonteCarlo!$B$8)/(MonteCarlo!$B$7*SQRT(MonteCarlo!$B$8))),TRUE)),"")</f>
        <v/>
      </c>
      <c r="Y25" t="str">
        <f ca="1">IFERROR(IF(OR(MonteCarlo!$B$4="C",MonteCarlo!$B$4="c"),Y$1*_xlfn.NORM.S.DIST((LN(Y$1/$A25)+(MonteCarlo!$B$9+(MonteCarlo!$B$7^2)/2)*MonteCarlo!$B$8)/(MonteCarlo!$B$7*SQRT(MonteCarlo!$B$8)),TRUE)-$A25*EXP(-MonteCarlo!$B$9*MonteCarlo!$B$8)*_xlfn.NORM.S.DIST(((LN(Y$1/$A25)+(MonteCarlo!$B$9+(MonteCarlo!$B$7^2)/2)*MonteCarlo!$B$8)/(MonteCarlo!$B$7*SQRT(MonteCarlo!$B$8)))-(MonteCarlo!$B$7*SQRT(MonteCarlo!$B$8)),TRUE),$A25*EXP(-MonteCarlo!$B$9*MonteCarlo!$B$8)*_xlfn.NORM.S.DIST(-(((LN(Y$1/$A25)+(MonteCarlo!$B$9+(MonteCarlo!$B$7^2)/2)*MonteCarlo!$B$8)/(MonteCarlo!$B$7*SQRT(MonteCarlo!$B$8)))-(MonteCarlo!$B$7*SQRT(MonteCarlo!$B$8))),TRUE)-Y$1*_xlfn.NORM.S.DIST(-((LN(Y$1/$A25)+(MonteCarlo!$B$9+(MonteCarlo!$B$7^2)/2)*MonteCarlo!$B$8)/(MonteCarlo!$B$7*SQRT(MonteCarlo!$B$8))),TRUE)),"")</f>
        <v/>
      </c>
      <c r="Z25" t="str">
        <f ca="1">IFERROR(IF(OR(MonteCarlo!$B$4="C",MonteCarlo!$B$4="c"),Z$1*_xlfn.NORM.S.DIST((LN(Z$1/$A25)+(MonteCarlo!$B$9+(MonteCarlo!$B$7^2)/2)*MonteCarlo!$B$8)/(MonteCarlo!$B$7*SQRT(MonteCarlo!$B$8)),TRUE)-$A25*EXP(-MonteCarlo!$B$9*MonteCarlo!$B$8)*_xlfn.NORM.S.DIST(((LN(Z$1/$A25)+(MonteCarlo!$B$9+(MonteCarlo!$B$7^2)/2)*MonteCarlo!$B$8)/(MonteCarlo!$B$7*SQRT(MonteCarlo!$B$8)))-(MonteCarlo!$B$7*SQRT(MonteCarlo!$B$8)),TRUE),$A25*EXP(-MonteCarlo!$B$9*MonteCarlo!$B$8)*_xlfn.NORM.S.DIST(-(((LN(Z$1/$A25)+(MonteCarlo!$B$9+(MonteCarlo!$B$7^2)/2)*MonteCarlo!$B$8)/(MonteCarlo!$B$7*SQRT(MonteCarlo!$B$8)))-(MonteCarlo!$B$7*SQRT(MonteCarlo!$B$8))),TRUE)-Z$1*_xlfn.NORM.S.DIST(-((LN(Z$1/$A25)+(MonteCarlo!$B$9+(MonteCarlo!$B$7^2)/2)*MonteCarlo!$B$8)/(MonteCarlo!$B$7*SQRT(MonteCarlo!$B$8))),TRUE)),"")</f>
        <v/>
      </c>
      <c r="AA25" t="str">
        <f ca="1">IFERROR(IF(OR(MonteCarlo!$B$4="C",MonteCarlo!$B$4="c"),AA$1*_xlfn.NORM.S.DIST((LN(AA$1/$A25)+(MonteCarlo!$B$9+(MonteCarlo!$B$7^2)/2)*MonteCarlo!$B$8)/(MonteCarlo!$B$7*SQRT(MonteCarlo!$B$8)),TRUE)-$A25*EXP(-MonteCarlo!$B$9*MonteCarlo!$B$8)*_xlfn.NORM.S.DIST(((LN(AA$1/$A25)+(MonteCarlo!$B$9+(MonteCarlo!$B$7^2)/2)*MonteCarlo!$B$8)/(MonteCarlo!$B$7*SQRT(MonteCarlo!$B$8)))-(MonteCarlo!$B$7*SQRT(MonteCarlo!$B$8)),TRUE),$A25*EXP(-MonteCarlo!$B$9*MonteCarlo!$B$8)*_xlfn.NORM.S.DIST(-(((LN(AA$1/$A25)+(MonteCarlo!$B$9+(MonteCarlo!$B$7^2)/2)*MonteCarlo!$B$8)/(MonteCarlo!$B$7*SQRT(MonteCarlo!$B$8)))-(MonteCarlo!$B$7*SQRT(MonteCarlo!$B$8))),TRUE)-AA$1*_xlfn.NORM.S.DIST(-((LN(AA$1/$A25)+(MonteCarlo!$B$9+(MonteCarlo!$B$7^2)/2)*MonteCarlo!$B$8)/(MonteCarlo!$B$7*SQRT(MonteCarlo!$B$8))),TRUE)),"")</f>
        <v/>
      </c>
      <c r="AB25" t="str">
        <f ca="1">IFERROR(IF(OR(MonteCarlo!$B$4="C",MonteCarlo!$B$4="c"),AB$1*_xlfn.NORM.S.DIST((LN(AB$1/$A25)+(MonteCarlo!$B$9+(MonteCarlo!$B$7^2)/2)*MonteCarlo!$B$8)/(MonteCarlo!$B$7*SQRT(MonteCarlo!$B$8)),TRUE)-$A25*EXP(-MonteCarlo!$B$9*MonteCarlo!$B$8)*_xlfn.NORM.S.DIST(((LN(AB$1/$A25)+(MonteCarlo!$B$9+(MonteCarlo!$B$7^2)/2)*MonteCarlo!$B$8)/(MonteCarlo!$B$7*SQRT(MonteCarlo!$B$8)))-(MonteCarlo!$B$7*SQRT(MonteCarlo!$B$8)),TRUE),$A25*EXP(-MonteCarlo!$B$9*MonteCarlo!$B$8)*_xlfn.NORM.S.DIST(-(((LN(AB$1/$A25)+(MonteCarlo!$B$9+(MonteCarlo!$B$7^2)/2)*MonteCarlo!$B$8)/(MonteCarlo!$B$7*SQRT(MonteCarlo!$B$8)))-(MonteCarlo!$B$7*SQRT(MonteCarlo!$B$8))),TRUE)-AB$1*_xlfn.NORM.S.DIST(-((LN(AB$1/$A25)+(MonteCarlo!$B$9+(MonteCarlo!$B$7^2)/2)*MonteCarlo!$B$8)/(MonteCarlo!$B$7*SQRT(MonteCarlo!$B$8))),TRUE)),"")</f>
        <v/>
      </c>
      <c r="AC25" t="str">
        <f ca="1">IFERROR(IF(OR(MonteCarlo!$B$4="C",MonteCarlo!$B$4="c"),AC$1*_xlfn.NORM.S.DIST((LN(AC$1/$A25)+(MonteCarlo!$B$9+(MonteCarlo!$B$7^2)/2)*MonteCarlo!$B$8)/(MonteCarlo!$B$7*SQRT(MonteCarlo!$B$8)),TRUE)-$A25*EXP(-MonteCarlo!$B$9*MonteCarlo!$B$8)*_xlfn.NORM.S.DIST(((LN(AC$1/$A25)+(MonteCarlo!$B$9+(MonteCarlo!$B$7^2)/2)*MonteCarlo!$B$8)/(MonteCarlo!$B$7*SQRT(MonteCarlo!$B$8)))-(MonteCarlo!$B$7*SQRT(MonteCarlo!$B$8)),TRUE),$A25*EXP(-MonteCarlo!$B$9*MonteCarlo!$B$8)*_xlfn.NORM.S.DIST(-(((LN(AC$1/$A25)+(MonteCarlo!$B$9+(MonteCarlo!$B$7^2)/2)*MonteCarlo!$B$8)/(MonteCarlo!$B$7*SQRT(MonteCarlo!$B$8)))-(MonteCarlo!$B$7*SQRT(MonteCarlo!$B$8))),TRUE)-AC$1*_xlfn.NORM.S.DIST(-((LN(AC$1/$A25)+(MonteCarlo!$B$9+(MonteCarlo!$B$7^2)/2)*MonteCarlo!$B$8)/(MonteCarlo!$B$7*SQRT(MonteCarlo!$B$8))),TRUE)),"")</f>
        <v/>
      </c>
      <c r="AD25" t="str">
        <f ca="1">IFERROR(IF(OR(MonteCarlo!$B$4="C",MonteCarlo!$B$4="c"),AD$1*_xlfn.NORM.S.DIST((LN(AD$1/$A25)+(MonteCarlo!$B$9+(MonteCarlo!$B$7^2)/2)*MonteCarlo!$B$8)/(MonteCarlo!$B$7*SQRT(MonteCarlo!$B$8)),TRUE)-$A25*EXP(-MonteCarlo!$B$9*MonteCarlo!$B$8)*_xlfn.NORM.S.DIST(((LN(AD$1/$A25)+(MonteCarlo!$B$9+(MonteCarlo!$B$7^2)/2)*MonteCarlo!$B$8)/(MonteCarlo!$B$7*SQRT(MonteCarlo!$B$8)))-(MonteCarlo!$B$7*SQRT(MonteCarlo!$B$8)),TRUE),$A25*EXP(-MonteCarlo!$B$9*MonteCarlo!$B$8)*_xlfn.NORM.S.DIST(-(((LN(AD$1/$A25)+(MonteCarlo!$B$9+(MonteCarlo!$B$7^2)/2)*MonteCarlo!$B$8)/(MonteCarlo!$B$7*SQRT(MonteCarlo!$B$8)))-(MonteCarlo!$B$7*SQRT(MonteCarlo!$B$8))),TRUE)-AD$1*_xlfn.NORM.S.DIST(-((LN(AD$1/$A25)+(MonteCarlo!$B$9+(MonteCarlo!$B$7^2)/2)*MonteCarlo!$B$8)/(MonteCarlo!$B$7*SQRT(MonteCarlo!$B$8))),TRUE)),"")</f>
        <v/>
      </c>
      <c r="AE25" t="str">
        <f ca="1">IFERROR(IF(OR(MonteCarlo!$B$4="C",MonteCarlo!$B$4="c"),AE$1*_xlfn.NORM.S.DIST((LN(AE$1/$A25)+(MonteCarlo!$B$9+(MonteCarlo!$B$7^2)/2)*MonteCarlo!$B$8)/(MonteCarlo!$B$7*SQRT(MonteCarlo!$B$8)),TRUE)-$A25*EXP(-MonteCarlo!$B$9*MonteCarlo!$B$8)*_xlfn.NORM.S.DIST(((LN(AE$1/$A25)+(MonteCarlo!$B$9+(MonteCarlo!$B$7^2)/2)*MonteCarlo!$B$8)/(MonteCarlo!$B$7*SQRT(MonteCarlo!$B$8)))-(MonteCarlo!$B$7*SQRT(MonteCarlo!$B$8)),TRUE),$A25*EXP(-MonteCarlo!$B$9*MonteCarlo!$B$8)*_xlfn.NORM.S.DIST(-(((LN(AE$1/$A25)+(MonteCarlo!$B$9+(MonteCarlo!$B$7^2)/2)*MonteCarlo!$B$8)/(MonteCarlo!$B$7*SQRT(MonteCarlo!$B$8)))-(MonteCarlo!$B$7*SQRT(MonteCarlo!$B$8))),TRUE)-AE$1*_xlfn.NORM.S.DIST(-((LN(AE$1/$A25)+(MonteCarlo!$B$9+(MonteCarlo!$B$7^2)/2)*MonteCarlo!$B$8)/(MonteCarlo!$B$7*SQRT(MonteCarlo!$B$8))),TRUE)),"")</f>
        <v/>
      </c>
      <c r="AF25" t="str">
        <f ca="1">IFERROR(IF(OR(MonteCarlo!$B$4="C",MonteCarlo!$B$4="c"),AF$1*_xlfn.NORM.S.DIST((LN(AF$1/$A25)+(MonteCarlo!$B$9+(MonteCarlo!$B$7^2)/2)*MonteCarlo!$B$8)/(MonteCarlo!$B$7*SQRT(MonteCarlo!$B$8)),TRUE)-$A25*EXP(-MonteCarlo!$B$9*MonteCarlo!$B$8)*_xlfn.NORM.S.DIST(((LN(AF$1/$A25)+(MonteCarlo!$B$9+(MonteCarlo!$B$7^2)/2)*MonteCarlo!$B$8)/(MonteCarlo!$B$7*SQRT(MonteCarlo!$B$8)))-(MonteCarlo!$B$7*SQRT(MonteCarlo!$B$8)),TRUE),$A25*EXP(-MonteCarlo!$B$9*MonteCarlo!$B$8)*_xlfn.NORM.S.DIST(-(((LN(AF$1/$A25)+(MonteCarlo!$B$9+(MonteCarlo!$B$7^2)/2)*MonteCarlo!$B$8)/(MonteCarlo!$B$7*SQRT(MonteCarlo!$B$8)))-(MonteCarlo!$B$7*SQRT(MonteCarlo!$B$8))),TRUE)-AF$1*_xlfn.NORM.S.DIST(-((LN(AF$1/$A25)+(MonteCarlo!$B$9+(MonteCarlo!$B$7^2)/2)*MonteCarlo!$B$8)/(MonteCarlo!$B$7*SQRT(MonteCarlo!$B$8))),TRUE)),"")</f>
        <v/>
      </c>
    </row>
    <row r="26" spans="2:32" x14ac:dyDescent="0.25">
      <c r="B26" t="str">
        <f ca="1">IFERROR(IF(OR(MonteCarlo!$B$4="C",MonteCarlo!$B$4="c"),B$1*_xlfn.NORM.S.DIST((LN(B$1/$A26)+(MonteCarlo!$B$9+(MonteCarlo!$B$7^2)/2)*MonteCarlo!$B$8)/(MonteCarlo!$B$7*SQRT(MonteCarlo!$B$8)),TRUE)-$A26*EXP(-MonteCarlo!$B$9*MonteCarlo!$B$8)*_xlfn.NORM.S.DIST(((LN(B$1/$A26)+(MonteCarlo!$B$9+(MonteCarlo!$B$7^2)/2)*MonteCarlo!$B$8)/(MonteCarlo!$B$7*SQRT(MonteCarlo!$B$8)))-(MonteCarlo!$B$7*SQRT(MonteCarlo!$B$8)),TRUE),$A26*EXP(-MonteCarlo!$B$9*MonteCarlo!$B$8)*_xlfn.NORM.S.DIST(-(((LN(B$1/$A26)+(MonteCarlo!$B$9+(MonteCarlo!$B$7^2)/2)*MonteCarlo!$B$8)/(MonteCarlo!$B$7*SQRT(MonteCarlo!$B$8)))-(MonteCarlo!$B$7*SQRT(MonteCarlo!$B$8))),TRUE)-B$1*_xlfn.NORM.S.DIST(-((LN(B$1/$A26)+(MonteCarlo!$B$9+(MonteCarlo!$B$7^2)/2)*MonteCarlo!$B$8)/(MonteCarlo!$B$7*SQRT(MonteCarlo!$B$8))),TRUE)),"")</f>
        <v/>
      </c>
      <c r="C26" t="str">
        <f ca="1">IFERROR(IF(OR(MonteCarlo!$B$4="C",MonteCarlo!$B$4="c"),C$1*_xlfn.NORM.S.DIST((LN(C$1/$A26)+(MonteCarlo!$B$9+(MonteCarlo!$B$7^2)/2)*MonteCarlo!$B$8)/(MonteCarlo!$B$7*SQRT(MonteCarlo!$B$8)),TRUE)-$A26*EXP(-MonteCarlo!$B$9*MonteCarlo!$B$8)*_xlfn.NORM.S.DIST(((LN(C$1/$A26)+(MonteCarlo!$B$9+(MonteCarlo!$B$7^2)/2)*MonteCarlo!$B$8)/(MonteCarlo!$B$7*SQRT(MonteCarlo!$B$8)))-(MonteCarlo!$B$7*SQRT(MonteCarlo!$B$8)),TRUE),$A26*EXP(-MonteCarlo!$B$9*MonteCarlo!$B$8)*_xlfn.NORM.S.DIST(-(((LN(C$1/$A26)+(MonteCarlo!$B$9+(MonteCarlo!$B$7^2)/2)*MonteCarlo!$B$8)/(MonteCarlo!$B$7*SQRT(MonteCarlo!$B$8)))-(MonteCarlo!$B$7*SQRT(MonteCarlo!$B$8))),TRUE)-C$1*_xlfn.NORM.S.DIST(-((LN(C$1/$A26)+(MonteCarlo!$B$9+(MonteCarlo!$B$7^2)/2)*MonteCarlo!$B$8)/(MonteCarlo!$B$7*SQRT(MonteCarlo!$B$8))),TRUE)),"")</f>
        <v/>
      </c>
      <c r="D26" t="str">
        <f ca="1">IFERROR(IF(OR(MonteCarlo!$B$4="C",MonteCarlo!$B$4="c"),D$1*_xlfn.NORM.S.DIST((LN(D$1/$A26)+(MonteCarlo!$B$9+(MonteCarlo!$B$7^2)/2)*MonteCarlo!$B$8)/(MonteCarlo!$B$7*SQRT(MonteCarlo!$B$8)),TRUE)-$A26*EXP(-MonteCarlo!$B$9*MonteCarlo!$B$8)*_xlfn.NORM.S.DIST(((LN(D$1/$A26)+(MonteCarlo!$B$9+(MonteCarlo!$B$7^2)/2)*MonteCarlo!$B$8)/(MonteCarlo!$B$7*SQRT(MonteCarlo!$B$8)))-(MonteCarlo!$B$7*SQRT(MonteCarlo!$B$8)),TRUE),$A26*EXP(-MonteCarlo!$B$9*MonteCarlo!$B$8)*_xlfn.NORM.S.DIST(-(((LN(D$1/$A26)+(MonteCarlo!$B$9+(MonteCarlo!$B$7^2)/2)*MonteCarlo!$B$8)/(MonteCarlo!$B$7*SQRT(MonteCarlo!$B$8)))-(MonteCarlo!$B$7*SQRT(MonteCarlo!$B$8))),TRUE)-D$1*_xlfn.NORM.S.DIST(-((LN(D$1/$A26)+(MonteCarlo!$B$9+(MonteCarlo!$B$7^2)/2)*MonteCarlo!$B$8)/(MonteCarlo!$B$7*SQRT(MonteCarlo!$B$8))),TRUE)),"")</f>
        <v/>
      </c>
      <c r="E26" t="str">
        <f ca="1">IFERROR(IF(OR(MonteCarlo!$B$4="C",MonteCarlo!$B$4="c"),E$1*_xlfn.NORM.S.DIST((LN(E$1/$A26)+(MonteCarlo!$B$9+(MonteCarlo!$B$7^2)/2)*MonteCarlo!$B$8)/(MonteCarlo!$B$7*SQRT(MonteCarlo!$B$8)),TRUE)-$A26*EXP(-MonteCarlo!$B$9*MonteCarlo!$B$8)*_xlfn.NORM.S.DIST(((LN(E$1/$A26)+(MonteCarlo!$B$9+(MonteCarlo!$B$7^2)/2)*MonteCarlo!$B$8)/(MonteCarlo!$B$7*SQRT(MonteCarlo!$B$8)))-(MonteCarlo!$B$7*SQRT(MonteCarlo!$B$8)),TRUE),$A26*EXP(-MonteCarlo!$B$9*MonteCarlo!$B$8)*_xlfn.NORM.S.DIST(-(((LN(E$1/$A26)+(MonteCarlo!$B$9+(MonteCarlo!$B$7^2)/2)*MonteCarlo!$B$8)/(MonteCarlo!$B$7*SQRT(MonteCarlo!$B$8)))-(MonteCarlo!$B$7*SQRT(MonteCarlo!$B$8))),TRUE)-E$1*_xlfn.NORM.S.DIST(-((LN(E$1/$A26)+(MonteCarlo!$B$9+(MonteCarlo!$B$7^2)/2)*MonteCarlo!$B$8)/(MonteCarlo!$B$7*SQRT(MonteCarlo!$B$8))),TRUE)),"")</f>
        <v/>
      </c>
      <c r="F26" t="str">
        <f ca="1">IFERROR(IF(OR(MonteCarlo!$B$4="C",MonteCarlo!$B$4="c"),F$1*_xlfn.NORM.S.DIST((LN(F$1/$A26)+(MonteCarlo!$B$9+(MonteCarlo!$B$7^2)/2)*MonteCarlo!$B$8)/(MonteCarlo!$B$7*SQRT(MonteCarlo!$B$8)),TRUE)-$A26*EXP(-MonteCarlo!$B$9*MonteCarlo!$B$8)*_xlfn.NORM.S.DIST(((LN(F$1/$A26)+(MonteCarlo!$B$9+(MonteCarlo!$B$7^2)/2)*MonteCarlo!$B$8)/(MonteCarlo!$B$7*SQRT(MonteCarlo!$B$8)))-(MonteCarlo!$B$7*SQRT(MonteCarlo!$B$8)),TRUE),$A26*EXP(-MonteCarlo!$B$9*MonteCarlo!$B$8)*_xlfn.NORM.S.DIST(-(((LN(F$1/$A26)+(MonteCarlo!$B$9+(MonteCarlo!$B$7^2)/2)*MonteCarlo!$B$8)/(MonteCarlo!$B$7*SQRT(MonteCarlo!$B$8)))-(MonteCarlo!$B$7*SQRT(MonteCarlo!$B$8))),TRUE)-F$1*_xlfn.NORM.S.DIST(-((LN(F$1/$A26)+(MonteCarlo!$B$9+(MonteCarlo!$B$7^2)/2)*MonteCarlo!$B$8)/(MonteCarlo!$B$7*SQRT(MonteCarlo!$B$8))),TRUE)),"")</f>
        <v/>
      </c>
      <c r="G26" t="str">
        <f ca="1">IFERROR(IF(OR(MonteCarlo!$B$4="C",MonteCarlo!$B$4="c"),G$1*_xlfn.NORM.S.DIST((LN(G$1/$A26)+(MonteCarlo!$B$9+(MonteCarlo!$B$7^2)/2)*MonteCarlo!$B$8)/(MonteCarlo!$B$7*SQRT(MonteCarlo!$B$8)),TRUE)-$A26*EXP(-MonteCarlo!$B$9*MonteCarlo!$B$8)*_xlfn.NORM.S.DIST(((LN(G$1/$A26)+(MonteCarlo!$B$9+(MonteCarlo!$B$7^2)/2)*MonteCarlo!$B$8)/(MonteCarlo!$B$7*SQRT(MonteCarlo!$B$8)))-(MonteCarlo!$B$7*SQRT(MonteCarlo!$B$8)),TRUE),$A26*EXP(-MonteCarlo!$B$9*MonteCarlo!$B$8)*_xlfn.NORM.S.DIST(-(((LN(G$1/$A26)+(MonteCarlo!$B$9+(MonteCarlo!$B$7^2)/2)*MonteCarlo!$B$8)/(MonteCarlo!$B$7*SQRT(MonteCarlo!$B$8)))-(MonteCarlo!$B$7*SQRT(MonteCarlo!$B$8))),TRUE)-G$1*_xlfn.NORM.S.DIST(-((LN(G$1/$A26)+(MonteCarlo!$B$9+(MonteCarlo!$B$7^2)/2)*MonteCarlo!$B$8)/(MonteCarlo!$B$7*SQRT(MonteCarlo!$B$8))),TRUE)),"")</f>
        <v/>
      </c>
      <c r="H26" t="str">
        <f ca="1">IFERROR(IF(OR(MonteCarlo!$B$4="C",MonteCarlo!$B$4="c"),H$1*_xlfn.NORM.S.DIST((LN(H$1/$A26)+(MonteCarlo!$B$9+(MonteCarlo!$B$7^2)/2)*MonteCarlo!$B$8)/(MonteCarlo!$B$7*SQRT(MonteCarlo!$B$8)),TRUE)-$A26*EXP(-MonteCarlo!$B$9*MonteCarlo!$B$8)*_xlfn.NORM.S.DIST(((LN(H$1/$A26)+(MonteCarlo!$B$9+(MonteCarlo!$B$7^2)/2)*MonteCarlo!$B$8)/(MonteCarlo!$B$7*SQRT(MonteCarlo!$B$8)))-(MonteCarlo!$B$7*SQRT(MonteCarlo!$B$8)),TRUE),$A26*EXP(-MonteCarlo!$B$9*MonteCarlo!$B$8)*_xlfn.NORM.S.DIST(-(((LN(H$1/$A26)+(MonteCarlo!$B$9+(MonteCarlo!$B$7^2)/2)*MonteCarlo!$B$8)/(MonteCarlo!$B$7*SQRT(MonteCarlo!$B$8)))-(MonteCarlo!$B$7*SQRT(MonteCarlo!$B$8))),TRUE)-H$1*_xlfn.NORM.S.DIST(-((LN(H$1/$A26)+(MonteCarlo!$B$9+(MonteCarlo!$B$7^2)/2)*MonteCarlo!$B$8)/(MonteCarlo!$B$7*SQRT(MonteCarlo!$B$8))),TRUE)),"")</f>
        <v/>
      </c>
      <c r="I26" t="str">
        <f ca="1">IFERROR(IF(OR(MonteCarlo!$B$4="C",MonteCarlo!$B$4="c"),I$1*_xlfn.NORM.S.DIST((LN(I$1/$A26)+(MonteCarlo!$B$9+(MonteCarlo!$B$7^2)/2)*MonteCarlo!$B$8)/(MonteCarlo!$B$7*SQRT(MonteCarlo!$B$8)),TRUE)-$A26*EXP(-MonteCarlo!$B$9*MonteCarlo!$B$8)*_xlfn.NORM.S.DIST(((LN(I$1/$A26)+(MonteCarlo!$B$9+(MonteCarlo!$B$7^2)/2)*MonteCarlo!$B$8)/(MonteCarlo!$B$7*SQRT(MonteCarlo!$B$8)))-(MonteCarlo!$B$7*SQRT(MonteCarlo!$B$8)),TRUE),$A26*EXP(-MonteCarlo!$B$9*MonteCarlo!$B$8)*_xlfn.NORM.S.DIST(-(((LN(I$1/$A26)+(MonteCarlo!$B$9+(MonteCarlo!$B$7^2)/2)*MonteCarlo!$B$8)/(MonteCarlo!$B$7*SQRT(MonteCarlo!$B$8)))-(MonteCarlo!$B$7*SQRT(MonteCarlo!$B$8))),TRUE)-I$1*_xlfn.NORM.S.DIST(-((LN(I$1/$A26)+(MonteCarlo!$B$9+(MonteCarlo!$B$7^2)/2)*MonteCarlo!$B$8)/(MonteCarlo!$B$7*SQRT(MonteCarlo!$B$8))),TRUE)),"")</f>
        <v/>
      </c>
      <c r="J26" t="str">
        <f ca="1">IFERROR(IF(OR(MonteCarlo!$B$4="C",MonteCarlo!$B$4="c"),J$1*_xlfn.NORM.S.DIST((LN(J$1/$A26)+(MonteCarlo!$B$9+(MonteCarlo!$B$7^2)/2)*MonteCarlo!$B$8)/(MonteCarlo!$B$7*SQRT(MonteCarlo!$B$8)),TRUE)-$A26*EXP(-MonteCarlo!$B$9*MonteCarlo!$B$8)*_xlfn.NORM.S.DIST(((LN(J$1/$A26)+(MonteCarlo!$B$9+(MonteCarlo!$B$7^2)/2)*MonteCarlo!$B$8)/(MonteCarlo!$B$7*SQRT(MonteCarlo!$B$8)))-(MonteCarlo!$B$7*SQRT(MonteCarlo!$B$8)),TRUE),$A26*EXP(-MonteCarlo!$B$9*MonteCarlo!$B$8)*_xlfn.NORM.S.DIST(-(((LN(J$1/$A26)+(MonteCarlo!$B$9+(MonteCarlo!$B$7^2)/2)*MonteCarlo!$B$8)/(MonteCarlo!$B$7*SQRT(MonteCarlo!$B$8)))-(MonteCarlo!$B$7*SQRT(MonteCarlo!$B$8))),TRUE)-J$1*_xlfn.NORM.S.DIST(-((LN(J$1/$A26)+(MonteCarlo!$B$9+(MonteCarlo!$B$7^2)/2)*MonteCarlo!$B$8)/(MonteCarlo!$B$7*SQRT(MonteCarlo!$B$8))),TRUE)),"")</f>
        <v/>
      </c>
      <c r="K26" t="str">
        <f ca="1">IFERROR(IF(OR(MonteCarlo!$B$4="C",MonteCarlo!$B$4="c"),K$1*_xlfn.NORM.S.DIST((LN(K$1/$A26)+(MonteCarlo!$B$9+(MonteCarlo!$B$7^2)/2)*MonteCarlo!$B$8)/(MonteCarlo!$B$7*SQRT(MonteCarlo!$B$8)),TRUE)-$A26*EXP(-MonteCarlo!$B$9*MonteCarlo!$B$8)*_xlfn.NORM.S.DIST(((LN(K$1/$A26)+(MonteCarlo!$B$9+(MonteCarlo!$B$7^2)/2)*MonteCarlo!$B$8)/(MonteCarlo!$B$7*SQRT(MonteCarlo!$B$8)))-(MonteCarlo!$B$7*SQRT(MonteCarlo!$B$8)),TRUE),$A26*EXP(-MonteCarlo!$B$9*MonteCarlo!$B$8)*_xlfn.NORM.S.DIST(-(((LN(K$1/$A26)+(MonteCarlo!$B$9+(MonteCarlo!$B$7^2)/2)*MonteCarlo!$B$8)/(MonteCarlo!$B$7*SQRT(MonteCarlo!$B$8)))-(MonteCarlo!$B$7*SQRT(MonteCarlo!$B$8))),TRUE)-K$1*_xlfn.NORM.S.DIST(-((LN(K$1/$A26)+(MonteCarlo!$B$9+(MonteCarlo!$B$7^2)/2)*MonteCarlo!$B$8)/(MonteCarlo!$B$7*SQRT(MonteCarlo!$B$8))),TRUE)),"")</f>
        <v/>
      </c>
      <c r="L26" t="str">
        <f ca="1">IFERROR(IF(OR(MonteCarlo!$B$4="C",MonteCarlo!$B$4="c"),L$1*_xlfn.NORM.S.DIST((LN(L$1/$A26)+(MonteCarlo!$B$9+(MonteCarlo!$B$7^2)/2)*MonteCarlo!$B$8)/(MonteCarlo!$B$7*SQRT(MonteCarlo!$B$8)),TRUE)-$A26*EXP(-MonteCarlo!$B$9*MonteCarlo!$B$8)*_xlfn.NORM.S.DIST(((LN(L$1/$A26)+(MonteCarlo!$B$9+(MonteCarlo!$B$7^2)/2)*MonteCarlo!$B$8)/(MonteCarlo!$B$7*SQRT(MonteCarlo!$B$8)))-(MonteCarlo!$B$7*SQRT(MonteCarlo!$B$8)),TRUE),$A26*EXP(-MonteCarlo!$B$9*MonteCarlo!$B$8)*_xlfn.NORM.S.DIST(-(((LN(L$1/$A26)+(MonteCarlo!$B$9+(MonteCarlo!$B$7^2)/2)*MonteCarlo!$B$8)/(MonteCarlo!$B$7*SQRT(MonteCarlo!$B$8)))-(MonteCarlo!$B$7*SQRT(MonteCarlo!$B$8))),TRUE)-L$1*_xlfn.NORM.S.DIST(-((LN(L$1/$A26)+(MonteCarlo!$B$9+(MonteCarlo!$B$7^2)/2)*MonteCarlo!$B$8)/(MonteCarlo!$B$7*SQRT(MonteCarlo!$B$8))),TRUE)),"")</f>
        <v/>
      </c>
      <c r="M26" t="str">
        <f ca="1">IFERROR(IF(OR(MonteCarlo!$B$4="C",MonteCarlo!$B$4="c"),M$1*_xlfn.NORM.S.DIST((LN(M$1/$A26)+(MonteCarlo!$B$9+(MonteCarlo!$B$7^2)/2)*MonteCarlo!$B$8)/(MonteCarlo!$B$7*SQRT(MonteCarlo!$B$8)),TRUE)-$A26*EXP(-MonteCarlo!$B$9*MonteCarlo!$B$8)*_xlfn.NORM.S.DIST(((LN(M$1/$A26)+(MonteCarlo!$B$9+(MonteCarlo!$B$7^2)/2)*MonteCarlo!$B$8)/(MonteCarlo!$B$7*SQRT(MonteCarlo!$B$8)))-(MonteCarlo!$B$7*SQRT(MonteCarlo!$B$8)),TRUE),$A26*EXP(-MonteCarlo!$B$9*MonteCarlo!$B$8)*_xlfn.NORM.S.DIST(-(((LN(M$1/$A26)+(MonteCarlo!$B$9+(MonteCarlo!$B$7^2)/2)*MonteCarlo!$B$8)/(MonteCarlo!$B$7*SQRT(MonteCarlo!$B$8)))-(MonteCarlo!$B$7*SQRT(MonteCarlo!$B$8))),TRUE)-M$1*_xlfn.NORM.S.DIST(-((LN(M$1/$A26)+(MonteCarlo!$B$9+(MonteCarlo!$B$7^2)/2)*MonteCarlo!$B$8)/(MonteCarlo!$B$7*SQRT(MonteCarlo!$B$8))),TRUE)),"")</f>
        <v/>
      </c>
      <c r="N26" t="str">
        <f ca="1">IFERROR(IF(OR(MonteCarlo!$B$4="C",MonteCarlo!$B$4="c"),N$1*_xlfn.NORM.S.DIST((LN(N$1/$A26)+(MonteCarlo!$B$9+(MonteCarlo!$B$7^2)/2)*MonteCarlo!$B$8)/(MonteCarlo!$B$7*SQRT(MonteCarlo!$B$8)),TRUE)-$A26*EXP(-MonteCarlo!$B$9*MonteCarlo!$B$8)*_xlfn.NORM.S.DIST(((LN(N$1/$A26)+(MonteCarlo!$B$9+(MonteCarlo!$B$7^2)/2)*MonteCarlo!$B$8)/(MonteCarlo!$B$7*SQRT(MonteCarlo!$B$8)))-(MonteCarlo!$B$7*SQRT(MonteCarlo!$B$8)),TRUE),$A26*EXP(-MonteCarlo!$B$9*MonteCarlo!$B$8)*_xlfn.NORM.S.DIST(-(((LN(N$1/$A26)+(MonteCarlo!$B$9+(MonteCarlo!$B$7^2)/2)*MonteCarlo!$B$8)/(MonteCarlo!$B$7*SQRT(MonteCarlo!$B$8)))-(MonteCarlo!$B$7*SQRT(MonteCarlo!$B$8))),TRUE)-N$1*_xlfn.NORM.S.DIST(-((LN(N$1/$A26)+(MonteCarlo!$B$9+(MonteCarlo!$B$7^2)/2)*MonteCarlo!$B$8)/(MonteCarlo!$B$7*SQRT(MonteCarlo!$B$8))),TRUE)),"")</f>
        <v/>
      </c>
      <c r="O26" t="str">
        <f ca="1">IFERROR(IF(OR(MonteCarlo!$B$4="C",MonteCarlo!$B$4="c"),O$1*_xlfn.NORM.S.DIST((LN(O$1/$A26)+(MonteCarlo!$B$9+(MonteCarlo!$B$7^2)/2)*MonteCarlo!$B$8)/(MonteCarlo!$B$7*SQRT(MonteCarlo!$B$8)),TRUE)-$A26*EXP(-MonteCarlo!$B$9*MonteCarlo!$B$8)*_xlfn.NORM.S.DIST(((LN(O$1/$A26)+(MonteCarlo!$B$9+(MonteCarlo!$B$7^2)/2)*MonteCarlo!$B$8)/(MonteCarlo!$B$7*SQRT(MonteCarlo!$B$8)))-(MonteCarlo!$B$7*SQRT(MonteCarlo!$B$8)),TRUE),$A26*EXP(-MonteCarlo!$B$9*MonteCarlo!$B$8)*_xlfn.NORM.S.DIST(-(((LN(O$1/$A26)+(MonteCarlo!$B$9+(MonteCarlo!$B$7^2)/2)*MonteCarlo!$B$8)/(MonteCarlo!$B$7*SQRT(MonteCarlo!$B$8)))-(MonteCarlo!$B$7*SQRT(MonteCarlo!$B$8))),TRUE)-O$1*_xlfn.NORM.S.DIST(-((LN(O$1/$A26)+(MonteCarlo!$B$9+(MonteCarlo!$B$7^2)/2)*MonteCarlo!$B$8)/(MonteCarlo!$B$7*SQRT(MonteCarlo!$B$8))),TRUE)),"")</f>
        <v/>
      </c>
      <c r="P26" t="str">
        <f ca="1">IFERROR(IF(OR(MonteCarlo!$B$4="C",MonteCarlo!$B$4="c"),P$1*_xlfn.NORM.S.DIST((LN(P$1/$A26)+(MonteCarlo!$B$9+(MonteCarlo!$B$7^2)/2)*MonteCarlo!$B$8)/(MonteCarlo!$B$7*SQRT(MonteCarlo!$B$8)),TRUE)-$A26*EXP(-MonteCarlo!$B$9*MonteCarlo!$B$8)*_xlfn.NORM.S.DIST(((LN(P$1/$A26)+(MonteCarlo!$B$9+(MonteCarlo!$B$7^2)/2)*MonteCarlo!$B$8)/(MonteCarlo!$B$7*SQRT(MonteCarlo!$B$8)))-(MonteCarlo!$B$7*SQRT(MonteCarlo!$B$8)),TRUE),$A26*EXP(-MonteCarlo!$B$9*MonteCarlo!$B$8)*_xlfn.NORM.S.DIST(-(((LN(P$1/$A26)+(MonteCarlo!$B$9+(MonteCarlo!$B$7^2)/2)*MonteCarlo!$B$8)/(MonteCarlo!$B$7*SQRT(MonteCarlo!$B$8)))-(MonteCarlo!$B$7*SQRT(MonteCarlo!$B$8))),TRUE)-P$1*_xlfn.NORM.S.DIST(-((LN(P$1/$A26)+(MonteCarlo!$B$9+(MonteCarlo!$B$7^2)/2)*MonteCarlo!$B$8)/(MonteCarlo!$B$7*SQRT(MonteCarlo!$B$8))),TRUE)),"")</f>
        <v/>
      </c>
      <c r="Q26" t="str">
        <f ca="1">IFERROR(IF(OR(MonteCarlo!$B$4="C",MonteCarlo!$B$4="c"),Q$1*_xlfn.NORM.S.DIST((LN(Q$1/$A26)+(MonteCarlo!$B$9+(MonteCarlo!$B$7^2)/2)*MonteCarlo!$B$8)/(MonteCarlo!$B$7*SQRT(MonteCarlo!$B$8)),TRUE)-$A26*EXP(-MonteCarlo!$B$9*MonteCarlo!$B$8)*_xlfn.NORM.S.DIST(((LN(Q$1/$A26)+(MonteCarlo!$B$9+(MonteCarlo!$B$7^2)/2)*MonteCarlo!$B$8)/(MonteCarlo!$B$7*SQRT(MonteCarlo!$B$8)))-(MonteCarlo!$B$7*SQRT(MonteCarlo!$B$8)),TRUE),$A26*EXP(-MonteCarlo!$B$9*MonteCarlo!$B$8)*_xlfn.NORM.S.DIST(-(((LN(Q$1/$A26)+(MonteCarlo!$B$9+(MonteCarlo!$B$7^2)/2)*MonteCarlo!$B$8)/(MonteCarlo!$B$7*SQRT(MonteCarlo!$B$8)))-(MonteCarlo!$B$7*SQRT(MonteCarlo!$B$8))),TRUE)-Q$1*_xlfn.NORM.S.DIST(-((LN(Q$1/$A26)+(MonteCarlo!$B$9+(MonteCarlo!$B$7^2)/2)*MonteCarlo!$B$8)/(MonteCarlo!$B$7*SQRT(MonteCarlo!$B$8))),TRUE)),"")</f>
        <v/>
      </c>
      <c r="R26" t="str">
        <f ca="1">IFERROR(IF(OR(MonteCarlo!$B$4="C",MonteCarlo!$B$4="c"),R$1*_xlfn.NORM.S.DIST((LN(R$1/$A26)+(MonteCarlo!$B$9+(MonteCarlo!$B$7^2)/2)*MonteCarlo!$B$8)/(MonteCarlo!$B$7*SQRT(MonteCarlo!$B$8)),TRUE)-$A26*EXP(-MonteCarlo!$B$9*MonteCarlo!$B$8)*_xlfn.NORM.S.DIST(((LN(R$1/$A26)+(MonteCarlo!$B$9+(MonteCarlo!$B$7^2)/2)*MonteCarlo!$B$8)/(MonteCarlo!$B$7*SQRT(MonteCarlo!$B$8)))-(MonteCarlo!$B$7*SQRT(MonteCarlo!$B$8)),TRUE),$A26*EXP(-MonteCarlo!$B$9*MonteCarlo!$B$8)*_xlfn.NORM.S.DIST(-(((LN(R$1/$A26)+(MonteCarlo!$B$9+(MonteCarlo!$B$7^2)/2)*MonteCarlo!$B$8)/(MonteCarlo!$B$7*SQRT(MonteCarlo!$B$8)))-(MonteCarlo!$B$7*SQRT(MonteCarlo!$B$8))),TRUE)-R$1*_xlfn.NORM.S.DIST(-((LN(R$1/$A26)+(MonteCarlo!$B$9+(MonteCarlo!$B$7^2)/2)*MonteCarlo!$B$8)/(MonteCarlo!$B$7*SQRT(MonteCarlo!$B$8))),TRUE)),"")</f>
        <v/>
      </c>
      <c r="S26" t="str">
        <f ca="1">IFERROR(IF(OR(MonteCarlo!$B$4="C",MonteCarlo!$B$4="c"),S$1*_xlfn.NORM.S.DIST((LN(S$1/$A26)+(MonteCarlo!$B$9+(MonteCarlo!$B$7^2)/2)*MonteCarlo!$B$8)/(MonteCarlo!$B$7*SQRT(MonteCarlo!$B$8)),TRUE)-$A26*EXP(-MonteCarlo!$B$9*MonteCarlo!$B$8)*_xlfn.NORM.S.DIST(((LN(S$1/$A26)+(MonteCarlo!$B$9+(MonteCarlo!$B$7^2)/2)*MonteCarlo!$B$8)/(MonteCarlo!$B$7*SQRT(MonteCarlo!$B$8)))-(MonteCarlo!$B$7*SQRT(MonteCarlo!$B$8)),TRUE),$A26*EXP(-MonteCarlo!$B$9*MonteCarlo!$B$8)*_xlfn.NORM.S.DIST(-(((LN(S$1/$A26)+(MonteCarlo!$B$9+(MonteCarlo!$B$7^2)/2)*MonteCarlo!$B$8)/(MonteCarlo!$B$7*SQRT(MonteCarlo!$B$8)))-(MonteCarlo!$B$7*SQRT(MonteCarlo!$B$8))),TRUE)-S$1*_xlfn.NORM.S.DIST(-((LN(S$1/$A26)+(MonteCarlo!$B$9+(MonteCarlo!$B$7^2)/2)*MonteCarlo!$B$8)/(MonteCarlo!$B$7*SQRT(MonteCarlo!$B$8))),TRUE)),"")</f>
        <v/>
      </c>
      <c r="T26" t="str">
        <f ca="1">IFERROR(IF(OR(MonteCarlo!$B$4="C",MonteCarlo!$B$4="c"),T$1*_xlfn.NORM.S.DIST((LN(T$1/$A26)+(MonteCarlo!$B$9+(MonteCarlo!$B$7^2)/2)*MonteCarlo!$B$8)/(MonteCarlo!$B$7*SQRT(MonteCarlo!$B$8)),TRUE)-$A26*EXP(-MonteCarlo!$B$9*MonteCarlo!$B$8)*_xlfn.NORM.S.DIST(((LN(T$1/$A26)+(MonteCarlo!$B$9+(MonteCarlo!$B$7^2)/2)*MonteCarlo!$B$8)/(MonteCarlo!$B$7*SQRT(MonteCarlo!$B$8)))-(MonteCarlo!$B$7*SQRT(MonteCarlo!$B$8)),TRUE),$A26*EXP(-MonteCarlo!$B$9*MonteCarlo!$B$8)*_xlfn.NORM.S.DIST(-(((LN(T$1/$A26)+(MonteCarlo!$B$9+(MonteCarlo!$B$7^2)/2)*MonteCarlo!$B$8)/(MonteCarlo!$B$7*SQRT(MonteCarlo!$B$8)))-(MonteCarlo!$B$7*SQRT(MonteCarlo!$B$8))),TRUE)-T$1*_xlfn.NORM.S.DIST(-((LN(T$1/$A26)+(MonteCarlo!$B$9+(MonteCarlo!$B$7^2)/2)*MonteCarlo!$B$8)/(MonteCarlo!$B$7*SQRT(MonteCarlo!$B$8))),TRUE)),"")</f>
        <v/>
      </c>
      <c r="U26" t="str">
        <f ca="1">IFERROR(IF(OR(MonteCarlo!$B$4="C",MonteCarlo!$B$4="c"),U$1*_xlfn.NORM.S.DIST((LN(U$1/$A26)+(MonteCarlo!$B$9+(MonteCarlo!$B$7^2)/2)*MonteCarlo!$B$8)/(MonteCarlo!$B$7*SQRT(MonteCarlo!$B$8)),TRUE)-$A26*EXP(-MonteCarlo!$B$9*MonteCarlo!$B$8)*_xlfn.NORM.S.DIST(((LN(U$1/$A26)+(MonteCarlo!$B$9+(MonteCarlo!$B$7^2)/2)*MonteCarlo!$B$8)/(MonteCarlo!$B$7*SQRT(MonteCarlo!$B$8)))-(MonteCarlo!$B$7*SQRT(MonteCarlo!$B$8)),TRUE),$A26*EXP(-MonteCarlo!$B$9*MonteCarlo!$B$8)*_xlfn.NORM.S.DIST(-(((LN(U$1/$A26)+(MonteCarlo!$B$9+(MonteCarlo!$B$7^2)/2)*MonteCarlo!$B$8)/(MonteCarlo!$B$7*SQRT(MonteCarlo!$B$8)))-(MonteCarlo!$B$7*SQRT(MonteCarlo!$B$8))),TRUE)-U$1*_xlfn.NORM.S.DIST(-((LN(U$1/$A26)+(MonteCarlo!$B$9+(MonteCarlo!$B$7^2)/2)*MonteCarlo!$B$8)/(MonteCarlo!$B$7*SQRT(MonteCarlo!$B$8))),TRUE)),"")</f>
        <v/>
      </c>
      <c r="V26" t="str">
        <f ca="1">IFERROR(IF(OR(MonteCarlo!$B$4="C",MonteCarlo!$B$4="c"),V$1*_xlfn.NORM.S.DIST((LN(V$1/$A26)+(MonteCarlo!$B$9+(MonteCarlo!$B$7^2)/2)*MonteCarlo!$B$8)/(MonteCarlo!$B$7*SQRT(MonteCarlo!$B$8)),TRUE)-$A26*EXP(-MonteCarlo!$B$9*MonteCarlo!$B$8)*_xlfn.NORM.S.DIST(((LN(V$1/$A26)+(MonteCarlo!$B$9+(MonteCarlo!$B$7^2)/2)*MonteCarlo!$B$8)/(MonteCarlo!$B$7*SQRT(MonteCarlo!$B$8)))-(MonteCarlo!$B$7*SQRT(MonteCarlo!$B$8)),TRUE),$A26*EXP(-MonteCarlo!$B$9*MonteCarlo!$B$8)*_xlfn.NORM.S.DIST(-(((LN(V$1/$A26)+(MonteCarlo!$B$9+(MonteCarlo!$B$7^2)/2)*MonteCarlo!$B$8)/(MonteCarlo!$B$7*SQRT(MonteCarlo!$B$8)))-(MonteCarlo!$B$7*SQRT(MonteCarlo!$B$8))),TRUE)-V$1*_xlfn.NORM.S.DIST(-((LN(V$1/$A26)+(MonteCarlo!$B$9+(MonteCarlo!$B$7^2)/2)*MonteCarlo!$B$8)/(MonteCarlo!$B$7*SQRT(MonteCarlo!$B$8))),TRUE)),"")</f>
        <v/>
      </c>
      <c r="W26" t="str">
        <f ca="1">IFERROR(IF(OR(MonteCarlo!$B$4="C",MonteCarlo!$B$4="c"),W$1*_xlfn.NORM.S.DIST((LN(W$1/$A26)+(MonteCarlo!$B$9+(MonteCarlo!$B$7^2)/2)*MonteCarlo!$B$8)/(MonteCarlo!$B$7*SQRT(MonteCarlo!$B$8)),TRUE)-$A26*EXP(-MonteCarlo!$B$9*MonteCarlo!$B$8)*_xlfn.NORM.S.DIST(((LN(W$1/$A26)+(MonteCarlo!$B$9+(MonteCarlo!$B$7^2)/2)*MonteCarlo!$B$8)/(MonteCarlo!$B$7*SQRT(MonteCarlo!$B$8)))-(MonteCarlo!$B$7*SQRT(MonteCarlo!$B$8)),TRUE),$A26*EXP(-MonteCarlo!$B$9*MonteCarlo!$B$8)*_xlfn.NORM.S.DIST(-(((LN(W$1/$A26)+(MonteCarlo!$B$9+(MonteCarlo!$B$7^2)/2)*MonteCarlo!$B$8)/(MonteCarlo!$B$7*SQRT(MonteCarlo!$B$8)))-(MonteCarlo!$B$7*SQRT(MonteCarlo!$B$8))),TRUE)-W$1*_xlfn.NORM.S.DIST(-((LN(W$1/$A26)+(MonteCarlo!$B$9+(MonteCarlo!$B$7^2)/2)*MonteCarlo!$B$8)/(MonteCarlo!$B$7*SQRT(MonteCarlo!$B$8))),TRUE)),"")</f>
        <v/>
      </c>
      <c r="X26" t="str">
        <f ca="1">IFERROR(IF(OR(MonteCarlo!$B$4="C",MonteCarlo!$B$4="c"),X$1*_xlfn.NORM.S.DIST((LN(X$1/$A26)+(MonteCarlo!$B$9+(MonteCarlo!$B$7^2)/2)*MonteCarlo!$B$8)/(MonteCarlo!$B$7*SQRT(MonteCarlo!$B$8)),TRUE)-$A26*EXP(-MonteCarlo!$B$9*MonteCarlo!$B$8)*_xlfn.NORM.S.DIST(((LN(X$1/$A26)+(MonteCarlo!$B$9+(MonteCarlo!$B$7^2)/2)*MonteCarlo!$B$8)/(MonteCarlo!$B$7*SQRT(MonteCarlo!$B$8)))-(MonteCarlo!$B$7*SQRT(MonteCarlo!$B$8)),TRUE),$A26*EXP(-MonteCarlo!$B$9*MonteCarlo!$B$8)*_xlfn.NORM.S.DIST(-(((LN(X$1/$A26)+(MonteCarlo!$B$9+(MonteCarlo!$B$7^2)/2)*MonteCarlo!$B$8)/(MonteCarlo!$B$7*SQRT(MonteCarlo!$B$8)))-(MonteCarlo!$B$7*SQRT(MonteCarlo!$B$8))),TRUE)-X$1*_xlfn.NORM.S.DIST(-((LN(X$1/$A26)+(MonteCarlo!$B$9+(MonteCarlo!$B$7^2)/2)*MonteCarlo!$B$8)/(MonteCarlo!$B$7*SQRT(MonteCarlo!$B$8))),TRUE)),"")</f>
        <v/>
      </c>
      <c r="Y26" t="str">
        <f ca="1">IFERROR(IF(OR(MonteCarlo!$B$4="C",MonteCarlo!$B$4="c"),Y$1*_xlfn.NORM.S.DIST((LN(Y$1/$A26)+(MonteCarlo!$B$9+(MonteCarlo!$B$7^2)/2)*MonteCarlo!$B$8)/(MonteCarlo!$B$7*SQRT(MonteCarlo!$B$8)),TRUE)-$A26*EXP(-MonteCarlo!$B$9*MonteCarlo!$B$8)*_xlfn.NORM.S.DIST(((LN(Y$1/$A26)+(MonteCarlo!$B$9+(MonteCarlo!$B$7^2)/2)*MonteCarlo!$B$8)/(MonteCarlo!$B$7*SQRT(MonteCarlo!$B$8)))-(MonteCarlo!$B$7*SQRT(MonteCarlo!$B$8)),TRUE),$A26*EXP(-MonteCarlo!$B$9*MonteCarlo!$B$8)*_xlfn.NORM.S.DIST(-(((LN(Y$1/$A26)+(MonteCarlo!$B$9+(MonteCarlo!$B$7^2)/2)*MonteCarlo!$B$8)/(MonteCarlo!$B$7*SQRT(MonteCarlo!$B$8)))-(MonteCarlo!$B$7*SQRT(MonteCarlo!$B$8))),TRUE)-Y$1*_xlfn.NORM.S.DIST(-((LN(Y$1/$A26)+(MonteCarlo!$B$9+(MonteCarlo!$B$7^2)/2)*MonteCarlo!$B$8)/(MonteCarlo!$B$7*SQRT(MonteCarlo!$B$8))),TRUE)),"")</f>
        <v/>
      </c>
      <c r="Z26" t="str">
        <f ca="1">IFERROR(IF(OR(MonteCarlo!$B$4="C",MonteCarlo!$B$4="c"),Z$1*_xlfn.NORM.S.DIST((LN(Z$1/$A26)+(MonteCarlo!$B$9+(MonteCarlo!$B$7^2)/2)*MonteCarlo!$B$8)/(MonteCarlo!$B$7*SQRT(MonteCarlo!$B$8)),TRUE)-$A26*EXP(-MonteCarlo!$B$9*MonteCarlo!$B$8)*_xlfn.NORM.S.DIST(((LN(Z$1/$A26)+(MonteCarlo!$B$9+(MonteCarlo!$B$7^2)/2)*MonteCarlo!$B$8)/(MonteCarlo!$B$7*SQRT(MonteCarlo!$B$8)))-(MonteCarlo!$B$7*SQRT(MonteCarlo!$B$8)),TRUE),$A26*EXP(-MonteCarlo!$B$9*MonteCarlo!$B$8)*_xlfn.NORM.S.DIST(-(((LN(Z$1/$A26)+(MonteCarlo!$B$9+(MonteCarlo!$B$7^2)/2)*MonteCarlo!$B$8)/(MonteCarlo!$B$7*SQRT(MonteCarlo!$B$8)))-(MonteCarlo!$B$7*SQRT(MonteCarlo!$B$8))),TRUE)-Z$1*_xlfn.NORM.S.DIST(-((LN(Z$1/$A26)+(MonteCarlo!$B$9+(MonteCarlo!$B$7^2)/2)*MonteCarlo!$B$8)/(MonteCarlo!$B$7*SQRT(MonteCarlo!$B$8))),TRUE)),"")</f>
        <v/>
      </c>
      <c r="AA26" t="str">
        <f ca="1">IFERROR(IF(OR(MonteCarlo!$B$4="C",MonteCarlo!$B$4="c"),AA$1*_xlfn.NORM.S.DIST((LN(AA$1/$A26)+(MonteCarlo!$B$9+(MonteCarlo!$B$7^2)/2)*MonteCarlo!$B$8)/(MonteCarlo!$B$7*SQRT(MonteCarlo!$B$8)),TRUE)-$A26*EXP(-MonteCarlo!$B$9*MonteCarlo!$B$8)*_xlfn.NORM.S.DIST(((LN(AA$1/$A26)+(MonteCarlo!$B$9+(MonteCarlo!$B$7^2)/2)*MonteCarlo!$B$8)/(MonteCarlo!$B$7*SQRT(MonteCarlo!$B$8)))-(MonteCarlo!$B$7*SQRT(MonteCarlo!$B$8)),TRUE),$A26*EXP(-MonteCarlo!$B$9*MonteCarlo!$B$8)*_xlfn.NORM.S.DIST(-(((LN(AA$1/$A26)+(MonteCarlo!$B$9+(MonteCarlo!$B$7^2)/2)*MonteCarlo!$B$8)/(MonteCarlo!$B$7*SQRT(MonteCarlo!$B$8)))-(MonteCarlo!$B$7*SQRT(MonteCarlo!$B$8))),TRUE)-AA$1*_xlfn.NORM.S.DIST(-((LN(AA$1/$A26)+(MonteCarlo!$B$9+(MonteCarlo!$B$7^2)/2)*MonteCarlo!$B$8)/(MonteCarlo!$B$7*SQRT(MonteCarlo!$B$8))),TRUE)),"")</f>
        <v/>
      </c>
      <c r="AB26" t="str">
        <f ca="1">IFERROR(IF(OR(MonteCarlo!$B$4="C",MonteCarlo!$B$4="c"),AB$1*_xlfn.NORM.S.DIST((LN(AB$1/$A26)+(MonteCarlo!$B$9+(MonteCarlo!$B$7^2)/2)*MonteCarlo!$B$8)/(MonteCarlo!$B$7*SQRT(MonteCarlo!$B$8)),TRUE)-$A26*EXP(-MonteCarlo!$B$9*MonteCarlo!$B$8)*_xlfn.NORM.S.DIST(((LN(AB$1/$A26)+(MonteCarlo!$B$9+(MonteCarlo!$B$7^2)/2)*MonteCarlo!$B$8)/(MonteCarlo!$B$7*SQRT(MonteCarlo!$B$8)))-(MonteCarlo!$B$7*SQRT(MonteCarlo!$B$8)),TRUE),$A26*EXP(-MonteCarlo!$B$9*MonteCarlo!$B$8)*_xlfn.NORM.S.DIST(-(((LN(AB$1/$A26)+(MonteCarlo!$B$9+(MonteCarlo!$B$7^2)/2)*MonteCarlo!$B$8)/(MonteCarlo!$B$7*SQRT(MonteCarlo!$B$8)))-(MonteCarlo!$B$7*SQRT(MonteCarlo!$B$8))),TRUE)-AB$1*_xlfn.NORM.S.DIST(-((LN(AB$1/$A26)+(MonteCarlo!$B$9+(MonteCarlo!$B$7^2)/2)*MonteCarlo!$B$8)/(MonteCarlo!$B$7*SQRT(MonteCarlo!$B$8))),TRUE)),"")</f>
        <v/>
      </c>
      <c r="AC26" t="str">
        <f ca="1">IFERROR(IF(OR(MonteCarlo!$B$4="C",MonteCarlo!$B$4="c"),AC$1*_xlfn.NORM.S.DIST((LN(AC$1/$A26)+(MonteCarlo!$B$9+(MonteCarlo!$B$7^2)/2)*MonteCarlo!$B$8)/(MonteCarlo!$B$7*SQRT(MonteCarlo!$B$8)),TRUE)-$A26*EXP(-MonteCarlo!$B$9*MonteCarlo!$B$8)*_xlfn.NORM.S.DIST(((LN(AC$1/$A26)+(MonteCarlo!$B$9+(MonteCarlo!$B$7^2)/2)*MonteCarlo!$B$8)/(MonteCarlo!$B$7*SQRT(MonteCarlo!$B$8)))-(MonteCarlo!$B$7*SQRT(MonteCarlo!$B$8)),TRUE),$A26*EXP(-MonteCarlo!$B$9*MonteCarlo!$B$8)*_xlfn.NORM.S.DIST(-(((LN(AC$1/$A26)+(MonteCarlo!$B$9+(MonteCarlo!$B$7^2)/2)*MonteCarlo!$B$8)/(MonteCarlo!$B$7*SQRT(MonteCarlo!$B$8)))-(MonteCarlo!$B$7*SQRT(MonteCarlo!$B$8))),TRUE)-AC$1*_xlfn.NORM.S.DIST(-((LN(AC$1/$A26)+(MonteCarlo!$B$9+(MonteCarlo!$B$7^2)/2)*MonteCarlo!$B$8)/(MonteCarlo!$B$7*SQRT(MonteCarlo!$B$8))),TRUE)),"")</f>
        <v/>
      </c>
      <c r="AD26" t="str">
        <f ca="1">IFERROR(IF(OR(MonteCarlo!$B$4="C",MonteCarlo!$B$4="c"),AD$1*_xlfn.NORM.S.DIST((LN(AD$1/$A26)+(MonteCarlo!$B$9+(MonteCarlo!$B$7^2)/2)*MonteCarlo!$B$8)/(MonteCarlo!$B$7*SQRT(MonteCarlo!$B$8)),TRUE)-$A26*EXP(-MonteCarlo!$B$9*MonteCarlo!$B$8)*_xlfn.NORM.S.DIST(((LN(AD$1/$A26)+(MonteCarlo!$B$9+(MonteCarlo!$B$7^2)/2)*MonteCarlo!$B$8)/(MonteCarlo!$B$7*SQRT(MonteCarlo!$B$8)))-(MonteCarlo!$B$7*SQRT(MonteCarlo!$B$8)),TRUE),$A26*EXP(-MonteCarlo!$B$9*MonteCarlo!$B$8)*_xlfn.NORM.S.DIST(-(((LN(AD$1/$A26)+(MonteCarlo!$B$9+(MonteCarlo!$B$7^2)/2)*MonteCarlo!$B$8)/(MonteCarlo!$B$7*SQRT(MonteCarlo!$B$8)))-(MonteCarlo!$B$7*SQRT(MonteCarlo!$B$8))),TRUE)-AD$1*_xlfn.NORM.S.DIST(-((LN(AD$1/$A26)+(MonteCarlo!$B$9+(MonteCarlo!$B$7^2)/2)*MonteCarlo!$B$8)/(MonteCarlo!$B$7*SQRT(MonteCarlo!$B$8))),TRUE)),"")</f>
        <v/>
      </c>
      <c r="AE26" t="str">
        <f ca="1">IFERROR(IF(OR(MonteCarlo!$B$4="C",MonteCarlo!$B$4="c"),AE$1*_xlfn.NORM.S.DIST((LN(AE$1/$A26)+(MonteCarlo!$B$9+(MonteCarlo!$B$7^2)/2)*MonteCarlo!$B$8)/(MonteCarlo!$B$7*SQRT(MonteCarlo!$B$8)),TRUE)-$A26*EXP(-MonteCarlo!$B$9*MonteCarlo!$B$8)*_xlfn.NORM.S.DIST(((LN(AE$1/$A26)+(MonteCarlo!$B$9+(MonteCarlo!$B$7^2)/2)*MonteCarlo!$B$8)/(MonteCarlo!$B$7*SQRT(MonteCarlo!$B$8)))-(MonteCarlo!$B$7*SQRT(MonteCarlo!$B$8)),TRUE),$A26*EXP(-MonteCarlo!$B$9*MonteCarlo!$B$8)*_xlfn.NORM.S.DIST(-(((LN(AE$1/$A26)+(MonteCarlo!$B$9+(MonteCarlo!$B$7^2)/2)*MonteCarlo!$B$8)/(MonteCarlo!$B$7*SQRT(MonteCarlo!$B$8)))-(MonteCarlo!$B$7*SQRT(MonteCarlo!$B$8))),TRUE)-AE$1*_xlfn.NORM.S.DIST(-((LN(AE$1/$A26)+(MonteCarlo!$B$9+(MonteCarlo!$B$7^2)/2)*MonteCarlo!$B$8)/(MonteCarlo!$B$7*SQRT(MonteCarlo!$B$8))),TRUE)),"")</f>
        <v/>
      </c>
      <c r="AF26" t="str">
        <f ca="1">IFERROR(IF(OR(MonteCarlo!$B$4="C",MonteCarlo!$B$4="c"),AF$1*_xlfn.NORM.S.DIST((LN(AF$1/$A26)+(MonteCarlo!$B$9+(MonteCarlo!$B$7^2)/2)*MonteCarlo!$B$8)/(MonteCarlo!$B$7*SQRT(MonteCarlo!$B$8)),TRUE)-$A26*EXP(-MonteCarlo!$B$9*MonteCarlo!$B$8)*_xlfn.NORM.S.DIST(((LN(AF$1/$A26)+(MonteCarlo!$B$9+(MonteCarlo!$B$7^2)/2)*MonteCarlo!$B$8)/(MonteCarlo!$B$7*SQRT(MonteCarlo!$B$8)))-(MonteCarlo!$B$7*SQRT(MonteCarlo!$B$8)),TRUE),$A26*EXP(-MonteCarlo!$B$9*MonteCarlo!$B$8)*_xlfn.NORM.S.DIST(-(((LN(AF$1/$A26)+(MonteCarlo!$B$9+(MonteCarlo!$B$7^2)/2)*MonteCarlo!$B$8)/(MonteCarlo!$B$7*SQRT(MonteCarlo!$B$8)))-(MonteCarlo!$B$7*SQRT(MonteCarlo!$B$8))),TRUE)-AF$1*_xlfn.NORM.S.DIST(-((LN(AF$1/$A26)+(MonteCarlo!$B$9+(MonteCarlo!$B$7^2)/2)*MonteCarlo!$B$8)/(MonteCarlo!$B$7*SQRT(MonteCarlo!$B$8))),TRUE)),"")</f>
        <v/>
      </c>
    </row>
    <row r="27" spans="2:32" x14ac:dyDescent="0.25">
      <c r="B27" t="str">
        <f ca="1">IFERROR(IF(OR(MonteCarlo!$B$4="C",MonteCarlo!$B$4="c"),B$1*_xlfn.NORM.S.DIST((LN(B$1/$A27)+(MonteCarlo!$B$9+(MonteCarlo!$B$7^2)/2)*MonteCarlo!$B$8)/(MonteCarlo!$B$7*SQRT(MonteCarlo!$B$8)),TRUE)-$A27*EXP(-MonteCarlo!$B$9*MonteCarlo!$B$8)*_xlfn.NORM.S.DIST(((LN(B$1/$A27)+(MonteCarlo!$B$9+(MonteCarlo!$B$7^2)/2)*MonteCarlo!$B$8)/(MonteCarlo!$B$7*SQRT(MonteCarlo!$B$8)))-(MonteCarlo!$B$7*SQRT(MonteCarlo!$B$8)),TRUE),$A27*EXP(-MonteCarlo!$B$9*MonteCarlo!$B$8)*_xlfn.NORM.S.DIST(-(((LN(B$1/$A27)+(MonteCarlo!$B$9+(MonteCarlo!$B$7^2)/2)*MonteCarlo!$B$8)/(MonteCarlo!$B$7*SQRT(MonteCarlo!$B$8)))-(MonteCarlo!$B$7*SQRT(MonteCarlo!$B$8))),TRUE)-B$1*_xlfn.NORM.S.DIST(-((LN(B$1/$A27)+(MonteCarlo!$B$9+(MonteCarlo!$B$7^2)/2)*MonteCarlo!$B$8)/(MonteCarlo!$B$7*SQRT(MonteCarlo!$B$8))),TRUE)),"")</f>
        <v/>
      </c>
      <c r="C27" t="str">
        <f ca="1">IFERROR(IF(OR(MonteCarlo!$B$4="C",MonteCarlo!$B$4="c"),C$1*_xlfn.NORM.S.DIST((LN(C$1/$A27)+(MonteCarlo!$B$9+(MonteCarlo!$B$7^2)/2)*MonteCarlo!$B$8)/(MonteCarlo!$B$7*SQRT(MonteCarlo!$B$8)),TRUE)-$A27*EXP(-MonteCarlo!$B$9*MonteCarlo!$B$8)*_xlfn.NORM.S.DIST(((LN(C$1/$A27)+(MonteCarlo!$B$9+(MonteCarlo!$B$7^2)/2)*MonteCarlo!$B$8)/(MonteCarlo!$B$7*SQRT(MonteCarlo!$B$8)))-(MonteCarlo!$B$7*SQRT(MonteCarlo!$B$8)),TRUE),$A27*EXP(-MonteCarlo!$B$9*MonteCarlo!$B$8)*_xlfn.NORM.S.DIST(-(((LN(C$1/$A27)+(MonteCarlo!$B$9+(MonteCarlo!$B$7^2)/2)*MonteCarlo!$B$8)/(MonteCarlo!$B$7*SQRT(MonteCarlo!$B$8)))-(MonteCarlo!$B$7*SQRT(MonteCarlo!$B$8))),TRUE)-C$1*_xlfn.NORM.S.DIST(-((LN(C$1/$A27)+(MonteCarlo!$B$9+(MonteCarlo!$B$7^2)/2)*MonteCarlo!$B$8)/(MonteCarlo!$B$7*SQRT(MonteCarlo!$B$8))),TRUE)),"")</f>
        <v/>
      </c>
      <c r="D27" t="str">
        <f ca="1">IFERROR(IF(OR(MonteCarlo!$B$4="C",MonteCarlo!$B$4="c"),D$1*_xlfn.NORM.S.DIST((LN(D$1/$A27)+(MonteCarlo!$B$9+(MonteCarlo!$B$7^2)/2)*MonteCarlo!$B$8)/(MonteCarlo!$B$7*SQRT(MonteCarlo!$B$8)),TRUE)-$A27*EXP(-MonteCarlo!$B$9*MonteCarlo!$B$8)*_xlfn.NORM.S.DIST(((LN(D$1/$A27)+(MonteCarlo!$B$9+(MonteCarlo!$B$7^2)/2)*MonteCarlo!$B$8)/(MonteCarlo!$B$7*SQRT(MonteCarlo!$B$8)))-(MonteCarlo!$B$7*SQRT(MonteCarlo!$B$8)),TRUE),$A27*EXP(-MonteCarlo!$B$9*MonteCarlo!$B$8)*_xlfn.NORM.S.DIST(-(((LN(D$1/$A27)+(MonteCarlo!$B$9+(MonteCarlo!$B$7^2)/2)*MonteCarlo!$B$8)/(MonteCarlo!$B$7*SQRT(MonteCarlo!$B$8)))-(MonteCarlo!$B$7*SQRT(MonteCarlo!$B$8))),TRUE)-D$1*_xlfn.NORM.S.DIST(-((LN(D$1/$A27)+(MonteCarlo!$B$9+(MonteCarlo!$B$7^2)/2)*MonteCarlo!$B$8)/(MonteCarlo!$B$7*SQRT(MonteCarlo!$B$8))),TRUE)),"")</f>
        <v/>
      </c>
      <c r="E27" t="str">
        <f ca="1">IFERROR(IF(OR(MonteCarlo!$B$4="C",MonteCarlo!$B$4="c"),E$1*_xlfn.NORM.S.DIST((LN(E$1/$A27)+(MonteCarlo!$B$9+(MonteCarlo!$B$7^2)/2)*MonteCarlo!$B$8)/(MonteCarlo!$B$7*SQRT(MonteCarlo!$B$8)),TRUE)-$A27*EXP(-MonteCarlo!$B$9*MonteCarlo!$B$8)*_xlfn.NORM.S.DIST(((LN(E$1/$A27)+(MonteCarlo!$B$9+(MonteCarlo!$B$7^2)/2)*MonteCarlo!$B$8)/(MonteCarlo!$B$7*SQRT(MonteCarlo!$B$8)))-(MonteCarlo!$B$7*SQRT(MonteCarlo!$B$8)),TRUE),$A27*EXP(-MonteCarlo!$B$9*MonteCarlo!$B$8)*_xlfn.NORM.S.DIST(-(((LN(E$1/$A27)+(MonteCarlo!$B$9+(MonteCarlo!$B$7^2)/2)*MonteCarlo!$B$8)/(MonteCarlo!$B$7*SQRT(MonteCarlo!$B$8)))-(MonteCarlo!$B$7*SQRT(MonteCarlo!$B$8))),TRUE)-E$1*_xlfn.NORM.S.DIST(-((LN(E$1/$A27)+(MonteCarlo!$B$9+(MonteCarlo!$B$7^2)/2)*MonteCarlo!$B$8)/(MonteCarlo!$B$7*SQRT(MonteCarlo!$B$8))),TRUE)),"")</f>
        <v/>
      </c>
      <c r="F27" t="str">
        <f ca="1">IFERROR(IF(OR(MonteCarlo!$B$4="C",MonteCarlo!$B$4="c"),F$1*_xlfn.NORM.S.DIST((LN(F$1/$A27)+(MonteCarlo!$B$9+(MonteCarlo!$B$7^2)/2)*MonteCarlo!$B$8)/(MonteCarlo!$B$7*SQRT(MonteCarlo!$B$8)),TRUE)-$A27*EXP(-MonteCarlo!$B$9*MonteCarlo!$B$8)*_xlfn.NORM.S.DIST(((LN(F$1/$A27)+(MonteCarlo!$B$9+(MonteCarlo!$B$7^2)/2)*MonteCarlo!$B$8)/(MonteCarlo!$B$7*SQRT(MonteCarlo!$B$8)))-(MonteCarlo!$B$7*SQRT(MonteCarlo!$B$8)),TRUE),$A27*EXP(-MonteCarlo!$B$9*MonteCarlo!$B$8)*_xlfn.NORM.S.DIST(-(((LN(F$1/$A27)+(MonteCarlo!$B$9+(MonteCarlo!$B$7^2)/2)*MonteCarlo!$B$8)/(MonteCarlo!$B$7*SQRT(MonteCarlo!$B$8)))-(MonteCarlo!$B$7*SQRT(MonteCarlo!$B$8))),TRUE)-F$1*_xlfn.NORM.S.DIST(-((LN(F$1/$A27)+(MonteCarlo!$B$9+(MonteCarlo!$B$7^2)/2)*MonteCarlo!$B$8)/(MonteCarlo!$B$7*SQRT(MonteCarlo!$B$8))),TRUE)),"")</f>
        <v/>
      </c>
      <c r="G27" t="str">
        <f ca="1">IFERROR(IF(OR(MonteCarlo!$B$4="C",MonteCarlo!$B$4="c"),G$1*_xlfn.NORM.S.DIST((LN(G$1/$A27)+(MonteCarlo!$B$9+(MonteCarlo!$B$7^2)/2)*MonteCarlo!$B$8)/(MonteCarlo!$B$7*SQRT(MonteCarlo!$B$8)),TRUE)-$A27*EXP(-MonteCarlo!$B$9*MonteCarlo!$B$8)*_xlfn.NORM.S.DIST(((LN(G$1/$A27)+(MonteCarlo!$B$9+(MonteCarlo!$B$7^2)/2)*MonteCarlo!$B$8)/(MonteCarlo!$B$7*SQRT(MonteCarlo!$B$8)))-(MonteCarlo!$B$7*SQRT(MonteCarlo!$B$8)),TRUE),$A27*EXP(-MonteCarlo!$B$9*MonteCarlo!$B$8)*_xlfn.NORM.S.DIST(-(((LN(G$1/$A27)+(MonteCarlo!$B$9+(MonteCarlo!$B$7^2)/2)*MonteCarlo!$B$8)/(MonteCarlo!$B$7*SQRT(MonteCarlo!$B$8)))-(MonteCarlo!$B$7*SQRT(MonteCarlo!$B$8))),TRUE)-G$1*_xlfn.NORM.S.DIST(-((LN(G$1/$A27)+(MonteCarlo!$B$9+(MonteCarlo!$B$7^2)/2)*MonteCarlo!$B$8)/(MonteCarlo!$B$7*SQRT(MonteCarlo!$B$8))),TRUE)),"")</f>
        <v/>
      </c>
      <c r="H27" t="str">
        <f ca="1">IFERROR(IF(OR(MonteCarlo!$B$4="C",MonteCarlo!$B$4="c"),H$1*_xlfn.NORM.S.DIST((LN(H$1/$A27)+(MonteCarlo!$B$9+(MonteCarlo!$B$7^2)/2)*MonteCarlo!$B$8)/(MonteCarlo!$B$7*SQRT(MonteCarlo!$B$8)),TRUE)-$A27*EXP(-MonteCarlo!$B$9*MonteCarlo!$B$8)*_xlfn.NORM.S.DIST(((LN(H$1/$A27)+(MonteCarlo!$B$9+(MonteCarlo!$B$7^2)/2)*MonteCarlo!$B$8)/(MonteCarlo!$B$7*SQRT(MonteCarlo!$B$8)))-(MonteCarlo!$B$7*SQRT(MonteCarlo!$B$8)),TRUE),$A27*EXP(-MonteCarlo!$B$9*MonteCarlo!$B$8)*_xlfn.NORM.S.DIST(-(((LN(H$1/$A27)+(MonteCarlo!$B$9+(MonteCarlo!$B$7^2)/2)*MonteCarlo!$B$8)/(MonteCarlo!$B$7*SQRT(MonteCarlo!$B$8)))-(MonteCarlo!$B$7*SQRT(MonteCarlo!$B$8))),TRUE)-H$1*_xlfn.NORM.S.DIST(-((LN(H$1/$A27)+(MonteCarlo!$B$9+(MonteCarlo!$B$7^2)/2)*MonteCarlo!$B$8)/(MonteCarlo!$B$7*SQRT(MonteCarlo!$B$8))),TRUE)),"")</f>
        <v/>
      </c>
      <c r="I27" t="str">
        <f ca="1">IFERROR(IF(OR(MonteCarlo!$B$4="C",MonteCarlo!$B$4="c"),I$1*_xlfn.NORM.S.DIST((LN(I$1/$A27)+(MonteCarlo!$B$9+(MonteCarlo!$B$7^2)/2)*MonteCarlo!$B$8)/(MonteCarlo!$B$7*SQRT(MonteCarlo!$B$8)),TRUE)-$A27*EXP(-MonteCarlo!$B$9*MonteCarlo!$B$8)*_xlfn.NORM.S.DIST(((LN(I$1/$A27)+(MonteCarlo!$B$9+(MonteCarlo!$B$7^2)/2)*MonteCarlo!$B$8)/(MonteCarlo!$B$7*SQRT(MonteCarlo!$B$8)))-(MonteCarlo!$B$7*SQRT(MonteCarlo!$B$8)),TRUE),$A27*EXP(-MonteCarlo!$B$9*MonteCarlo!$B$8)*_xlfn.NORM.S.DIST(-(((LN(I$1/$A27)+(MonteCarlo!$B$9+(MonteCarlo!$B$7^2)/2)*MonteCarlo!$B$8)/(MonteCarlo!$B$7*SQRT(MonteCarlo!$B$8)))-(MonteCarlo!$B$7*SQRT(MonteCarlo!$B$8))),TRUE)-I$1*_xlfn.NORM.S.DIST(-((LN(I$1/$A27)+(MonteCarlo!$B$9+(MonteCarlo!$B$7^2)/2)*MonteCarlo!$B$8)/(MonteCarlo!$B$7*SQRT(MonteCarlo!$B$8))),TRUE)),"")</f>
        <v/>
      </c>
      <c r="J27" t="str">
        <f ca="1">IFERROR(IF(OR(MonteCarlo!$B$4="C",MonteCarlo!$B$4="c"),J$1*_xlfn.NORM.S.DIST((LN(J$1/$A27)+(MonteCarlo!$B$9+(MonteCarlo!$B$7^2)/2)*MonteCarlo!$B$8)/(MonteCarlo!$B$7*SQRT(MonteCarlo!$B$8)),TRUE)-$A27*EXP(-MonteCarlo!$B$9*MonteCarlo!$B$8)*_xlfn.NORM.S.DIST(((LN(J$1/$A27)+(MonteCarlo!$B$9+(MonteCarlo!$B$7^2)/2)*MonteCarlo!$B$8)/(MonteCarlo!$B$7*SQRT(MonteCarlo!$B$8)))-(MonteCarlo!$B$7*SQRT(MonteCarlo!$B$8)),TRUE),$A27*EXP(-MonteCarlo!$B$9*MonteCarlo!$B$8)*_xlfn.NORM.S.DIST(-(((LN(J$1/$A27)+(MonteCarlo!$B$9+(MonteCarlo!$B$7^2)/2)*MonteCarlo!$B$8)/(MonteCarlo!$B$7*SQRT(MonteCarlo!$B$8)))-(MonteCarlo!$B$7*SQRT(MonteCarlo!$B$8))),TRUE)-J$1*_xlfn.NORM.S.DIST(-((LN(J$1/$A27)+(MonteCarlo!$B$9+(MonteCarlo!$B$7^2)/2)*MonteCarlo!$B$8)/(MonteCarlo!$B$7*SQRT(MonteCarlo!$B$8))),TRUE)),"")</f>
        <v/>
      </c>
      <c r="K27" t="str">
        <f ca="1">IFERROR(IF(OR(MonteCarlo!$B$4="C",MonteCarlo!$B$4="c"),K$1*_xlfn.NORM.S.DIST((LN(K$1/$A27)+(MonteCarlo!$B$9+(MonteCarlo!$B$7^2)/2)*MonteCarlo!$B$8)/(MonteCarlo!$B$7*SQRT(MonteCarlo!$B$8)),TRUE)-$A27*EXP(-MonteCarlo!$B$9*MonteCarlo!$B$8)*_xlfn.NORM.S.DIST(((LN(K$1/$A27)+(MonteCarlo!$B$9+(MonteCarlo!$B$7^2)/2)*MonteCarlo!$B$8)/(MonteCarlo!$B$7*SQRT(MonteCarlo!$B$8)))-(MonteCarlo!$B$7*SQRT(MonteCarlo!$B$8)),TRUE),$A27*EXP(-MonteCarlo!$B$9*MonteCarlo!$B$8)*_xlfn.NORM.S.DIST(-(((LN(K$1/$A27)+(MonteCarlo!$B$9+(MonteCarlo!$B$7^2)/2)*MonteCarlo!$B$8)/(MonteCarlo!$B$7*SQRT(MonteCarlo!$B$8)))-(MonteCarlo!$B$7*SQRT(MonteCarlo!$B$8))),TRUE)-K$1*_xlfn.NORM.S.DIST(-((LN(K$1/$A27)+(MonteCarlo!$B$9+(MonteCarlo!$B$7^2)/2)*MonteCarlo!$B$8)/(MonteCarlo!$B$7*SQRT(MonteCarlo!$B$8))),TRUE)),"")</f>
        <v/>
      </c>
      <c r="L27" t="str">
        <f ca="1">IFERROR(IF(OR(MonteCarlo!$B$4="C",MonteCarlo!$B$4="c"),L$1*_xlfn.NORM.S.DIST((LN(L$1/$A27)+(MonteCarlo!$B$9+(MonteCarlo!$B$7^2)/2)*MonteCarlo!$B$8)/(MonteCarlo!$B$7*SQRT(MonteCarlo!$B$8)),TRUE)-$A27*EXP(-MonteCarlo!$B$9*MonteCarlo!$B$8)*_xlfn.NORM.S.DIST(((LN(L$1/$A27)+(MonteCarlo!$B$9+(MonteCarlo!$B$7^2)/2)*MonteCarlo!$B$8)/(MonteCarlo!$B$7*SQRT(MonteCarlo!$B$8)))-(MonteCarlo!$B$7*SQRT(MonteCarlo!$B$8)),TRUE),$A27*EXP(-MonteCarlo!$B$9*MonteCarlo!$B$8)*_xlfn.NORM.S.DIST(-(((LN(L$1/$A27)+(MonteCarlo!$B$9+(MonteCarlo!$B$7^2)/2)*MonteCarlo!$B$8)/(MonteCarlo!$B$7*SQRT(MonteCarlo!$B$8)))-(MonteCarlo!$B$7*SQRT(MonteCarlo!$B$8))),TRUE)-L$1*_xlfn.NORM.S.DIST(-((LN(L$1/$A27)+(MonteCarlo!$B$9+(MonteCarlo!$B$7^2)/2)*MonteCarlo!$B$8)/(MonteCarlo!$B$7*SQRT(MonteCarlo!$B$8))),TRUE)),"")</f>
        <v/>
      </c>
      <c r="M27" t="str">
        <f ca="1">IFERROR(IF(OR(MonteCarlo!$B$4="C",MonteCarlo!$B$4="c"),M$1*_xlfn.NORM.S.DIST((LN(M$1/$A27)+(MonteCarlo!$B$9+(MonteCarlo!$B$7^2)/2)*MonteCarlo!$B$8)/(MonteCarlo!$B$7*SQRT(MonteCarlo!$B$8)),TRUE)-$A27*EXP(-MonteCarlo!$B$9*MonteCarlo!$B$8)*_xlfn.NORM.S.DIST(((LN(M$1/$A27)+(MonteCarlo!$B$9+(MonteCarlo!$B$7^2)/2)*MonteCarlo!$B$8)/(MonteCarlo!$B$7*SQRT(MonteCarlo!$B$8)))-(MonteCarlo!$B$7*SQRT(MonteCarlo!$B$8)),TRUE),$A27*EXP(-MonteCarlo!$B$9*MonteCarlo!$B$8)*_xlfn.NORM.S.DIST(-(((LN(M$1/$A27)+(MonteCarlo!$B$9+(MonteCarlo!$B$7^2)/2)*MonteCarlo!$B$8)/(MonteCarlo!$B$7*SQRT(MonteCarlo!$B$8)))-(MonteCarlo!$B$7*SQRT(MonteCarlo!$B$8))),TRUE)-M$1*_xlfn.NORM.S.DIST(-((LN(M$1/$A27)+(MonteCarlo!$B$9+(MonteCarlo!$B$7^2)/2)*MonteCarlo!$B$8)/(MonteCarlo!$B$7*SQRT(MonteCarlo!$B$8))),TRUE)),"")</f>
        <v/>
      </c>
      <c r="N27" t="str">
        <f ca="1">IFERROR(IF(OR(MonteCarlo!$B$4="C",MonteCarlo!$B$4="c"),N$1*_xlfn.NORM.S.DIST((LN(N$1/$A27)+(MonteCarlo!$B$9+(MonteCarlo!$B$7^2)/2)*MonteCarlo!$B$8)/(MonteCarlo!$B$7*SQRT(MonteCarlo!$B$8)),TRUE)-$A27*EXP(-MonteCarlo!$B$9*MonteCarlo!$B$8)*_xlfn.NORM.S.DIST(((LN(N$1/$A27)+(MonteCarlo!$B$9+(MonteCarlo!$B$7^2)/2)*MonteCarlo!$B$8)/(MonteCarlo!$B$7*SQRT(MonteCarlo!$B$8)))-(MonteCarlo!$B$7*SQRT(MonteCarlo!$B$8)),TRUE),$A27*EXP(-MonteCarlo!$B$9*MonteCarlo!$B$8)*_xlfn.NORM.S.DIST(-(((LN(N$1/$A27)+(MonteCarlo!$B$9+(MonteCarlo!$B$7^2)/2)*MonteCarlo!$B$8)/(MonteCarlo!$B$7*SQRT(MonteCarlo!$B$8)))-(MonteCarlo!$B$7*SQRT(MonteCarlo!$B$8))),TRUE)-N$1*_xlfn.NORM.S.DIST(-((LN(N$1/$A27)+(MonteCarlo!$B$9+(MonteCarlo!$B$7^2)/2)*MonteCarlo!$B$8)/(MonteCarlo!$B$7*SQRT(MonteCarlo!$B$8))),TRUE)),"")</f>
        <v/>
      </c>
      <c r="O27" t="str">
        <f ca="1">IFERROR(IF(OR(MonteCarlo!$B$4="C",MonteCarlo!$B$4="c"),O$1*_xlfn.NORM.S.DIST((LN(O$1/$A27)+(MonteCarlo!$B$9+(MonteCarlo!$B$7^2)/2)*MonteCarlo!$B$8)/(MonteCarlo!$B$7*SQRT(MonteCarlo!$B$8)),TRUE)-$A27*EXP(-MonteCarlo!$B$9*MonteCarlo!$B$8)*_xlfn.NORM.S.DIST(((LN(O$1/$A27)+(MonteCarlo!$B$9+(MonteCarlo!$B$7^2)/2)*MonteCarlo!$B$8)/(MonteCarlo!$B$7*SQRT(MonteCarlo!$B$8)))-(MonteCarlo!$B$7*SQRT(MonteCarlo!$B$8)),TRUE),$A27*EXP(-MonteCarlo!$B$9*MonteCarlo!$B$8)*_xlfn.NORM.S.DIST(-(((LN(O$1/$A27)+(MonteCarlo!$B$9+(MonteCarlo!$B$7^2)/2)*MonteCarlo!$B$8)/(MonteCarlo!$B$7*SQRT(MonteCarlo!$B$8)))-(MonteCarlo!$B$7*SQRT(MonteCarlo!$B$8))),TRUE)-O$1*_xlfn.NORM.S.DIST(-((LN(O$1/$A27)+(MonteCarlo!$B$9+(MonteCarlo!$B$7^2)/2)*MonteCarlo!$B$8)/(MonteCarlo!$B$7*SQRT(MonteCarlo!$B$8))),TRUE)),"")</f>
        <v/>
      </c>
      <c r="P27" t="str">
        <f ca="1">IFERROR(IF(OR(MonteCarlo!$B$4="C",MonteCarlo!$B$4="c"),P$1*_xlfn.NORM.S.DIST((LN(P$1/$A27)+(MonteCarlo!$B$9+(MonteCarlo!$B$7^2)/2)*MonteCarlo!$B$8)/(MonteCarlo!$B$7*SQRT(MonteCarlo!$B$8)),TRUE)-$A27*EXP(-MonteCarlo!$B$9*MonteCarlo!$B$8)*_xlfn.NORM.S.DIST(((LN(P$1/$A27)+(MonteCarlo!$B$9+(MonteCarlo!$B$7^2)/2)*MonteCarlo!$B$8)/(MonteCarlo!$B$7*SQRT(MonteCarlo!$B$8)))-(MonteCarlo!$B$7*SQRT(MonteCarlo!$B$8)),TRUE),$A27*EXP(-MonteCarlo!$B$9*MonteCarlo!$B$8)*_xlfn.NORM.S.DIST(-(((LN(P$1/$A27)+(MonteCarlo!$B$9+(MonteCarlo!$B$7^2)/2)*MonteCarlo!$B$8)/(MonteCarlo!$B$7*SQRT(MonteCarlo!$B$8)))-(MonteCarlo!$B$7*SQRT(MonteCarlo!$B$8))),TRUE)-P$1*_xlfn.NORM.S.DIST(-((LN(P$1/$A27)+(MonteCarlo!$B$9+(MonteCarlo!$B$7^2)/2)*MonteCarlo!$B$8)/(MonteCarlo!$B$7*SQRT(MonteCarlo!$B$8))),TRUE)),"")</f>
        <v/>
      </c>
      <c r="Q27" t="str">
        <f ca="1">IFERROR(IF(OR(MonteCarlo!$B$4="C",MonteCarlo!$B$4="c"),Q$1*_xlfn.NORM.S.DIST((LN(Q$1/$A27)+(MonteCarlo!$B$9+(MonteCarlo!$B$7^2)/2)*MonteCarlo!$B$8)/(MonteCarlo!$B$7*SQRT(MonteCarlo!$B$8)),TRUE)-$A27*EXP(-MonteCarlo!$B$9*MonteCarlo!$B$8)*_xlfn.NORM.S.DIST(((LN(Q$1/$A27)+(MonteCarlo!$B$9+(MonteCarlo!$B$7^2)/2)*MonteCarlo!$B$8)/(MonteCarlo!$B$7*SQRT(MonteCarlo!$B$8)))-(MonteCarlo!$B$7*SQRT(MonteCarlo!$B$8)),TRUE),$A27*EXP(-MonteCarlo!$B$9*MonteCarlo!$B$8)*_xlfn.NORM.S.DIST(-(((LN(Q$1/$A27)+(MonteCarlo!$B$9+(MonteCarlo!$B$7^2)/2)*MonteCarlo!$B$8)/(MonteCarlo!$B$7*SQRT(MonteCarlo!$B$8)))-(MonteCarlo!$B$7*SQRT(MonteCarlo!$B$8))),TRUE)-Q$1*_xlfn.NORM.S.DIST(-((LN(Q$1/$A27)+(MonteCarlo!$B$9+(MonteCarlo!$B$7^2)/2)*MonteCarlo!$B$8)/(MonteCarlo!$B$7*SQRT(MonteCarlo!$B$8))),TRUE)),"")</f>
        <v/>
      </c>
      <c r="R27" t="str">
        <f ca="1">IFERROR(IF(OR(MonteCarlo!$B$4="C",MonteCarlo!$B$4="c"),R$1*_xlfn.NORM.S.DIST((LN(R$1/$A27)+(MonteCarlo!$B$9+(MonteCarlo!$B$7^2)/2)*MonteCarlo!$B$8)/(MonteCarlo!$B$7*SQRT(MonteCarlo!$B$8)),TRUE)-$A27*EXP(-MonteCarlo!$B$9*MonteCarlo!$B$8)*_xlfn.NORM.S.DIST(((LN(R$1/$A27)+(MonteCarlo!$B$9+(MonteCarlo!$B$7^2)/2)*MonteCarlo!$B$8)/(MonteCarlo!$B$7*SQRT(MonteCarlo!$B$8)))-(MonteCarlo!$B$7*SQRT(MonteCarlo!$B$8)),TRUE),$A27*EXP(-MonteCarlo!$B$9*MonteCarlo!$B$8)*_xlfn.NORM.S.DIST(-(((LN(R$1/$A27)+(MonteCarlo!$B$9+(MonteCarlo!$B$7^2)/2)*MonteCarlo!$B$8)/(MonteCarlo!$B$7*SQRT(MonteCarlo!$B$8)))-(MonteCarlo!$B$7*SQRT(MonteCarlo!$B$8))),TRUE)-R$1*_xlfn.NORM.S.DIST(-((LN(R$1/$A27)+(MonteCarlo!$B$9+(MonteCarlo!$B$7^2)/2)*MonteCarlo!$B$8)/(MonteCarlo!$B$7*SQRT(MonteCarlo!$B$8))),TRUE)),"")</f>
        <v/>
      </c>
      <c r="S27" t="str">
        <f ca="1">IFERROR(IF(OR(MonteCarlo!$B$4="C",MonteCarlo!$B$4="c"),S$1*_xlfn.NORM.S.DIST((LN(S$1/$A27)+(MonteCarlo!$B$9+(MonteCarlo!$B$7^2)/2)*MonteCarlo!$B$8)/(MonteCarlo!$B$7*SQRT(MonteCarlo!$B$8)),TRUE)-$A27*EXP(-MonteCarlo!$B$9*MonteCarlo!$B$8)*_xlfn.NORM.S.DIST(((LN(S$1/$A27)+(MonteCarlo!$B$9+(MonteCarlo!$B$7^2)/2)*MonteCarlo!$B$8)/(MonteCarlo!$B$7*SQRT(MonteCarlo!$B$8)))-(MonteCarlo!$B$7*SQRT(MonteCarlo!$B$8)),TRUE),$A27*EXP(-MonteCarlo!$B$9*MonteCarlo!$B$8)*_xlfn.NORM.S.DIST(-(((LN(S$1/$A27)+(MonteCarlo!$B$9+(MonteCarlo!$B$7^2)/2)*MonteCarlo!$B$8)/(MonteCarlo!$B$7*SQRT(MonteCarlo!$B$8)))-(MonteCarlo!$B$7*SQRT(MonteCarlo!$B$8))),TRUE)-S$1*_xlfn.NORM.S.DIST(-((LN(S$1/$A27)+(MonteCarlo!$B$9+(MonteCarlo!$B$7^2)/2)*MonteCarlo!$B$8)/(MonteCarlo!$B$7*SQRT(MonteCarlo!$B$8))),TRUE)),"")</f>
        <v/>
      </c>
      <c r="T27" t="str">
        <f ca="1">IFERROR(IF(OR(MonteCarlo!$B$4="C",MonteCarlo!$B$4="c"),T$1*_xlfn.NORM.S.DIST((LN(T$1/$A27)+(MonteCarlo!$B$9+(MonteCarlo!$B$7^2)/2)*MonteCarlo!$B$8)/(MonteCarlo!$B$7*SQRT(MonteCarlo!$B$8)),TRUE)-$A27*EXP(-MonteCarlo!$B$9*MonteCarlo!$B$8)*_xlfn.NORM.S.DIST(((LN(T$1/$A27)+(MonteCarlo!$B$9+(MonteCarlo!$B$7^2)/2)*MonteCarlo!$B$8)/(MonteCarlo!$B$7*SQRT(MonteCarlo!$B$8)))-(MonteCarlo!$B$7*SQRT(MonteCarlo!$B$8)),TRUE),$A27*EXP(-MonteCarlo!$B$9*MonteCarlo!$B$8)*_xlfn.NORM.S.DIST(-(((LN(T$1/$A27)+(MonteCarlo!$B$9+(MonteCarlo!$B$7^2)/2)*MonteCarlo!$B$8)/(MonteCarlo!$B$7*SQRT(MonteCarlo!$B$8)))-(MonteCarlo!$B$7*SQRT(MonteCarlo!$B$8))),TRUE)-T$1*_xlfn.NORM.S.DIST(-((LN(T$1/$A27)+(MonteCarlo!$B$9+(MonteCarlo!$B$7^2)/2)*MonteCarlo!$B$8)/(MonteCarlo!$B$7*SQRT(MonteCarlo!$B$8))),TRUE)),"")</f>
        <v/>
      </c>
      <c r="U27" t="str">
        <f ca="1">IFERROR(IF(OR(MonteCarlo!$B$4="C",MonteCarlo!$B$4="c"),U$1*_xlfn.NORM.S.DIST((LN(U$1/$A27)+(MonteCarlo!$B$9+(MonteCarlo!$B$7^2)/2)*MonteCarlo!$B$8)/(MonteCarlo!$B$7*SQRT(MonteCarlo!$B$8)),TRUE)-$A27*EXP(-MonteCarlo!$B$9*MonteCarlo!$B$8)*_xlfn.NORM.S.DIST(((LN(U$1/$A27)+(MonteCarlo!$B$9+(MonteCarlo!$B$7^2)/2)*MonteCarlo!$B$8)/(MonteCarlo!$B$7*SQRT(MonteCarlo!$B$8)))-(MonteCarlo!$B$7*SQRT(MonteCarlo!$B$8)),TRUE),$A27*EXP(-MonteCarlo!$B$9*MonteCarlo!$B$8)*_xlfn.NORM.S.DIST(-(((LN(U$1/$A27)+(MonteCarlo!$B$9+(MonteCarlo!$B$7^2)/2)*MonteCarlo!$B$8)/(MonteCarlo!$B$7*SQRT(MonteCarlo!$B$8)))-(MonteCarlo!$B$7*SQRT(MonteCarlo!$B$8))),TRUE)-U$1*_xlfn.NORM.S.DIST(-((LN(U$1/$A27)+(MonteCarlo!$B$9+(MonteCarlo!$B$7^2)/2)*MonteCarlo!$B$8)/(MonteCarlo!$B$7*SQRT(MonteCarlo!$B$8))),TRUE)),"")</f>
        <v/>
      </c>
      <c r="V27" t="str">
        <f ca="1">IFERROR(IF(OR(MonteCarlo!$B$4="C",MonteCarlo!$B$4="c"),V$1*_xlfn.NORM.S.DIST((LN(V$1/$A27)+(MonteCarlo!$B$9+(MonteCarlo!$B$7^2)/2)*MonteCarlo!$B$8)/(MonteCarlo!$B$7*SQRT(MonteCarlo!$B$8)),TRUE)-$A27*EXP(-MonteCarlo!$B$9*MonteCarlo!$B$8)*_xlfn.NORM.S.DIST(((LN(V$1/$A27)+(MonteCarlo!$B$9+(MonteCarlo!$B$7^2)/2)*MonteCarlo!$B$8)/(MonteCarlo!$B$7*SQRT(MonteCarlo!$B$8)))-(MonteCarlo!$B$7*SQRT(MonteCarlo!$B$8)),TRUE),$A27*EXP(-MonteCarlo!$B$9*MonteCarlo!$B$8)*_xlfn.NORM.S.DIST(-(((LN(V$1/$A27)+(MonteCarlo!$B$9+(MonteCarlo!$B$7^2)/2)*MonteCarlo!$B$8)/(MonteCarlo!$B$7*SQRT(MonteCarlo!$B$8)))-(MonteCarlo!$B$7*SQRT(MonteCarlo!$B$8))),TRUE)-V$1*_xlfn.NORM.S.DIST(-((LN(V$1/$A27)+(MonteCarlo!$B$9+(MonteCarlo!$B$7^2)/2)*MonteCarlo!$B$8)/(MonteCarlo!$B$7*SQRT(MonteCarlo!$B$8))),TRUE)),"")</f>
        <v/>
      </c>
      <c r="W27" t="str">
        <f ca="1">IFERROR(IF(OR(MonteCarlo!$B$4="C",MonteCarlo!$B$4="c"),W$1*_xlfn.NORM.S.DIST((LN(W$1/$A27)+(MonteCarlo!$B$9+(MonteCarlo!$B$7^2)/2)*MonteCarlo!$B$8)/(MonteCarlo!$B$7*SQRT(MonteCarlo!$B$8)),TRUE)-$A27*EXP(-MonteCarlo!$B$9*MonteCarlo!$B$8)*_xlfn.NORM.S.DIST(((LN(W$1/$A27)+(MonteCarlo!$B$9+(MonteCarlo!$B$7^2)/2)*MonteCarlo!$B$8)/(MonteCarlo!$B$7*SQRT(MonteCarlo!$B$8)))-(MonteCarlo!$B$7*SQRT(MonteCarlo!$B$8)),TRUE),$A27*EXP(-MonteCarlo!$B$9*MonteCarlo!$B$8)*_xlfn.NORM.S.DIST(-(((LN(W$1/$A27)+(MonteCarlo!$B$9+(MonteCarlo!$B$7^2)/2)*MonteCarlo!$B$8)/(MonteCarlo!$B$7*SQRT(MonteCarlo!$B$8)))-(MonteCarlo!$B$7*SQRT(MonteCarlo!$B$8))),TRUE)-W$1*_xlfn.NORM.S.DIST(-((LN(W$1/$A27)+(MonteCarlo!$B$9+(MonteCarlo!$B$7^2)/2)*MonteCarlo!$B$8)/(MonteCarlo!$B$7*SQRT(MonteCarlo!$B$8))),TRUE)),"")</f>
        <v/>
      </c>
      <c r="X27" t="str">
        <f ca="1">IFERROR(IF(OR(MonteCarlo!$B$4="C",MonteCarlo!$B$4="c"),X$1*_xlfn.NORM.S.DIST((LN(X$1/$A27)+(MonteCarlo!$B$9+(MonteCarlo!$B$7^2)/2)*MonteCarlo!$B$8)/(MonteCarlo!$B$7*SQRT(MonteCarlo!$B$8)),TRUE)-$A27*EXP(-MonteCarlo!$B$9*MonteCarlo!$B$8)*_xlfn.NORM.S.DIST(((LN(X$1/$A27)+(MonteCarlo!$B$9+(MonteCarlo!$B$7^2)/2)*MonteCarlo!$B$8)/(MonteCarlo!$B$7*SQRT(MonteCarlo!$B$8)))-(MonteCarlo!$B$7*SQRT(MonteCarlo!$B$8)),TRUE),$A27*EXP(-MonteCarlo!$B$9*MonteCarlo!$B$8)*_xlfn.NORM.S.DIST(-(((LN(X$1/$A27)+(MonteCarlo!$B$9+(MonteCarlo!$B$7^2)/2)*MonteCarlo!$B$8)/(MonteCarlo!$B$7*SQRT(MonteCarlo!$B$8)))-(MonteCarlo!$B$7*SQRT(MonteCarlo!$B$8))),TRUE)-X$1*_xlfn.NORM.S.DIST(-((LN(X$1/$A27)+(MonteCarlo!$B$9+(MonteCarlo!$B$7^2)/2)*MonteCarlo!$B$8)/(MonteCarlo!$B$7*SQRT(MonteCarlo!$B$8))),TRUE)),"")</f>
        <v/>
      </c>
      <c r="Y27" t="str">
        <f ca="1">IFERROR(IF(OR(MonteCarlo!$B$4="C",MonteCarlo!$B$4="c"),Y$1*_xlfn.NORM.S.DIST((LN(Y$1/$A27)+(MonteCarlo!$B$9+(MonteCarlo!$B$7^2)/2)*MonteCarlo!$B$8)/(MonteCarlo!$B$7*SQRT(MonteCarlo!$B$8)),TRUE)-$A27*EXP(-MonteCarlo!$B$9*MonteCarlo!$B$8)*_xlfn.NORM.S.DIST(((LN(Y$1/$A27)+(MonteCarlo!$B$9+(MonteCarlo!$B$7^2)/2)*MonteCarlo!$B$8)/(MonteCarlo!$B$7*SQRT(MonteCarlo!$B$8)))-(MonteCarlo!$B$7*SQRT(MonteCarlo!$B$8)),TRUE),$A27*EXP(-MonteCarlo!$B$9*MonteCarlo!$B$8)*_xlfn.NORM.S.DIST(-(((LN(Y$1/$A27)+(MonteCarlo!$B$9+(MonteCarlo!$B$7^2)/2)*MonteCarlo!$B$8)/(MonteCarlo!$B$7*SQRT(MonteCarlo!$B$8)))-(MonteCarlo!$B$7*SQRT(MonteCarlo!$B$8))),TRUE)-Y$1*_xlfn.NORM.S.DIST(-((LN(Y$1/$A27)+(MonteCarlo!$B$9+(MonteCarlo!$B$7^2)/2)*MonteCarlo!$B$8)/(MonteCarlo!$B$7*SQRT(MonteCarlo!$B$8))),TRUE)),"")</f>
        <v/>
      </c>
      <c r="Z27" t="str">
        <f ca="1">IFERROR(IF(OR(MonteCarlo!$B$4="C",MonteCarlo!$B$4="c"),Z$1*_xlfn.NORM.S.DIST((LN(Z$1/$A27)+(MonteCarlo!$B$9+(MonteCarlo!$B$7^2)/2)*MonteCarlo!$B$8)/(MonteCarlo!$B$7*SQRT(MonteCarlo!$B$8)),TRUE)-$A27*EXP(-MonteCarlo!$B$9*MonteCarlo!$B$8)*_xlfn.NORM.S.DIST(((LN(Z$1/$A27)+(MonteCarlo!$B$9+(MonteCarlo!$B$7^2)/2)*MonteCarlo!$B$8)/(MonteCarlo!$B$7*SQRT(MonteCarlo!$B$8)))-(MonteCarlo!$B$7*SQRT(MonteCarlo!$B$8)),TRUE),$A27*EXP(-MonteCarlo!$B$9*MonteCarlo!$B$8)*_xlfn.NORM.S.DIST(-(((LN(Z$1/$A27)+(MonteCarlo!$B$9+(MonteCarlo!$B$7^2)/2)*MonteCarlo!$B$8)/(MonteCarlo!$B$7*SQRT(MonteCarlo!$B$8)))-(MonteCarlo!$B$7*SQRT(MonteCarlo!$B$8))),TRUE)-Z$1*_xlfn.NORM.S.DIST(-((LN(Z$1/$A27)+(MonteCarlo!$B$9+(MonteCarlo!$B$7^2)/2)*MonteCarlo!$B$8)/(MonteCarlo!$B$7*SQRT(MonteCarlo!$B$8))),TRUE)),"")</f>
        <v/>
      </c>
      <c r="AA27" t="str">
        <f ca="1">IFERROR(IF(OR(MonteCarlo!$B$4="C",MonteCarlo!$B$4="c"),AA$1*_xlfn.NORM.S.DIST((LN(AA$1/$A27)+(MonteCarlo!$B$9+(MonteCarlo!$B$7^2)/2)*MonteCarlo!$B$8)/(MonteCarlo!$B$7*SQRT(MonteCarlo!$B$8)),TRUE)-$A27*EXP(-MonteCarlo!$B$9*MonteCarlo!$B$8)*_xlfn.NORM.S.DIST(((LN(AA$1/$A27)+(MonteCarlo!$B$9+(MonteCarlo!$B$7^2)/2)*MonteCarlo!$B$8)/(MonteCarlo!$B$7*SQRT(MonteCarlo!$B$8)))-(MonteCarlo!$B$7*SQRT(MonteCarlo!$B$8)),TRUE),$A27*EXP(-MonteCarlo!$B$9*MonteCarlo!$B$8)*_xlfn.NORM.S.DIST(-(((LN(AA$1/$A27)+(MonteCarlo!$B$9+(MonteCarlo!$B$7^2)/2)*MonteCarlo!$B$8)/(MonteCarlo!$B$7*SQRT(MonteCarlo!$B$8)))-(MonteCarlo!$B$7*SQRT(MonteCarlo!$B$8))),TRUE)-AA$1*_xlfn.NORM.S.DIST(-((LN(AA$1/$A27)+(MonteCarlo!$B$9+(MonteCarlo!$B$7^2)/2)*MonteCarlo!$B$8)/(MonteCarlo!$B$7*SQRT(MonteCarlo!$B$8))),TRUE)),"")</f>
        <v/>
      </c>
      <c r="AB27" t="str">
        <f ca="1">IFERROR(IF(OR(MonteCarlo!$B$4="C",MonteCarlo!$B$4="c"),AB$1*_xlfn.NORM.S.DIST((LN(AB$1/$A27)+(MonteCarlo!$B$9+(MonteCarlo!$B$7^2)/2)*MonteCarlo!$B$8)/(MonteCarlo!$B$7*SQRT(MonteCarlo!$B$8)),TRUE)-$A27*EXP(-MonteCarlo!$B$9*MonteCarlo!$B$8)*_xlfn.NORM.S.DIST(((LN(AB$1/$A27)+(MonteCarlo!$B$9+(MonteCarlo!$B$7^2)/2)*MonteCarlo!$B$8)/(MonteCarlo!$B$7*SQRT(MonteCarlo!$B$8)))-(MonteCarlo!$B$7*SQRT(MonteCarlo!$B$8)),TRUE),$A27*EXP(-MonteCarlo!$B$9*MonteCarlo!$B$8)*_xlfn.NORM.S.DIST(-(((LN(AB$1/$A27)+(MonteCarlo!$B$9+(MonteCarlo!$B$7^2)/2)*MonteCarlo!$B$8)/(MonteCarlo!$B$7*SQRT(MonteCarlo!$B$8)))-(MonteCarlo!$B$7*SQRT(MonteCarlo!$B$8))),TRUE)-AB$1*_xlfn.NORM.S.DIST(-((LN(AB$1/$A27)+(MonteCarlo!$B$9+(MonteCarlo!$B$7^2)/2)*MonteCarlo!$B$8)/(MonteCarlo!$B$7*SQRT(MonteCarlo!$B$8))),TRUE)),"")</f>
        <v/>
      </c>
      <c r="AC27" t="str">
        <f ca="1">IFERROR(IF(OR(MonteCarlo!$B$4="C",MonteCarlo!$B$4="c"),AC$1*_xlfn.NORM.S.DIST((LN(AC$1/$A27)+(MonteCarlo!$B$9+(MonteCarlo!$B$7^2)/2)*MonteCarlo!$B$8)/(MonteCarlo!$B$7*SQRT(MonteCarlo!$B$8)),TRUE)-$A27*EXP(-MonteCarlo!$B$9*MonteCarlo!$B$8)*_xlfn.NORM.S.DIST(((LN(AC$1/$A27)+(MonteCarlo!$B$9+(MonteCarlo!$B$7^2)/2)*MonteCarlo!$B$8)/(MonteCarlo!$B$7*SQRT(MonteCarlo!$B$8)))-(MonteCarlo!$B$7*SQRT(MonteCarlo!$B$8)),TRUE),$A27*EXP(-MonteCarlo!$B$9*MonteCarlo!$B$8)*_xlfn.NORM.S.DIST(-(((LN(AC$1/$A27)+(MonteCarlo!$B$9+(MonteCarlo!$B$7^2)/2)*MonteCarlo!$B$8)/(MonteCarlo!$B$7*SQRT(MonteCarlo!$B$8)))-(MonteCarlo!$B$7*SQRT(MonteCarlo!$B$8))),TRUE)-AC$1*_xlfn.NORM.S.DIST(-((LN(AC$1/$A27)+(MonteCarlo!$B$9+(MonteCarlo!$B$7^2)/2)*MonteCarlo!$B$8)/(MonteCarlo!$B$7*SQRT(MonteCarlo!$B$8))),TRUE)),"")</f>
        <v/>
      </c>
      <c r="AD27" t="str">
        <f ca="1">IFERROR(IF(OR(MonteCarlo!$B$4="C",MonteCarlo!$B$4="c"),AD$1*_xlfn.NORM.S.DIST((LN(AD$1/$A27)+(MonteCarlo!$B$9+(MonteCarlo!$B$7^2)/2)*MonteCarlo!$B$8)/(MonteCarlo!$B$7*SQRT(MonteCarlo!$B$8)),TRUE)-$A27*EXP(-MonteCarlo!$B$9*MonteCarlo!$B$8)*_xlfn.NORM.S.DIST(((LN(AD$1/$A27)+(MonteCarlo!$B$9+(MonteCarlo!$B$7^2)/2)*MonteCarlo!$B$8)/(MonteCarlo!$B$7*SQRT(MonteCarlo!$B$8)))-(MonteCarlo!$B$7*SQRT(MonteCarlo!$B$8)),TRUE),$A27*EXP(-MonteCarlo!$B$9*MonteCarlo!$B$8)*_xlfn.NORM.S.DIST(-(((LN(AD$1/$A27)+(MonteCarlo!$B$9+(MonteCarlo!$B$7^2)/2)*MonteCarlo!$B$8)/(MonteCarlo!$B$7*SQRT(MonteCarlo!$B$8)))-(MonteCarlo!$B$7*SQRT(MonteCarlo!$B$8))),TRUE)-AD$1*_xlfn.NORM.S.DIST(-((LN(AD$1/$A27)+(MonteCarlo!$B$9+(MonteCarlo!$B$7^2)/2)*MonteCarlo!$B$8)/(MonteCarlo!$B$7*SQRT(MonteCarlo!$B$8))),TRUE)),"")</f>
        <v/>
      </c>
      <c r="AE27" t="str">
        <f ca="1">IFERROR(IF(OR(MonteCarlo!$B$4="C",MonteCarlo!$B$4="c"),AE$1*_xlfn.NORM.S.DIST((LN(AE$1/$A27)+(MonteCarlo!$B$9+(MonteCarlo!$B$7^2)/2)*MonteCarlo!$B$8)/(MonteCarlo!$B$7*SQRT(MonteCarlo!$B$8)),TRUE)-$A27*EXP(-MonteCarlo!$B$9*MonteCarlo!$B$8)*_xlfn.NORM.S.DIST(((LN(AE$1/$A27)+(MonteCarlo!$B$9+(MonteCarlo!$B$7^2)/2)*MonteCarlo!$B$8)/(MonteCarlo!$B$7*SQRT(MonteCarlo!$B$8)))-(MonteCarlo!$B$7*SQRT(MonteCarlo!$B$8)),TRUE),$A27*EXP(-MonteCarlo!$B$9*MonteCarlo!$B$8)*_xlfn.NORM.S.DIST(-(((LN(AE$1/$A27)+(MonteCarlo!$B$9+(MonteCarlo!$B$7^2)/2)*MonteCarlo!$B$8)/(MonteCarlo!$B$7*SQRT(MonteCarlo!$B$8)))-(MonteCarlo!$B$7*SQRT(MonteCarlo!$B$8))),TRUE)-AE$1*_xlfn.NORM.S.DIST(-((LN(AE$1/$A27)+(MonteCarlo!$B$9+(MonteCarlo!$B$7^2)/2)*MonteCarlo!$B$8)/(MonteCarlo!$B$7*SQRT(MonteCarlo!$B$8))),TRUE)),"")</f>
        <v/>
      </c>
      <c r="AF27" t="str">
        <f ca="1">IFERROR(IF(OR(MonteCarlo!$B$4="C",MonteCarlo!$B$4="c"),AF$1*_xlfn.NORM.S.DIST((LN(AF$1/$A27)+(MonteCarlo!$B$9+(MonteCarlo!$B$7^2)/2)*MonteCarlo!$B$8)/(MonteCarlo!$B$7*SQRT(MonteCarlo!$B$8)),TRUE)-$A27*EXP(-MonteCarlo!$B$9*MonteCarlo!$B$8)*_xlfn.NORM.S.DIST(((LN(AF$1/$A27)+(MonteCarlo!$B$9+(MonteCarlo!$B$7^2)/2)*MonteCarlo!$B$8)/(MonteCarlo!$B$7*SQRT(MonteCarlo!$B$8)))-(MonteCarlo!$B$7*SQRT(MonteCarlo!$B$8)),TRUE),$A27*EXP(-MonteCarlo!$B$9*MonteCarlo!$B$8)*_xlfn.NORM.S.DIST(-(((LN(AF$1/$A27)+(MonteCarlo!$B$9+(MonteCarlo!$B$7^2)/2)*MonteCarlo!$B$8)/(MonteCarlo!$B$7*SQRT(MonteCarlo!$B$8)))-(MonteCarlo!$B$7*SQRT(MonteCarlo!$B$8))),TRUE)-AF$1*_xlfn.NORM.S.DIST(-((LN(AF$1/$A27)+(MonteCarlo!$B$9+(MonteCarlo!$B$7^2)/2)*MonteCarlo!$B$8)/(MonteCarlo!$B$7*SQRT(MonteCarlo!$B$8))),TRUE)),"")</f>
        <v/>
      </c>
    </row>
    <row r="28" spans="2:32" x14ac:dyDescent="0.25">
      <c r="B28" t="str">
        <f ca="1">IFERROR(IF(OR(MonteCarlo!$B$4="C",MonteCarlo!$B$4="c"),B$1*_xlfn.NORM.S.DIST((LN(B$1/$A28)+(MonteCarlo!$B$9+(MonteCarlo!$B$7^2)/2)*MonteCarlo!$B$8)/(MonteCarlo!$B$7*SQRT(MonteCarlo!$B$8)),TRUE)-$A28*EXP(-MonteCarlo!$B$9*MonteCarlo!$B$8)*_xlfn.NORM.S.DIST(((LN(B$1/$A28)+(MonteCarlo!$B$9+(MonteCarlo!$B$7^2)/2)*MonteCarlo!$B$8)/(MonteCarlo!$B$7*SQRT(MonteCarlo!$B$8)))-(MonteCarlo!$B$7*SQRT(MonteCarlo!$B$8)),TRUE),$A28*EXP(-MonteCarlo!$B$9*MonteCarlo!$B$8)*_xlfn.NORM.S.DIST(-(((LN(B$1/$A28)+(MonteCarlo!$B$9+(MonteCarlo!$B$7^2)/2)*MonteCarlo!$B$8)/(MonteCarlo!$B$7*SQRT(MonteCarlo!$B$8)))-(MonteCarlo!$B$7*SQRT(MonteCarlo!$B$8))),TRUE)-B$1*_xlfn.NORM.S.DIST(-((LN(B$1/$A28)+(MonteCarlo!$B$9+(MonteCarlo!$B$7^2)/2)*MonteCarlo!$B$8)/(MonteCarlo!$B$7*SQRT(MonteCarlo!$B$8))),TRUE)),"")</f>
        <v/>
      </c>
      <c r="C28" t="str">
        <f ca="1">IFERROR(IF(OR(MonteCarlo!$B$4="C",MonteCarlo!$B$4="c"),C$1*_xlfn.NORM.S.DIST((LN(C$1/$A28)+(MonteCarlo!$B$9+(MonteCarlo!$B$7^2)/2)*MonteCarlo!$B$8)/(MonteCarlo!$B$7*SQRT(MonteCarlo!$B$8)),TRUE)-$A28*EXP(-MonteCarlo!$B$9*MonteCarlo!$B$8)*_xlfn.NORM.S.DIST(((LN(C$1/$A28)+(MonteCarlo!$B$9+(MonteCarlo!$B$7^2)/2)*MonteCarlo!$B$8)/(MonteCarlo!$B$7*SQRT(MonteCarlo!$B$8)))-(MonteCarlo!$B$7*SQRT(MonteCarlo!$B$8)),TRUE),$A28*EXP(-MonteCarlo!$B$9*MonteCarlo!$B$8)*_xlfn.NORM.S.DIST(-(((LN(C$1/$A28)+(MonteCarlo!$B$9+(MonteCarlo!$B$7^2)/2)*MonteCarlo!$B$8)/(MonteCarlo!$B$7*SQRT(MonteCarlo!$B$8)))-(MonteCarlo!$B$7*SQRT(MonteCarlo!$B$8))),TRUE)-C$1*_xlfn.NORM.S.DIST(-((LN(C$1/$A28)+(MonteCarlo!$B$9+(MonteCarlo!$B$7^2)/2)*MonteCarlo!$B$8)/(MonteCarlo!$B$7*SQRT(MonteCarlo!$B$8))),TRUE)),"")</f>
        <v/>
      </c>
      <c r="D28" t="str">
        <f ca="1">IFERROR(IF(OR(MonteCarlo!$B$4="C",MonteCarlo!$B$4="c"),D$1*_xlfn.NORM.S.DIST((LN(D$1/$A28)+(MonteCarlo!$B$9+(MonteCarlo!$B$7^2)/2)*MonteCarlo!$B$8)/(MonteCarlo!$B$7*SQRT(MonteCarlo!$B$8)),TRUE)-$A28*EXP(-MonteCarlo!$B$9*MonteCarlo!$B$8)*_xlfn.NORM.S.DIST(((LN(D$1/$A28)+(MonteCarlo!$B$9+(MonteCarlo!$B$7^2)/2)*MonteCarlo!$B$8)/(MonteCarlo!$B$7*SQRT(MonteCarlo!$B$8)))-(MonteCarlo!$B$7*SQRT(MonteCarlo!$B$8)),TRUE),$A28*EXP(-MonteCarlo!$B$9*MonteCarlo!$B$8)*_xlfn.NORM.S.DIST(-(((LN(D$1/$A28)+(MonteCarlo!$B$9+(MonteCarlo!$B$7^2)/2)*MonteCarlo!$B$8)/(MonteCarlo!$B$7*SQRT(MonteCarlo!$B$8)))-(MonteCarlo!$B$7*SQRT(MonteCarlo!$B$8))),TRUE)-D$1*_xlfn.NORM.S.DIST(-((LN(D$1/$A28)+(MonteCarlo!$B$9+(MonteCarlo!$B$7^2)/2)*MonteCarlo!$B$8)/(MonteCarlo!$B$7*SQRT(MonteCarlo!$B$8))),TRUE)),"")</f>
        <v/>
      </c>
      <c r="E28" t="str">
        <f ca="1">IFERROR(IF(OR(MonteCarlo!$B$4="C",MonteCarlo!$B$4="c"),E$1*_xlfn.NORM.S.DIST((LN(E$1/$A28)+(MonteCarlo!$B$9+(MonteCarlo!$B$7^2)/2)*MonteCarlo!$B$8)/(MonteCarlo!$B$7*SQRT(MonteCarlo!$B$8)),TRUE)-$A28*EXP(-MonteCarlo!$B$9*MonteCarlo!$B$8)*_xlfn.NORM.S.DIST(((LN(E$1/$A28)+(MonteCarlo!$B$9+(MonteCarlo!$B$7^2)/2)*MonteCarlo!$B$8)/(MonteCarlo!$B$7*SQRT(MonteCarlo!$B$8)))-(MonteCarlo!$B$7*SQRT(MonteCarlo!$B$8)),TRUE),$A28*EXP(-MonteCarlo!$B$9*MonteCarlo!$B$8)*_xlfn.NORM.S.DIST(-(((LN(E$1/$A28)+(MonteCarlo!$B$9+(MonteCarlo!$B$7^2)/2)*MonteCarlo!$B$8)/(MonteCarlo!$B$7*SQRT(MonteCarlo!$B$8)))-(MonteCarlo!$B$7*SQRT(MonteCarlo!$B$8))),TRUE)-E$1*_xlfn.NORM.S.DIST(-((LN(E$1/$A28)+(MonteCarlo!$B$9+(MonteCarlo!$B$7^2)/2)*MonteCarlo!$B$8)/(MonteCarlo!$B$7*SQRT(MonteCarlo!$B$8))),TRUE)),"")</f>
        <v/>
      </c>
      <c r="F28" t="str">
        <f ca="1">IFERROR(IF(OR(MonteCarlo!$B$4="C",MonteCarlo!$B$4="c"),F$1*_xlfn.NORM.S.DIST((LN(F$1/$A28)+(MonteCarlo!$B$9+(MonteCarlo!$B$7^2)/2)*MonteCarlo!$B$8)/(MonteCarlo!$B$7*SQRT(MonteCarlo!$B$8)),TRUE)-$A28*EXP(-MonteCarlo!$B$9*MonteCarlo!$B$8)*_xlfn.NORM.S.DIST(((LN(F$1/$A28)+(MonteCarlo!$B$9+(MonteCarlo!$B$7^2)/2)*MonteCarlo!$B$8)/(MonteCarlo!$B$7*SQRT(MonteCarlo!$B$8)))-(MonteCarlo!$B$7*SQRT(MonteCarlo!$B$8)),TRUE),$A28*EXP(-MonteCarlo!$B$9*MonteCarlo!$B$8)*_xlfn.NORM.S.DIST(-(((LN(F$1/$A28)+(MonteCarlo!$B$9+(MonteCarlo!$B$7^2)/2)*MonteCarlo!$B$8)/(MonteCarlo!$B$7*SQRT(MonteCarlo!$B$8)))-(MonteCarlo!$B$7*SQRT(MonteCarlo!$B$8))),TRUE)-F$1*_xlfn.NORM.S.DIST(-((LN(F$1/$A28)+(MonteCarlo!$B$9+(MonteCarlo!$B$7^2)/2)*MonteCarlo!$B$8)/(MonteCarlo!$B$7*SQRT(MonteCarlo!$B$8))),TRUE)),"")</f>
        <v/>
      </c>
      <c r="G28" t="str">
        <f ca="1">IFERROR(IF(OR(MonteCarlo!$B$4="C",MonteCarlo!$B$4="c"),G$1*_xlfn.NORM.S.DIST((LN(G$1/$A28)+(MonteCarlo!$B$9+(MonteCarlo!$B$7^2)/2)*MonteCarlo!$B$8)/(MonteCarlo!$B$7*SQRT(MonteCarlo!$B$8)),TRUE)-$A28*EXP(-MonteCarlo!$B$9*MonteCarlo!$B$8)*_xlfn.NORM.S.DIST(((LN(G$1/$A28)+(MonteCarlo!$B$9+(MonteCarlo!$B$7^2)/2)*MonteCarlo!$B$8)/(MonteCarlo!$B$7*SQRT(MonteCarlo!$B$8)))-(MonteCarlo!$B$7*SQRT(MonteCarlo!$B$8)),TRUE),$A28*EXP(-MonteCarlo!$B$9*MonteCarlo!$B$8)*_xlfn.NORM.S.DIST(-(((LN(G$1/$A28)+(MonteCarlo!$B$9+(MonteCarlo!$B$7^2)/2)*MonteCarlo!$B$8)/(MonteCarlo!$B$7*SQRT(MonteCarlo!$B$8)))-(MonteCarlo!$B$7*SQRT(MonteCarlo!$B$8))),TRUE)-G$1*_xlfn.NORM.S.DIST(-((LN(G$1/$A28)+(MonteCarlo!$B$9+(MonteCarlo!$B$7^2)/2)*MonteCarlo!$B$8)/(MonteCarlo!$B$7*SQRT(MonteCarlo!$B$8))),TRUE)),"")</f>
        <v/>
      </c>
      <c r="H28" t="str">
        <f ca="1">IFERROR(IF(OR(MonteCarlo!$B$4="C",MonteCarlo!$B$4="c"),H$1*_xlfn.NORM.S.DIST((LN(H$1/$A28)+(MonteCarlo!$B$9+(MonteCarlo!$B$7^2)/2)*MonteCarlo!$B$8)/(MonteCarlo!$B$7*SQRT(MonteCarlo!$B$8)),TRUE)-$A28*EXP(-MonteCarlo!$B$9*MonteCarlo!$B$8)*_xlfn.NORM.S.DIST(((LN(H$1/$A28)+(MonteCarlo!$B$9+(MonteCarlo!$B$7^2)/2)*MonteCarlo!$B$8)/(MonteCarlo!$B$7*SQRT(MonteCarlo!$B$8)))-(MonteCarlo!$B$7*SQRT(MonteCarlo!$B$8)),TRUE),$A28*EXP(-MonteCarlo!$B$9*MonteCarlo!$B$8)*_xlfn.NORM.S.DIST(-(((LN(H$1/$A28)+(MonteCarlo!$B$9+(MonteCarlo!$B$7^2)/2)*MonteCarlo!$B$8)/(MonteCarlo!$B$7*SQRT(MonteCarlo!$B$8)))-(MonteCarlo!$B$7*SQRT(MonteCarlo!$B$8))),TRUE)-H$1*_xlfn.NORM.S.DIST(-((LN(H$1/$A28)+(MonteCarlo!$B$9+(MonteCarlo!$B$7^2)/2)*MonteCarlo!$B$8)/(MonteCarlo!$B$7*SQRT(MonteCarlo!$B$8))),TRUE)),"")</f>
        <v/>
      </c>
      <c r="I28" t="str">
        <f ca="1">IFERROR(IF(OR(MonteCarlo!$B$4="C",MonteCarlo!$B$4="c"),I$1*_xlfn.NORM.S.DIST((LN(I$1/$A28)+(MonteCarlo!$B$9+(MonteCarlo!$B$7^2)/2)*MonteCarlo!$B$8)/(MonteCarlo!$B$7*SQRT(MonteCarlo!$B$8)),TRUE)-$A28*EXP(-MonteCarlo!$B$9*MonteCarlo!$B$8)*_xlfn.NORM.S.DIST(((LN(I$1/$A28)+(MonteCarlo!$B$9+(MonteCarlo!$B$7^2)/2)*MonteCarlo!$B$8)/(MonteCarlo!$B$7*SQRT(MonteCarlo!$B$8)))-(MonteCarlo!$B$7*SQRT(MonteCarlo!$B$8)),TRUE),$A28*EXP(-MonteCarlo!$B$9*MonteCarlo!$B$8)*_xlfn.NORM.S.DIST(-(((LN(I$1/$A28)+(MonteCarlo!$B$9+(MonteCarlo!$B$7^2)/2)*MonteCarlo!$B$8)/(MonteCarlo!$B$7*SQRT(MonteCarlo!$B$8)))-(MonteCarlo!$B$7*SQRT(MonteCarlo!$B$8))),TRUE)-I$1*_xlfn.NORM.S.DIST(-((LN(I$1/$A28)+(MonteCarlo!$B$9+(MonteCarlo!$B$7^2)/2)*MonteCarlo!$B$8)/(MonteCarlo!$B$7*SQRT(MonteCarlo!$B$8))),TRUE)),"")</f>
        <v/>
      </c>
      <c r="J28" t="str">
        <f ca="1">IFERROR(IF(OR(MonteCarlo!$B$4="C",MonteCarlo!$B$4="c"),J$1*_xlfn.NORM.S.DIST((LN(J$1/$A28)+(MonteCarlo!$B$9+(MonteCarlo!$B$7^2)/2)*MonteCarlo!$B$8)/(MonteCarlo!$B$7*SQRT(MonteCarlo!$B$8)),TRUE)-$A28*EXP(-MonteCarlo!$B$9*MonteCarlo!$B$8)*_xlfn.NORM.S.DIST(((LN(J$1/$A28)+(MonteCarlo!$B$9+(MonteCarlo!$B$7^2)/2)*MonteCarlo!$B$8)/(MonteCarlo!$B$7*SQRT(MonteCarlo!$B$8)))-(MonteCarlo!$B$7*SQRT(MonteCarlo!$B$8)),TRUE),$A28*EXP(-MonteCarlo!$B$9*MonteCarlo!$B$8)*_xlfn.NORM.S.DIST(-(((LN(J$1/$A28)+(MonteCarlo!$B$9+(MonteCarlo!$B$7^2)/2)*MonteCarlo!$B$8)/(MonteCarlo!$B$7*SQRT(MonteCarlo!$B$8)))-(MonteCarlo!$B$7*SQRT(MonteCarlo!$B$8))),TRUE)-J$1*_xlfn.NORM.S.DIST(-((LN(J$1/$A28)+(MonteCarlo!$B$9+(MonteCarlo!$B$7^2)/2)*MonteCarlo!$B$8)/(MonteCarlo!$B$7*SQRT(MonteCarlo!$B$8))),TRUE)),"")</f>
        <v/>
      </c>
      <c r="K28" t="str">
        <f ca="1">IFERROR(IF(OR(MonteCarlo!$B$4="C",MonteCarlo!$B$4="c"),K$1*_xlfn.NORM.S.DIST((LN(K$1/$A28)+(MonteCarlo!$B$9+(MonteCarlo!$B$7^2)/2)*MonteCarlo!$B$8)/(MonteCarlo!$B$7*SQRT(MonteCarlo!$B$8)),TRUE)-$A28*EXP(-MonteCarlo!$B$9*MonteCarlo!$B$8)*_xlfn.NORM.S.DIST(((LN(K$1/$A28)+(MonteCarlo!$B$9+(MonteCarlo!$B$7^2)/2)*MonteCarlo!$B$8)/(MonteCarlo!$B$7*SQRT(MonteCarlo!$B$8)))-(MonteCarlo!$B$7*SQRT(MonteCarlo!$B$8)),TRUE),$A28*EXP(-MonteCarlo!$B$9*MonteCarlo!$B$8)*_xlfn.NORM.S.DIST(-(((LN(K$1/$A28)+(MonteCarlo!$B$9+(MonteCarlo!$B$7^2)/2)*MonteCarlo!$B$8)/(MonteCarlo!$B$7*SQRT(MonteCarlo!$B$8)))-(MonteCarlo!$B$7*SQRT(MonteCarlo!$B$8))),TRUE)-K$1*_xlfn.NORM.S.DIST(-((LN(K$1/$A28)+(MonteCarlo!$B$9+(MonteCarlo!$B$7^2)/2)*MonteCarlo!$B$8)/(MonteCarlo!$B$7*SQRT(MonteCarlo!$B$8))),TRUE)),"")</f>
        <v/>
      </c>
      <c r="L28" t="str">
        <f ca="1">IFERROR(IF(OR(MonteCarlo!$B$4="C",MonteCarlo!$B$4="c"),L$1*_xlfn.NORM.S.DIST((LN(L$1/$A28)+(MonteCarlo!$B$9+(MonteCarlo!$B$7^2)/2)*MonteCarlo!$B$8)/(MonteCarlo!$B$7*SQRT(MonteCarlo!$B$8)),TRUE)-$A28*EXP(-MonteCarlo!$B$9*MonteCarlo!$B$8)*_xlfn.NORM.S.DIST(((LN(L$1/$A28)+(MonteCarlo!$B$9+(MonteCarlo!$B$7^2)/2)*MonteCarlo!$B$8)/(MonteCarlo!$B$7*SQRT(MonteCarlo!$B$8)))-(MonteCarlo!$B$7*SQRT(MonteCarlo!$B$8)),TRUE),$A28*EXP(-MonteCarlo!$B$9*MonteCarlo!$B$8)*_xlfn.NORM.S.DIST(-(((LN(L$1/$A28)+(MonteCarlo!$B$9+(MonteCarlo!$B$7^2)/2)*MonteCarlo!$B$8)/(MonteCarlo!$B$7*SQRT(MonteCarlo!$B$8)))-(MonteCarlo!$B$7*SQRT(MonteCarlo!$B$8))),TRUE)-L$1*_xlfn.NORM.S.DIST(-((LN(L$1/$A28)+(MonteCarlo!$B$9+(MonteCarlo!$B$7^2)/2)*MonteCarlo!$B$8)/(MonteCarlo!$B$7*SQRT(MonteCarlo!$B$8))),TRUE)),"")</f>
        <v/>
      </c>
      <c r="M28" t="str">
        <f ca="1">IFERROR(IF(OR(MonteCarlo!$B$4="C",MonteCarlo!$B$4="c"),M$1*_xlfn.NORM.S.DIST((LN(M$1/$A28)+(MonteCarlo!$B$9+(MonteCarlo!$B$7^2)/2)*MonteCarlo!$B$8)/(MonteCarlo!$B$7*SQRT(MonteCarlo!$B$8)),TRUE)-$A28*EXP(-MonteCarlo!$B$9*MonteCarlo!$B$8)*_xlfn.NORM.S.DIST(((LN(M$1/$A28)+(MonteCarlo!$B$9+(MonteCarlo!$B$7^2)/2)*MonteCarlo!$B$8)/(MonteCarlo!$B$7*SQRT(MonteCarlo!$B$8)))-(MonteCarlo!$B$7*SQRT(MonteCarlo!$B$8)),TRUE),$A28*EXP(-MonteCarlo!$B$9*MonteCarlo!$B$8)*_xlfn.NORM.S.DIST(-(((LN(M$1/$A28)+(MonteCarlo!$B$9+(MonteCarlo!$B$7^2)/2)*MonteCarlo!$B$8)/(MonteCarlo!$B$7*SQRT(MonteCarlo!$B$8)))-(MonteCarlo!$B$7*SQRT(MonteCarlo!$B$8))),TRUE)-M$1*_xlfn.NORM.S.DIST(-((LN(M$1/$A28)+(MonteCarlo!$B$9+(MonteCarlo!$B$7^2)/2)*MonteCarlo!$B$8)/(MonteCarlo!$B$7*SQRT(MonteCarlo!$B$8))),TRUE)),"")</f>
        <v/>
      </c>
      <c r="N28" t="str">
        <f ca="1">IFERROR(IF(OR(MonteCarlo!$B$4="C",MonteCarlo!$B$4="c"),N$1*_xlfn.NORM.S.DIST((LN(N$1/$A28)+(MonteCarlo!$B$9+(MonteCarlo!$B$7^2)/2)*MonteCarlo!$B$8)/(MonteCarlo!$B$7*SQRT(MonteCarlo!$B$8)),TRUE)-$A28*EXP(-MonteCarlo!$B$9*MonteCarlo!$B$8)*_xlfn.NORM.S.DIST(((LN(N$1/$A28)+(MonteCarlo!$B$9+(MonteCarlo!$B$7^2)/2)*MonteCarlo!$B$8)/(MonteCarlo!$B$7*SQRT(MonteCarlo!$B$8)))-(MonteCarlo!$B$7*SQRT(MonteCarlo!$B$8)),TRUE),$A28*EXP(-MonteCarlo!$B$9*MonteCarlo!$B$8)*_xlfn.NORM.S.DIST(-(((LN(N$1/$A28)+(MonteCarlo!$B$9+(MonteCarlo!$B$7^2)/2)*MonteCarlo!$B$8)/(MonteCarlo!$B$7*SQRT(MonteCarlo!$B$8)))-(MonteCarlo!$B$7*SQRT(MonteCarlo!$B$8))),TRUE)-N$1*_xlfn.NORM.S.DIST(-((LN(N$1/$A28)+(MonteCarlo!$B$9+(MonteCarlo!$B$7^2)/2)*MonteCarlo!$B$8)/(MonteCarlo!$B$7*SQRT(MonteCarlo!$B$8))),TRUE)),"")</f>
        <v/>
      </c>
      <c r="O28" t="str">
        <f ca="1">IFERROR(IF(OR(MonteCarlo!$B$4="C",MonteCarlo!$B$4="c"),O$1*_xlfn.NORM.S.DIST((LN(O$1/$A28)+(MonteCarlo!$B$9+(MonteCarlo!$B$7^2)/2)*MonteCarlo!$B$8)/(MonteCarlo!$B$7*SQRT(MonteCarlo!$B$8)),TRUE)-$A28*EXP(-MonteCarlo!$B$9*MonteCarlo!$B$8)*_xlfn.NORM.S.DIST(((LN(O$1/$A28)+(MonteCarlo!$B$9+(MonteCarlo!$B$7^2)/2)*MonteCarlo!$B$8)/(MonteCarlo!$B$7*SQRT(MonteCarlo!$B$8)))-(MonteCarlo!$B$7*SQRT(MonteCarlo!$B$8)),TRUE),$A28*EXP(-MonteCarlo!$B$9*MonteCarlo!$B$8)*_xlfn.NORM.S.DIST(-(((LN(O$1/$A28)+(MonteCarlo!$B$9+(MonteCarlo!$B$7^2)/2)*MonteCarlo!$B$8)/(MonteCarlo!$B$7*SQRT(MonteCarlo!$B$8)))-(MonteCarlo!$B$7*SQRT(MonteCarlo!$B$8))),TRUE)-O$1*_xlfn.NORM.S.DIST(-((LN(O$1/$A28)+(MonteCarlo!$B$9+(MonteCarlo!$B$7^2)/2)*MonteCarlo!$B$8)/(MonteCarlo!$B$7*SQRT(MonteCarlo!$B$8))),TRUE)),"")</f>
        <v/>
      </c>
      <c r="P28" t="str">
        <f ca="1">IFERROR(IF(OR(MonteCarlo!$B$4="C",MonteCarlo!$B$4="c"),P$1*_xlfn.NORM.S.DIST((LN(P$1/$A28)+(MonteCarlo!$B$9+(MonteCarlo!$B$7^2)/2)*MonteCarlo!$B$8)/(MonteCarlo!$B$7*SQRT(MonteCarlo!$B$8)),TRUE)-$A28*EXP(-MonteCarlo!$B$9*MonteCarlo!$B$8)*_xlfn.NORM.S.DIST(((LN(P$1/$A28)+(MonteCarlo!$B$9+(MonteCarlo!$B$7^2)/2)*MonteCarlo!$B$8)/(MonteCarlo!$B$7*SQRT(MonteCarlo!$B$8)))-(MonteCarlo!$B$7*SQRT(MonteCarlo!$B$8)),TRUE),$A28*EXP(-MonteCarlo!$B$9*MonteCarlo!$B$8)*_xlfn.NORM.S.DIST(-(((LN(P$1/$A28)+(MonteCarlo!$B$9+(MonteCarlo!$B$7^2)/2)*MonteCarlo!$B$8)/(MonteCarlo!$B$7*SQRT(MonteCarlo!$B$8)))-(MonteCarlo!$B$7*SQRT(MonteCarlo!$B$8))),TRUE)-P$1*_xlfn.NORM.S.DIST(-((LN(P$1/$A28)+(MonteCarlo!$B$9+(MonteCarlo!$B$7^2)/2)*MonteCarlo!$B$8)/(MonteCarlo!$B$7*SQRT(MonteCarlo!$B$8))),TRUE)),"")</f>
        <v/>
      </c>
      <c r="Q28" t="str">
        <f ca="1">IFERROR(IF(OR(MonteCarlo!$B$4="C",MonteCarlo!$B$4="c"),Q$1*_xlfn.NORM.S.DIST((LN(Q$1/$A28)+(MonteCarlo!$B$9+(MonteCarlo!$B$7^2)/2)*MonteCarlo!$B$8)/(MonteCarlo!$B$7*SQRT(MonteCarlo!$B$8)),TRUE)-$A28*EXP(-MonteCarlo!$B$9*MonteCarlo!$B$8)*_xlfn.NORM.S.DIST(((LN(Q$1/$A28)+(MonteCarlo!$B$9+(MonteCarlo!$B$7^2)/2)*MonteCarlo!$B$8)/(MonteCarlo!$B$7*SQRT(MonteCarlo!$B$8)))-(MonteCarlo!$B$7*SQRT(MonteCarlo!$B$8)),TRUE),$A28*EXP(-MonteCarlo!$B$9*MonteCarlo!$B$8)*_xlfn.NORM.S.DIST(-(((LN(Q$1/$A28)+(MonteCarlo!$B$9+(MonteCarlo!$B$7^2)/2)*MonteCarlo!$B$8)/(MonteCarlo!$B$7*SQRT(MonteCarlo!$B$8)))-(MonteCarlo!$B$7*SQRT(MonteCarlo!$B$8))),TRUE)-Q$1*_xlfn.NORM.S.DIST(-((LN(Q$1/$A28)+(MonteCarlo!$B$9+(MonteCarlo!$B$7^2)/2)*MonteCarlo!$B$8)/(MonteCarlo!$B$7*SQRT(MonteCarlo!$B$8))),TRUE)),"")</f>
        <v/>
      </c>
      <c r="R28" t="str">
        <f ca="1">IFERROR(IF(OR(MonteCarlo!$B$4="C",MonteCarlo!$B$4="c"),R$1*_xlfn.NORM.S.DIST((LN(R$1/$A28)+(MonteCarlo!$B$9+(MonteCarlo!$B$7^2)/2)*MonteCarlo!$B$8)/(MonteCarlo!$B$7*SQRT(MonteCarlo!$B$8)),TRUE)-$A28*EXP(-MonteCarlo!$B$9*MonteCarlo!$B$8)*_xlfn.NORM.S.DIST(((LN(R$1/$A28)+(MonteCarlo!$B$9+(MonteCarlo!$B$7^2)/2)*MonteCarlo!$B$8)/(MonteCarlo!$B$7*SQRT(MonteCarlo!$B$8)))-(MonteCarlo!$B$7*SQRT(MonteCarlo!$B$8)),TRUE),$A28*EXP(-MonteCarlo!$B$9*MonteCarlo!$B$8)*_xlfn.NORM.S.DIST(-(((LN(R$1/$A28)+(MonteCarlo!$B$9+(MonteCarlo!$B$7^2)/2)*MonteCarlo!$B$8)/(MonteCarlo!$B$7*SQRT(MonteCarlo!$B$8)))-(MonteCarlo!$B$7*SQRT(MonteCarlo!$B$8))),TRUE)-R$1*_xlfn.NORM.S.DIST(-((LN(R$1/$A28)+(MonteCarlo!$B$9+(MonteCarlo!$B$7^2)/2)*MonteCarlo!$B$8)/(MonteCarlo!$B$7*SQRT(MonteCarlo!$B$8))),TRUE)),"")</f>
        <v/>
      </c>
      <c r="S28" t="str">
        <f ca="1">IFERROR(IF(OR(MonteCarlo!$B$4="C",MonteCarlo!$B$4="c"),S$1*_xlfn.NORM.S.DIST((LN(S$1/$A28)+(MonteCarlo!$B$9+(MonteCarlo!$B$7^2)/2)*MonteCarlo!$B$8)/(MonteCarlo!$B$7*SQRT(MonteCarlo!$B$8)),TRUE)-$A28*EXP(-MonteCarlo!$B$9*MonteCarlo!$B$8)*_xlfn.NORM.S.DIST(((LN(S$1/$A28)+(MonteCarlo!$B$9+(MonteCarlo!$B$7^2)/2)*MonteCarlo!$B$8)/(MonteCarlo!$B$7*SQRT(MonteCarlo!$B$8)))-(MonteCarlo!$B$7*SQRT(MonteCarlo!$B$8)),TRUE),$A28*EXP(-MonteCarlo!$B$9*MonteCarlo!$B$8)*_xlfn.NORM.S.DIST(-(((LN(S$1/$A28)+(MonteCarlo!$B$9+(MonteCarlo!$B$7^2)/2)*MonteCarlo!$B$8)/(MonteCarlo!$B$7*SQRT(MonteCarlo!$B$8)))-(MonteCarlo!$B$7*SQRT(MonteCarlo!$B$8))),TRUE)-S$1*_xlfn.NORM.S.DIST(-((LN(S$1/$A28)+(MonteCarlo!$B$9+(MonteCarlo!$B$7^2)/2)*MonteCarlo!$B$8)/(MonteCarlo!$B$7*SQRT(MonteCarlo!$B$8))),TRUE)),"")</f>
        <v/>
      </c>
      <c r="T28" t="str">
        <f ca="1">IFERROR(IF(OR(MonteCarlo!$B$4="C",MonteCarlo!$B$4="c"),T$1*_xlfn.NORM.S.DIST((LN(T$1/$A28)+(MonteCarlo!$B$9+(MonteCarlo!$B$7^2)/2)*MonteCarlo!$B$8)/(MonteCarlo!$B$7*SQRT(MonteCarlo!$B$8)),TRUE)-$A28*EXP(-MonteCarlo!$B$9*MonteCarlo!$B$8)*_xlfn.NORM.S.DIST(((LN(T$1/$A28)+(MonteCarlo!$B$9+(MonteCarlo!$B$7^2)/2)*MonteCarlo!$B$8)/(MonteCarlo!$B$7*SQRT(MonteCarlo!$B$8)))-(MonteCarlo!$B$7*SQRT(MonteCarlo!$B$8)),TRUE),$A28*EXP(-MonteCarlo!$B$9*MonteCarlo!$B$8)*_xlfn.NORM.S.DIST(-(((LN(T$1/$A28)+(MonteCarlo!$B$9+(MonteCarlo!$B$7^2)/2)*MonteCarlo!$B$8)/(MonteCarlo!$B$7*SQRT(MonteCarlo!$B$8)))-(MonteCarlo!$B$7*SQRT(MonteCarlo!$B$8))),TRUE)-T$1*_xlfn.NORM.S.DIST(-((LN(T$1/$A28)+(MonteCarlo!$B$9+(MonteCarlo!$B$7^2)/2)*MonteCarlo!$B$8)/(MonteCarlo!$B$7*SQRT(MonteCarlo!$B$8))),TRUE)),"")</f>
        <v/>
      </c>
      <c r="U28" t="str">
        <f ca="1">IFERROR(IF(OR(MonteCarlo!$B$4="C",MonteCarlo!$B$4="c"),U$1*_xlfn.NORM.S.DIST((LN(U$1/$A28)+(MonteCarlo!$B$9+(MonteCarlo!$B$7^2)/2)*MonteCarlo!$B$8)/(MonteCarlo!$B$7*SQRT(MonteCarlo!$B$8)),TRUE)-$A28*EXP(-MonteCarlo!$B$9*MonteCarlo!$B$8)*_xlfn.NORM.S.DIST(((LN(U$1/$A28)+(MonteCarlo!$B$9+(MonteCarlo!$B$7^2)/2)*MonteCarlo!$B$8)/(MonteCarlo!$B$7*SQRT(MonteCarlo!$B$8)))-(MonteCarlo!$B$7*SQRT(MonteCarlo!$B$8)),TRUE),$A28*EXP(-MonteCarlo!$B$9*MonteCarlo!$B$8)*_xlfn.NORM.S.DIST(-(((LN(U$1/$A28)+(MonteCarlo!$B$9+(MonteCarlo!$B$7^2)/2)*MonteCarlo!$B$8)/(MonteCarlo!$B$7*SQRT(MonteCarlo!$B$8)))-(MonteCarlo!$B$7*SQRT(MonteCarlo!$B$8))),TRUE)-U$1*_xlfn.NORM.S.DIST(-((LN(U$1/$A28)+(MonteCarlo!$B$9+(MonteCarlo!$B$7^2)/2)*MonteCarlo!$B$8)/(MonteCarlo!$B$7*SQRT(MonteCarlo!$B$8))),TRUE)),"")</f>
        <v/>
      </c>
      <c r="V28" t="str">
        <f ca="1">IFERROR(IF(OR(MonteCarlo!$B$4="C",MonteCarlo!$B$4="c"),V$1*_xlfn.NORM.S.DIST((LN(V$1/$A28)+(MonteCarlo!$B$9+(MonteCarlo!$B$7^2)/2)*MonteCarlo!$B$8)/(MonteCarlo!$B$7*SQRT(MonteCarlo!$B$8)),TRUE)-$A28*EXP(-MonteCarlo!$B$9*MonteCarlo!$B$8)*_xlfn.NORM.S.DIST(((LN(V$1/$A28)+(MonteCarlo!$B$9+(MonteCarlo!$B$7^2)/2)*MonteCarlo!$B$8)/(MonteCarlo!$B$7*SQRT(MonteCarlo!$B$8)))-(MonteCarlo!$B$7*SQRT(MonteCarlo!$B$8)),TRUE),$A28*EXP(-MonteCarlo!$B$9*MonteCarlo!$B$8)*_xlfn.NORM.S.DIST(-(((LN(V$1/$A28)+(MonteCarlo!$B$9+(MonteCarlo!$B$7^2)/2)*MonteCarlo!$B$8)/(MonteCarlo!$B$7*SQRT(MonteCarlo!$B$8)))-(MonteCarlo!$B$7*SQRT(MonteCarlo!$B$8))),TRUE)-V$1*_xlfn.NORM.S.DIST(-((LN(V$1/$A28)+(MonteCarlo!$B$9+(MonteCarlo!$B$7^2)/2)*MonteCarlo!$B$8)/(MonteCarlo!$B$7*SQRT(MonteCarlo!$B$8))),TRUE)),"")</f>
        <v/>
      </c>
      <c r="W28" t="str">
        <f ca="1">IFERROR(IF(OR(MonteCarlo!$B$4="C",MonteCarlo!$B$4="c"),W$1*_xlfn.NORM.S.DIST((LN(W$1/$A28)+(MonteCarlo!$B$9+(MonteCarlo!$B$7^2)/2)*MonteCarlo!$B$8)/(MonteCarlo!$B$7*SQRT(MonteCarlo!$B$8)),TRUE)-$A28*EXP(-MonteCarlo!$B$9*MonteCarlo!$B$8)*_xlfn.NORM.S.DIST(((LN(W$1/$A28)+(MonteCarlo!$B$9+(MonteCarlo!$B$7^2)/2)*MonteCarlo!$B$8)/(MonteCarlo!$B$7*SQRT(MonteCarlo!$B$8)))-(MonteCarlo!$B$7*SQRT(MonteCarlo!$B$8)),TRUE),$A28*EXP(-MonteCarlo!$B$9*MonteCarlo!$B$8)*_xlfn.NORM.S.DIST(-(((LN(W$1/$A28)+(MonteCarlo!$B$9+(MonteCarlo!$B$7^2)/2)*MonteCarlo!$B$8)/(MonteCarlo!$B$7*SQRT(MonteCarlo!$B$8)))-(MonteCarlo!$B$7*SQRT(MonteCarlo!$B$8))),TRUE)-W$1*_xlfn.NORM.S.DIST(-((LN(W$1/$A28)+(MonteCarlo!$B$9+(MonteCarlo!$B$7^2)/2)*MonteCarlo!$B$8)/(MonteCarlo!$B$7*SQRT(MonteCarlo!$B$8))),TRUE)),"")</f>
        <v/>
      </c>
      <c r="X28" t="str">
        <f ca="1">IFERROR(IF(OR(MonteCarlo!$B$4="C",MonteCarlo!$B$4="c"),X$1*_xlfn.NORM.S.DIST((LN(X$1/$A28)+(MonteCarlo!$B$9+(MonteCarlo!$B$7^2)/2)*MonteCarlo!$B$8)/(MonteCarlo!$B$7*SQRT(MonteCarlo!$B$8)),TRUE)-$A28*EXP(-MonteCarlo!$B$9*MonteCarlo!$B$8)*_xlfn.NORM.S.DIST(((LN(X$1/$A28)+(MonteCarlo!$B$9+(MonteCarlo!$B$7^2)/2)*MonteCarlo!$B$8)/(MonteCarlo!$B$7*SQRT(MonteCarlo!$B$8)))-(MonteCarlo!$B$7*SQRT(MonteCarlo!$B$8)),TRUE),$A28*EXP(-MonteCarlo!$B$9*MonteCarlo!$B$8)*_xlfn.NORM.S.DIST(-(((LN(X$1/$A28)+(MonteCarlo!$B$9+(MonteCarlo!$B$7^2)/2)*MonteCarlo!$B$8)/(MonteCarlo!$B$7*SQRT(MonteCarlo!$B$8)))-(MonteCarlo!$B$7*SQRT(MonteCarlo!$B$8))),TRUE)-X$1*_xlfn.NORM.S.DIST(-((LN(X$1/$A28)+(MonteCarlo!$B$9+(MonteCarlo!$B$7^2)/2)*MonteCarlo!$B$8)/(MonteCarlo!$B$7*SQRT(MonteCarlo!$B$8))),TRUE)),"")</f>
        <v/>
      </c>
      <c r="Y28" t="str">
        <f ca="1">IFERROR(IF(OR(MonteCarlo!$B$4="C",MonteCarlo!$B$4="c"),Y$1*_xlfn.NORM.S.DIST((LN(Y$1/$A28)+(MonteCarlo!$B$9+(MonteCarlo!$B$7^2)/2)*MonteCarlo!$B$8)/(MonteCarlo!$B$7*SQRT(MonteCarlo!$B$8)),TRUE)-$A28*EXP(-MonteCarlo!$B$9*MonteCarlo!$B$8)*_xlfn.NORM.S.DIST(((LN(Y$1/$A28)+(MonteCarlo!$B$9+(MonteCarlo!$B$7^2)/2)*MonteCarlo!$B$8)/(MonteCarlo!$B$7*SQRT(MonteCarlo!$B$8)))-(MonteCarlo!$B$7*SQRT(MonteCarlo!$B$8)),TRUE),$A28*EXP(-MonteCarlo!$B$9*MonteCarlo!$B$8)*_xlfn.NORM.S.DIST(-(((LN(Y$1/$A28)+(MonteCarlo!$B$9+(MonteCarlo!$B$7^2)/2)*MonteCarlo!$B$8)/(MonteCarlo!$B$7*SQRT(MonteCarlo!$B$8)))-(MonteCarlo!$B$7*SQRT(MonteCarlo!$B$8))),TRUE)-Y$1*_xlfn.NORM.S.DIST(-((LN(Y$1/$A28)+(MonteCarlo!$B$9+(MonteCarlo!$B$7^2)/2)*MonteCarlo!$B$8)/(MonteCarlo!$B$7*SQRT(MonteCarlo!$B$8))),TRUE)),"")</f>
        <v/>
      </c>
      <c r="Z28" t="str">
        <f ca="1">IFERROR(IF(OR(MonteCarlo!$B$4="C",MonteCarlo!$B$4="c"),Z$1*_xlfn.NORM.S.DIST((LN(Z$1/$A28)+(MonteCarlo!$B$9+(MonteCarlo!$B$7^2)/2)*MonteCarlo!$B$8)/(MonteCarlo!$B$7*SQRT(MonteCarlo!$B$8)),TRUE)-$A28*EXP(-MonteCarlo!$B$9*MonteCarlo!$B$8)*_xlfn.NORM.S.DIST(((LN(Z$1/$A28)+(MonteCarlo!$B$9+(MonteCarlo!$B$7^2)/2)*MonteCarlo!$B$8)/(MonteCarlo!$B$7*SQRT(MonteCarlo!$B$8)))-(MonteCarlo!$B$7*SQRT(MonteCarlo!$B$8)),TRUE),$A28*EXP(-MonteCarlo!$B$9*MonteCarlo!$B$8)*_xlfn.NORM.S.DIST(-(((LN(Z$1/$A28)+(MonteCarlo!$B$9+(MonteCarlo!$B$7^2)/2)*MonteCarlo!$B$8)/(MonteCarlo!$B$7*SQRT(MonteCarlo!$B$8)))-(MonteCarlo!$B$7*SQRT(MonteCarlo!$B$8))),TRUE)-Z$1*_xlfn.NORM.S.DIST(-((LN(Z$1/$A28)+(MonteCarlo!$B$9+(MonteCarlo!$B$7^2)/2)*MonteCarlo!$B$8)/(MonteCarlo!$B$7*SQRT(MonteCarlo!$B$8))),TRUE)),"")</f>
        <v/>
      </c>
      <c r="AA28" t="str">
        <f ca="1">IFERROR(IF(OR(MonteCarlo!$B$4="C",MonteCarlo!$B$4="c"),AA$1*_xlfn.NORM.S.DIST((LN(AA$1/$A28)+(MonteCarlo!$B$9+(MonteCarlo!$B$7^2)/2)*MonteCarlo!$B$8)/(MonteCarlo!$B$7*SQRT(MonteCarlo!$B$8)),TRUE)-$A28*EXP(-MonteCarlo!$B$9*MonteCarlo!$B$8)*_xlfn.NORM.S.DIST(((LN(AA$1/$A28)+(MonteCarlo!$B$9+(MonteCarlo!$B$7^2)/2)*MonteCarlo!$B$8)/(MonteCarlo!$B$7*SQRT(MonteCarlo!$B$8)))-(MonteCarlo!$B$7*SQRT(MonteCarlo!$B$8)),TRUE),$A28*EXP(-MonteCarlo!$B$9*MonteCarlo!$B$8)*_xlfn.NORM.S.DIST(-(((LN(AA$1/$A28)+(MonteCarlo!$B$9+(MonteCarlo!$B$7^2)/2)*MonteCarlo!$B$8)/(MonteCarlo!$B$7*SQRT(MonteCarlo!$B$8)))-(MonteCarlo!$B$7*SQRT(MonteCarlo!$B$8))),TRUE)-AA$1*_xlfn.NORM.S.DIST(-((LN(AA$1/$A28)+(MonteCarlo!$B$9+(MonteCarlo!$B$7^2)/2)*MonteCarlo!$B$8)/(MonteCarlo!$B$7*SQRT(MonteCarlo!$B$8))),TRUE)),"")</f>
        <v/>
      </c>
      <c r="AB28" t="str">
        <f ca="1">IFERROR(IF(OR(MonteCarlo!$B$4="C",MonteCarlo!$B$4="c"),AB$1*_xlfn.NORM.S.DIST((LN(AB$1/$A28)+(MonteCarlo!$B$9+(MonteCarlo!$B$7^2)/2)*MonteCarlo!$B$8)/(MonteCarlo!$B$7*SQRT(MonteCarlo!$B$8)),TRUE)-$A28*EXP(-MonteCarlo!$B$9*MonteCarlo!$B$8)*_xlfn.NORM.S.DIST(((LN(AB$1/$A28)+(MonteCarlo!$B$9+(MonteCarlo!$B$7^2)/2)*MonteCarlo!$B$8)/(MonteCarlo!$B$7*SQRT(MonteCarlo!$B$8)))-(MonteCarlo!$B$7*SQRT(MonteCarlo!$B$8)),TRUE),$A28*EXP(-MonteCarlo!$B$9*MonteCarlo!$B$8)*_xlfn.NORM.S.DIST(-(((LN(AB$1/$A28)+(MonteCarlo!$B$9+(MonteCarlo!$B$7^2)/2)*MonteCarlo!$B$8)/(MonteCarlo!$B$7*SQRT(MonteCarlo!$B$8)))-(MonteCarlo!$B$7*SQRT(MonteCarlo!$B$8))),TRUE)-AB$1*_xlfn.NORM.S.DIST(-((LN(AB$1/$A28)+(MonteCarlo!$B$9+(MonteCarlo!$B$7^2)/2)*MonteCarlo!$B$8)/(MonteCarlo!$B$7*SQRT(MonteCarlo!$B$8))),TRUE)),"")</f>
        <v/>
      </c>
      <c r="AC28" t="str">
        <f ca="1">IFERROR(IF(OR(MonteCarlo!$B$4="C",MonteCarlo!$B$4="c"),AC$1*_xlfn.NORM.S.DIST((LN(AC$1/$A28)+(MonteCarlo!$B$9+(MonteCarlo!$B$7^2)/2)*MonteCarlo!$B$8)/(MonteCarlo!$B$7*SQRT(MonteCarlo!$B$8)),TRUE)-$A28*EXP(-MonteCarlo!$B$9*MonteCarlo!$B$8)*_xlfn.NORM.S.DIST(((LN(AC$1/$A28)+(MonteCarlo!$B$9+(MonteCarlo!$B$7^2)/2)*MonteCarlo!$B$8)/(MonteCarlo!$B$7*SQRT(MonteCarlo!$B$8)))-(MonteCarlo!$B$7*SQRT(MonteCarlo!$B$8)),TRUE),$A28*EXP(-MonteCarlo!$B$9*MonteCarlo!$B$8)*_xlfn.NORM.S.DIST(-(((LN(AC$1/$A28)+(MonteCarlo!$B$9+(MonteCarlo!$B$7^2)/2)*MonteCarlo!$B$8)/(MonteCarlo!$B$7*SQRT(MonteCarlo!$B$8)))-(MonteCarlo!$B$7*SQRT(MonteCarlo!$B$8))),TRUE)-AC$1*_xlfn.NORM.S.DIST(-((LN(AC$1/$A28)+(MonteCarlo!$B$9+(MonteCarlo!$B$7^2)/2)*MonteCarlo!$B$8)/(MonteCarlo!$B$7*SQRT(MonteCarlo!$B$8))),TRUE)),"")</f>
        <v/>
      </c>
      <c r="AD28" t="str">
        <f ca="1">IFERROR(IF(OR(MonteCarlo!$B$4="C",MonteCarlo!$B$4="c"),AD$1*_xlfn.NORM.S.DIST((LN(AD$1/$A28)+(MonteCarlo!$B$9+(MonteCarlo!$B$7^2)/2)*MonteCarlo!$B$8)/(MonteCarlo!$B$7*SQRT(MonteCarlo!$B$8)),TRUE)-$A28*EXP(-MonteCarlo!$B$9*MonteCarlo!$B$8)*_xlfn.NORM.S.DIST(((LN(AD$1/$A28)+(MonteCarlo!$B$9+(MonteCarlo!$B$7^2)/2)*MonteCarlo!$B$8)/(MonteCarlo!$B$7*SQRT(MonteCarlo!$B$8)))-(MonteCarlo!$B$7*SQRT(MonteCarlo!$B$8)),TRUE),$A28*EXP(-MonteCarlo!$B$9*MonteCarlo!$B$8)*_xlfn.NORM.S.DIST(-(((LN(AD$1/$A28)+(MonteCarlo!$B$9+(MonteCarlo!$B$7^2)/2)*MonteCarlo!$B$8)/(MonteCarlo!$B$7*SQRT(MonteCarlo!$B$8)))-(MonteCarlo!$B$7*SQRT(MonteCarlo!$B$8))),TRUE)-AD$1*_xlfn.NORM.S.DIST(-((LN(AD$1/$A28)+(MonteCarlo!$B$9+(MonteCarlo!$B$7^2)/2)*MonteCarlo!$B$8)/(MonteCarlo!$B$7*SQRT(MonteCarlo!$B$8))),TRUE)),"")</f>
        <v/>
      </c>
      <c r="AE28" t="str">
        <f ca="1">IFERROR(IF(OR(MonteCarlo!$B$4="C",MonteCarlo!$B$4="c"),AE$1*_xlfn.NORM.S.DIST((LN(AE$1/$A28)+(MonteCarlo!$B$9+(MonteCarlo!$B$7^2)/2)*MonteCarlo!$B$8)/(MonteCarlo!$B$7*SQRT(MonteCarlo!$B$8)),TRUE)-$A28*EXP(-MonteCarlo!$B$9*MonteCarlo!$B$8)*_xlfn.NORM.S.DIST(((LN(AE$1/$A28)+(MonteCarlo!$B$9+(MonteCarlo!$B$7^2)/2)*MonteCarlo!$B$8)/(MonteCarlo!$B$7*SQRT(MonteCarlo!$B$8)))-(MonteCarlo!$B$7*SQRT(MonteCarlo!$B$8)),TRUE),$A28*EXP(-MonteCarlo!$B$9*MonteCarlo!$B$8)*_xlfn.NORM.S.DIST(-(((LN(AE$1/$A28)+(MonteCarlo!$B$9+(MonteCarlo!$B$7^2)/2)*MonteCarlo!$B$8)/(MonteCarlo!$B$7*SQRT(MonteCarlo!$B$8)))-(MonteCarlo!$B$7*SQRT(MonteCarlo!$B$8))),TRUE)-AE$1*_xlfn.NORM.S.DIST(-((LN(AE$1/$A28)+(MonteCarlo!$B$9+(MonteCarlo!$B$7^2)/2)*MonteCarlo!$B$8)/(MonteCarlo!$B$7*SQRT(MonteCarlo!$B$8))),TRUE)),"")</f>
        <v/>
      </c>
      <c r="AF28" t="str">
        <f ca="1">IFERROR(IF(OR(MonteCarlo!$B$4="C",MonteCarlo!$B$4="c"),AF$1*_xlfn.NORM.S.DIST((LN(AF$1/$A28)+(MonteCarlo!$B$9+(MonteCarlo!$B$7^2)/2)*MonteCarlo!$B$8)/(MonteCarlo!$B$7*SQRT(MonteCarlo!$B$8)),TRUE)-$A28*EXP(-MonteCarlo!$B$9*MonteCarlo!$B$8)*_xlfn.NORM.S.DIST(((LN(AF$1/$A28)+(MonteCarlo!$B$9+(MonteCarlo!$B$7^2)/2)*MonteCarlo!$B$8)/(MonteCarlo!$B$7*SQRT(MonteCarlo!$B$8)))-(MonteCarlo!$B$7*SQRT(MonteCarlo!$B$8)),TRUE),$A28*EXP(-MonteCarlo!$B$9*MonteCarlo!$B$8)*_xlfn.NORM.S.DIST(-(((LN(AF$1/$A28)+(MonteCarlo!$B$9+(MonteCarlo!$B$7^2)/2)*MonteCarlo!$B$8)/(MonteCarlo!$B$7*SQRT(MonteCarlo!$B$8)))-(MonteCarlo!$B$7*SQRT(MonteCarlo!$B$8))),TRUE)-AF$1*_xlfn.NORM.S.DIST(-((LN(AF$1/$A28)+(MonteCarlo!$B$9+(MonteCarlo!$B$7^2)/2)*MonteCarlo!$B$8)/(MonteCarlo!$B$7*SQRT(MonteCarlo!$B$8))),TRUE)),"")</f>
        <v/>
      </c>
    </row>
    <row r="29" spans="2:32" x14ac:dyDescent="0.25">
      <c r="B29" t="str">
        <f ca="1">IFERROR(IF(OR(MonteCarlo!$B$4="C",MonteCarlo!$B$4="c"),B$1*_xlfn.NORM.S.DIST((LN(B$1/$A29)+(MonteCarlo!$B$9+(MonteCarlo!$B$7^2)/2)*MonteCarlo!$B$8)/(MonteCarlo!$B$7*SQRT(MonteCarlo!$B$8)),TRUE)-$A29*EXP(-MonteCarlo!$B$9*MonteCarlo!$B$8)*_xlfn.NORM.S.DIST(((LN(B$1/$A29)+(MonteCarlo!$B$9+(MonteCarlo!$B$7^2)/2)*MonteCarlo!$B$8)/(MonteCarlo!$B$7*SQRT(MonteCarlo!$B$8)))-(MonteCarlo!$B$7*SQRT(MonteCarlo!$B$8)),TRUE),$A29*EXP(-MonteCarlo!$B$9*MonteCarlo!$B$8)*_xlfn.NORM.S.DIST(-(((LN(B$1/$A29)+(MonteCarlo!$B$9+(MonteCarlo!$B$7^2)/2)*MonteCarlo!$B$8)/(MonteCarlo!$B$7*SQRT(MonteCarlo!$B$8)))-(MonteCarlo!$B$7*SQRT(MonteCarlo!$B$8))),TRUE)-B$1*_xlfn.NORM.S.DIST(-((LN(B$1/$A29)+(MonteCarlo!$B$9+(MonteCarlo!$B$7^2)/2)*MonteCarlo!$B$8)/(MonteCarlo!$B$7*SQRT(MonteCarlo!$B$8))),TRUE)),"")</f>
        <v/>
      </c>
      <c r="C29" t="str">
        <f ca="1">IFERROR(IF(OR(MonteCarlo!$B$4="C",MonteCarlo!$B$4="c"),C$1*_xlfn.NORM.S.DIST((LN(C$1/$A29)+(MonteCarlo!$B$9+(MonteCarlo!$B$7^2)/2)*MonteCarlo!$B$8)/(MonteCarlo!$B$7*SQRT(MonteCarlo!$B$8)),TRUE)-$A29*EXP(-MonteCarlo!$B$9*MonteCarlo!$B$8)*_xlfn.NORM.S.DIST(((LN(C$1/$A29)+(MonteCarlo!$B$9+(MonteCarlo!$B$7^2)/2)*MonteCarlo!$B$8)/(MonteCarlo!$B$7*SQRT(MonteCarlo!$B$8)))-(MonteCarlo!$B$7*SQRT(MonteCarlo!$B$8)),TRUE),$A29*EXP(-MonteCarlo!$B$9*MonteCarlo!$B$8)*_xlfn.NORM.S.DIST(-(((LN(C$1/$A29)+(MonteCarlo!$B$9+(MonteCarlo!$B$7^2)/2)*MonteCarlo!$B$8)/(MonteCarlo!$B$7*SQRT(MonteCarlo!$B$8)))-(MonteCarlo!$B$7*SQRT(MonteCarlo!$B$8))),TRUE)-C$1*_xlfn.NORM.S.DIST(-((LN(C$1/$A29)+(MonteCarlo!$B$9+(MonteCarlo!$B$7^2)/2)*MonteCarlo!$B$8)/(MonteCarlo!$B$7*SQRT(MonteCarlo!$B$8))),TRUE)),"")</f>
        <v/>
      </c>
      <c r="D29" t="str">
        <f ca="1">IFERROR(IF(OR(MonteCarlo!$B$4="C",MonteCarlo!$B$4="c"),D$1*_xlfn.NORM.S.DIST((LN(D$1/$A29)+(MonteCarlo!$B$9+(MonteCarlo!$B$7^2)/2)*MonteCarlo!$B$8)/(MonteCarlo!$B$7*SQRT(MonteCarlo!$B$8)),TRUE)-$A29*EXP(-MonteCarlo!$B$9*MonteCarlo!$B$8)*_xlfn.NORM.S.DIST(((LN(D$1/$A29)+(MonteCarlo!$B$9+(MonteCarlo!$B$7^2)/2)*MonteCarlo!$B$8)/(MonteCarlo!$B$7*SQRT(MonteCarlo!$B$8)))-(MonteCarlo!$B$7*SQRT(MonteCarlo!$B$8)),TRUE),$A29*EXP(-MonteCarlo!$B$9*MonteCarlo!$B$8)*_xlfn.NORM.S.DIST(-(((LN(D$1/$A29)+(MonteCarlo!$B$9+(MonteCarlo!$B$7^2)/2)*MonteCarlo!$B$8)/(MonteCarlo!$B$7*SQRT(MonteCarlo!$B$8)))-(MonteCarlo!$B$7*SQRT(MonteCarlo!$B$8))),TRUE)-D$1*_xlfn.NORM.S.DIST(-((LN(D$1/$A29)+(MonteCarlo!$B$9+(MonteCarlo!$B$7^2)/2)*MonteCarlo!$B$8)/(MonteCarlo!$B$7*SQRT(MonteCarlo!$B$8))),TRUE)),"")</f>
        <v/>
      </c>
      <c r="E29" t="str">
        <f ca="1">IFERROR(IF(OR(MonteCarlo!$B$4="C",MonteCarlo!$B$4="c"),E$1*_xlfn.NORM.S.DIST((LN(E$1/$A29)+(MonteCarlo!$B$9+(MonteCarlo!$B$7^2)/2)*MonteCarlo!$B$8)/(MonteCarlo!$B$7*SQRT(MonteCarlo!$B$8)),TRUE)-$A29*EXP(-MonteCarlo!$B$9*MonteCarlo!$B$8)*_xlfn.NORM.S.DIST(((LN(E$1/$A29)+(MonteCarlo!$B$9+(MonteCarlo!$B$7^2)/2)*MonteCarlo!$B$8)/(MonteCarlo!$B$7*SQRT(MonteCarlo!$B$8)))-(MonteCarlo!$B$7*SQRT(MonteCarlo!$B$8)),TRUE),$A29*EXP(-MonteCarlo!$B$9*MonteCarlo!$B$8)*_xlfn.NORM.S.DIST(-(((LN(E$1/$A29)+(MonteCarlo!$B$9+(MonteCarlo!$B$7^2)/2)*MonteCarlo!$B$8)/(MonteCarlo!$B$7*SQRT(MonteCarlo!$B$8)))-(MonteCarlo!$B$7*SQRT(MonteCarlo!$B$8))),TRUE)-E$1*_xlfn.NORM.S.DIST(-((LN(E$1/$A29)+(MonteCarlo!$B$9+(MonteCarlo!$B$7^2)/2)*MonteCarlo!$B$8)/(MonteCarlo!$B$7*SQRT(MonteCarlo!$B$8))),TRUE)),"")</f>
        <v/>
      </c>
      <c r="F29" t="str">
        <f ca="1">IFERROR(IF(OR(MonteCarlo!$B$4="C",MonteCarlo!$B$4="c"),F$1*_xlfn.NORM.S.DIST((LN(F$1/$A29)+(MonteCarlo!$B$9+(MonteCarlo!$B$7^2)/2)*MonteCarlo!$B$8)/(MonteCarlo!$B$7*SQRT(MonteCarlo!$B$8)),TRUE)-$A29*EXP(-MonteCarlo!$B$9*MonteCarlo!$B$8)*_xlfn.NORM.S.DIST(((LN(F$1/$A29)+(MonteCarlo!$B$9+(MonteCarlo!$B$7^2)/2)*MonteCarlo!$B$8)/(MonteCarlo!$B$7*SQRT(MonteCarlo!$B$8)))-(MonteCarlo!$B$7*SQRT(MonteCarlo!$B$8)),TRUE),$A29*EXP(-MonteCarlo!$B$9*MonteCarlo!$B$8)*_xlfn.NORM.S.DIST(-(((LN(F$1/$A29)+(MonteCarlo!$B$9+(MonteCarlo!$B$7^2)/2)*MonteCarlo!$B$8)/(MonteCarlo!$B$7*SQRT(MonteCarlo!$B$8)))-(MonteCarlo!$B$7*SQRT(MonteCarlo!$B$8))),TRUE)-F$1*_xlfn.NORM.S.DIST(-((LN(F$1/$A29)+(MonteCarlo!$B$9+(MonteCarlo!$B$7^2)/2)*MonteCarlo!$B$8)/(MonteCarlo!$B$7*SQRT(MonteCarlo!$B$8))),TRUE)),"")</f>
        <v/>
      </c>
      <c r="G29" t="str">
        <f ca="1">IFERROR(IF(OR(MonteCarlo!$B$4="C",MonteCarlo!$B$4="c"),G$1*_xlfn.NORM.S.DIST((LN(G$1/$A29)+(MonteCarlo!$B$9+(MonteCarlo!$B$7^2)/2)*MonteCarlo!$B$8)/(MonteCarlo!$B$7*SQRT(MonteCarlo!$B$8)),TRUE)-$A29*EXP(-MonteCarlo!$B$9*MonteCarlo!$B$8)*_xlfn.NORM.S.DIST(((LN(G$1/$A29)+(MonteCarlo!$B$9+(MonteCarlo!$B$7^2)/2)*MonteCarlo!$B$8)/(MonteCarlo!$B$7*SQRT(MonteCarlo!$B$8)))-(MonteCarlo!$B$7*SQRT(MonteCarlo!$B$8)),TRUE),$A29*EXP(-MonteCarlo!$B$9*MonteCarlo!$B$8)*_xlfn.NORM.S.DIST(-(((LN(G$1/$A29)+(MonteCarlo!$B$9+(MonteCarlo!$B$7^2)/2)*MonteCarlo!$B$8)/(MonteCarlo!$B$7*SQRT(MonteCarlo!$B$8)))-(MonteCarlo!$B$7*SQRT(MonteCarlo!$B$8))),TRUE)-G$1*_xlfn.NORM.S.DIST(-((LN(G$1/$A29)+(MonteCarlo!$B$9+(MonteCarlo!$B$7^2)/2)*MonteCarlo!$B$8)/(MonteCarlo!$B$7*SQRT(MonteCarlo!$B$8))),TRUE)),"")</f>
        <v/>
      </c>
      <c r="H29" t="str">
        <f ca="1">IFERROR(IF(OR(MonteCarlo!$B$4="C",MonteCarlo!$B$4="c"),H$1*_xlfn.NORM.S.DIST((LN(H$1/$A29)+(MonteCarlo!$B$9+(MonteCarlo!$B$7^2)/2)*MonteCarlo!$B$8)/(MonteCarlo!$B$7*SQRT(MonteCarlo!$B$8)),TRUE)-$A29*EXP(-MonteCarlo!$B$9*MonteCarlo!$B$8)*_xlfn.NORM.S.DIST(((LN(H$1/$A29)+(MonteCarlo!$B$9+(MonteCarlo!$B$7^2)/2)*MonteCarlo!$B$8)/(MonteCarlo!$B$7*SQRT(MonteCarlo!$B$8)))-(MonteCarlo!$B$7*SQRT(MonteCarlo!$B$8)),TRUE),$A29*EXP(-MonteCarlo!$B$9*MonteCarlo!$B$8)*_xlfn.NORM.S.DIST(-(((LN(H$1/$A29)+(MonteCarlo!$B$9+(MonteCarlo!$B$7^2)/2)*MonteCarlo!$B$8)/(MonteCarlo!$B$7*SQRT(MonteCarlo!$B$8)))-(MonteCarlo!$B$7*SQRT(MonteCarlo!$B$8))),TRUE)-H$1*_xlfn.NORM.S.DIST(-((LN(H$1/$A29)+(MonteCarlo!$B$9+(MonteCarlo!$B$7^2)/2)*MonteCarlo!$B$8)/(MonteCarlo!$B$7*SQRT(MonteCarlo!$B$8))),TRUE)),"")</f>
        <v/>
      </c>
      <c r="I29" t="str">
        <f ca="1">IFERROR(IF(OR(MonteCarlo!$B$4="C",MonteCarlo!$B$4="c"),I$1*_xlfn.NORM.S.DIST((LN(I$1/$A29)+(MonteCarlo!$B$9+(MonteCarlo!$B$7^2)/2)*MonteCarlo!$B$8)/(MonteCarlo!$B$7*SQRT(MonteCarlo!$B$8)),TRUE)-$A29*EXP(-MonteCarlo!$B$9*MonteCarlo!$B$8)*_xlfn.NORM.S.DIST(((LN(I$1/$A29)+(MonteCarlo!$B$9+(MonteCarlo!$B$7^2)/2)*MonteCarlo!$B$8)/(MonteCarlo!$B$7*SQRT(MonteCarlo!$B$8)))-(MonteCarlo!$B$7*SQRT(MonteCarlo!$B$8)),TRUE),$A29*EXP(-MonteCarlo!$B$9*MonteCarlo!$B$8)*_xlfn.NORM.S.DIST(-(((LN(I$1/$A29)+(MonteCarlo!$B$9+(MonteCarlo!$B$7^2)/2)*MonteCarlo!$B$8)/(MonteCarlo!$B$7*SQRT(MonteCarlo!$B$8)))-(MonteCarlo!$B$7*SQRT(MonteCarlo!$B$8))),TRUE)-I$1*_xlfn.NORM.S.DIST(-((LN(I$1/$A29)+(MonteCarlo!$B$9+(MonteCarlo!$B$7^2)/2)*MonteCarlo!$B$8)/(MonteCarlo!$B$7*SQRT(MonteCarlo!$B$8))),TRUE)),"")</f>
        <v/>
      </c>
      <c r="J29" t="str">
        <f ca="1">IFERROR(IF(OR(MonteCarlo!$B$4="C",MonteCarlo!$B$4="c"),J$1*_xlfn.NORM.S.DIST((LN(J$1/$A29)+(MonteCarlo!$B$9+(MonteCarlo!$B$7^2)/2)*MonteCarlo!$B$8)/(MonteCarlo!$B$7*SQRT(MonteCarlo!$B$8)),TRUE)-$A29*EXP(-MonteCarlo!$B$9*MonteCarlo!$B$8)*_xlfn.NORM.S.DIST(((LN(J$1/$A29)+(MonteCarlo!$B$9+(MonteCarlo!$B$7^2)/2)*MonteCarlo!$B$8)/(MonteCarlo!$B$7*SQRT(MonteCarlo!$B$8)))-(MonteCarlo!$B$7*SQRT(MonteCarlo!$B$8)),TRUE),$A29*EXP(-MonteCarlo!$B$9*MonteCarlo!$B$8)*_xlfn.NORM.S.DIST(-(((LN(J$1/$A29)+(MonteCarlo!$B$9+(MonteCarlo!$B$7^2)/2)*MonteCarlo!$B$8)/(MonteCarlo!$B$7*SQRT(MonteCarlo!$B$8)))-(MonteCarlo!$B$7*SQRT(MonteCarlo!$B$8))),TRUE)-J$1*_xlfn.NORM.S.DIST(-((LN(J$1/$A29)+(MonteCarlo!$B$9+(MonteCarlo!$B$7^2)/2)*MonteCarlo!$B$8)/(MonteCarlo!$B$7*SQRT(MonteCarlo!$B$8))),TRUE)),"")</f>
        <v/>
      </c>
      <c r="K29" t="str">
        <f ca="1">IFERROR(IF(OR(MonteCarlo!$B$4="C",MonteCarlo!$B$4="c"),K$1*_xlfn.NORM.S.DIST((LN(K$1/$A29)+(MonteCarlo!$B$9+(MonteCarlo!$B$7^2)/2)*MonteCarlo!$B$8)/(MonteCarlo!$B$7*SQRT(MonteCarlo!$B$8)),TRUE)-$A29*EXP(-MonteCarlo!$B$9*MonteCarlo!$B$8)*_xlfn.NORM.S.DIST(((LN(K$1/$A29)+(MonteCarlo!$B$9+(MonteCarlo!$B$7^2)/2)*MonteCarlo!$B$8)/(MonteCarlo!$B$7*SQRT(MonteCarlo!$B$8)))-(MonteCarlo!$B$7*SQRT(MonteCarlo!$B$8)),TRUE),$A29*EXP(-MonteCarlo!$B$9*MonteCarlo!$B$8)*_xlfn.NORM.S.DIST(-(((LN(K$1/$A29)+(MonteCarlo!$B$9+(MonteCarlo!$B$7^2)/2)*MonteCarlo!$B$8)/(MonteCarlo!$B$7*SQRT(MonteCarlo!$B$8)))-(MonteCarlo!$B$7*SQRT(MonteCarlo!$B$8))),TRUE)-K$1*_xlfn.NORM.S.DIST(-((LN(K$1/$A29)+(MonteCarlo!$B$9+(MonteCarlo!$B$7^2)/2)*MonteCarlo!$B$8)/(MonteCarlo!$B$7*SQRT(MonteCarlo!$B$8))),TRUE)),"")</f>
        <v/>
      </c>
      <c r="L29" t="str">
        <f ca="1">IFERROR(IF(OR(MonteCarlo!$B$4="C",MonteCarlo!$B$4="c"),L$1*_xlfn.NORM.S.DIST((LN(L$1/$A29)+(MonteCarlo!$B$9+(MonteCarlo!$B$7^2)/2)*MonteCarlo!$B$8)/(MonteCarlo!$B$7*SQRT(MonteCarlo!$B$8)),TRUE)-$A29*EXP(-MonteCarlo!$B$9*MonteCarlo!$B$8)*_xlfn.NORM.S.DIST(((LN(L$1/$A29)+(MonteCarlo!$B$9+(MonteCarlo!$B$7^2)/2)*MonteCarlo!$B$8)/(MonteCarlo!$B$7*SQRT(MonteCarlo!$B$8)))-(MonteCarlo!$B$7*SQRT(MonteCarlo!$B$8)),TRUE),$A29*EXP(-MonteCarlo!$B$9*MonteCarlo!$B$8)*_xlfn.NORM.S.DIST(-(((LN(L$1/$A29)+(MonteCarlo!$B$9+(MonteCarlo!$B$7^2)/2)*MonteCarlo!$B$8)/(MonteCarlo!$B$7*SQRT(MonteCarlo!$B$8)))-(MonteCarlo!$B$7*SQRT(MonteCarlo!$B$8))),TRUE)-L$1*_xlfn.NORM.S.DIST(-((LN(L$1/$A29)+(MonteCarlo!$B$9+(MonteCarlo!$B$7^2)/2)*MonteCarlo!$B$8)/(MonteCarlo!$B$7*SQRT(MonteCarlo!$B$8))),TRUE)),"")</f>
        <v/>
      </c>
      <c r="M29" t="str">
        <f ca="1">IFERROR(IF(OR(MonteCarlo!$B$4="C",MonteCarlo!$B$4="c"),M$1*_xlfn.NORM.S.DIST((LN(M$1/$A29)+(MonteCarlo!$B$9+(MonteCarlo!$B$7^2)/2)*MonteCarlo!$B$8)/(MonteCarlo!$B$7*SQRT(MonteCarlo!$B$8)),TRUE)-$A29*EXP(-MonteCarlo!$B$9*MonteCarlo!$B$8)*_xlfn.NORM.S.DIST(((LN(M$1/$A29)+(MonteCarlo!$B$9+(MonteCarlo!$B$7^2)/2)*MonteCarlo!$B$8)/(MonteCarlo!$B$7*SQRT(MonteCarlo!$B$8)))-(MonteCarlo!$B$7*SQRT(MonteCarlo!$B$8)),TRUE),$A29*EXP(-MonteCarlo!$B$9*MonteCarlo!$B$8)*_xlfn.NORM.S.DIST(-(((LN(M$1/$A29)+(MonteCarlo!$B$9+(MonteCarlo!$B$7^2)/2)*MonteCarlo!$B$8)/(MonteCarlo!$B$7*SQRT(MonteCarlo!$B$8)))-(MonteCarlo!$B$7*SQRT(MonteCarlo!$B$8))),TRUE)-M$1*_xlfn.NORM.S.DIST(-((LN(M$1/$A29)+(MonteCarlo!$B$9+(MonteCarlo!$B$7^2)/2)*MonteCarlo!$B$8)/(MonteCarlo!$B$7*SQRT(MonteCarlo!$B$8))),TRUE)),"")</f>
        <v/>
      </c>
      <c r="N29" t="str">
        <f ca="1">IFERROR(IF(OR(MonteCarlo!$B$4="C",MonteCarlo!$B$4="c"),N$1*_xlfn.NORM.S.DIST((LN(N$1/$A29)+(MonteCarlo!$B$9+(MonteCarlo!$B$7^2)/2)*MonteCarlo!$B$8)/(MonteCarlo!$B$7*SQRT(MonteCarlo!$B$8)),TRUE)-$A29*EXP(-MonteCarlo!$B$9*MonteCarlo!$B$8)*_xlfn.NORM.S.DIST(((LN(N$1/$A29)+(MonteCarlo!$B$9+(MonteCarlo!$B$7^2)/2)*MonteCarlo!$B$8)/(MonteCarlo!$B$7*SQRT(MonteCarlo!$B$8)))-(MonteCarlo!$B$7*SQRT(MonteCarlo!$B$8)),TRUE),$A29*EXP(-MonteCarlo!$B$9*MonteCarlo!$B$8)*_xlfn.NORM.S.DIST(-(((LN(N$1/$A29)+(MonteCarlo!$B$9+(MonteCarlo!$B$7^2)/2)*MonteCarlo!$B$8)/(MonteCarlo!$B$7*SQRT(MonteCarlo!$B$8)))-(MonteCarlo!$B$7*SQRT(MonteCarlo!$B$8))),TRUE)-N$1*_xlfn.NORM.S.DIST(-((LN(N$1/$A29)+(MonteCarlo!$B$9+(MonteCarlo!$B$7^2)/2)*MonteCarlo!$B$8)/(MonteCarlo!$B$7*SQRT(MonteCarlo!$B$8))),TRUE)),"")</f>
        <v/>
      </c>
      <c r="O29" t="str">
        <f ca="1">IFERROR(IF(OR(MonteCarlo!$B$4="C",MonteCarlo!$B$4="c"),O$1*_xlfn.NORM.S.DIST((LN(O$1/$A29)+(MonteCarlo!$B$9+(MonteCarlo!$B$7^2)/2)*MonteCarlo!$B$8)/(MonteCarlo!$B$7*SQRT(MonteCarlo!$B$8)),TRUE)-$A29*EXP(-MonteCarlo!$B$9*MonteCarlo!$B$8)*_xlfn.NORM.S.DIST(((LN(O$1/$A29)+(MonteCarlo!$B$9+(MonteCarlo!$B$7^2)/2)*MonteCarlo!$B$8)/(MonteCarlo!$B$7*SQRT(MonteCarlo!$B$8)))-(MonteCarlo!$B$7*SQRT(MonteCarlo!$B$8)),TRUE),$A29*EXP(-MonteCarlo!$B$9*MonteCarlo!$B$8)*_xlfn.NORM.S.DIST(-(((LN(O$1/$A29)+(MonteCarlo!$B$9+(MonteCarlo!$B$7^2)/2)*MonteCarlo!$B$8)/(MonteCarlo!$B$7*SQRT(MonteCarlo!$B$8)))-(MonteCarlo!$B$7*SQRT(MonteCarlo!$B$8))),TRUE)-O$1*_xlfn.NORM.S.DIST(-((LN(O$1/$A29)+(MonteCarlo!$B$9+(MonteCarlo!$B$7^2)/2)*MonteCarlo!$B$8)/(MonteCarlo!$B$7*SQRT(MonteCarlo!$B$8))),TRUE)),"")</f>
        <v/>
      </c>
      <c r="P29" t="str">
        <f ca="1">IFERROR(IF(OR(MonteCarlo!$B$4="C",MonteCarlo!$B$4="c"),P$1*_xlfn.NORM.S.DIST((LN(P$1/$A29)+(MonteCarlo!$B$9+(MonteCarlo!$B$7^2)/2)*MonteCarlo!$B$8)/(MonteCarlo!$B$7*SQRT(MonteCarlo!$B$8)),TRUE)-$A29*EXP(-MonteCarlo!$B$9*MonteCarlo!$B$8)*_xlfn.NORM.S.DIST(((LN(P$1/$A29)+(MonteCarlo!$B$9+(MonteCarlo!$B$7^2)/2)*MonteCarlo!$B$8)/(MonteCarlo!$B$7*SQRT(MonteCarlo!$B$8)))-(MonteCarlo!$B$7*SQRT(MonteCarlo!$B$8)),TRUE),$A29*EXP(-MonteCarlo!$B$9*MonteCarlo!$B$8)*_xlfn.NORM.S.DIST(-(((LN(P$1/$A29)+(MonteCarlo!$B$9+(MonteCarlo!$B$7^2)/2)*MonteCarlo!$B$8)/(MonteCarlo!$B$7*SQRT(MonteCarlo!$B$8)))-(MonteCarlo!$B$7*SQRT(MonteCarlo!$B$8))),TRUE)-P$1*_xlfn.NORM.S.DIST(-((LN(P$1/$A29)+(MonteCarlo!$B$9+(MonteCarlo!$B$7^2)/2)*MonteCarlo!$B$8)/(MonteCarlo!$B$7*SQRT(MonteCarlo!$B$8))),TRUE)),"")</f>
        <v/>
      </c>
      <c r="Q29" t="str">
        <f ca="1">IFERROR(IF(OR(MonteCarlo!$B$4="C",MonteCarlo!$B$4="c"),Q$1*_xlfn.NORM.S.DIST((LN(Q$1/$A29)+(MonteCarlo!$B$9+(MonteCarlo!$B$7^2)/2)*MonteCarlo!$B$8)/(MonteCarlo!$B$7*SQRT(MonteCarlo!$B$8)),TRUE)-$A29*EXP(-MonteCarlo!$B$9*MonteCarlo!$B$8)*_xlfn.NORM.S.DIST(((LN(Q$1/$A29)+(MonteCarlo!$B$9+(MonteCarlo!$B$7^2)/2)*MonteCarlo!$B$8)/(MonteCarlo!$B$7*SQRT(MonteCarlo!$B$8)))-(MonteCarlo!$B$7*SQRT(MonteCarlo!$B$8)),TRUE),$A29*EXP(-MonteCarlo!$B$9*MonteCarlo!$B$8)*_xlfn.NORM.S.DIST(-(((LN(Q$1/$A29)+(MonteCarlo!$B$9+(MonteCarlo!$B$7^2)/2)*MonteCarlo!$B$8)/(MonteCarlo!$B$7*SQRT(MonteCarlo!$B$8)))-(MonteCarlo!$B$7*SQRT(MonteCarlo!$B$8))),TRUE)-Q$1*_xlfn.NORM.S.DIST(-((LN(Q$1/$A29)+(MonteCarlo!$B$9+(MonteCarlo!$B$7^2)/2)*MonteCarlo!$B$8)/(MonteCarlo!$B$7*SQRT(MonteCarlo!$B$8))),TRUE)),"")</f>
        <v/>
      </c>
      <c r="R29" t="str">
        <f ca="1">IFERROR(IF(OR(MonteCarlo!$B$4="C",MonteCarlo!$B$4="c"),R$1*_xlfn.NORM.S.DIST((LN(R$1/$A29)+(MonteCarlo!$B$9+(MonteCarlo!$B$7^2)/2)*MonteCarlo!$B$8)/(MonteCarlo!$B$7*SQRT(MonteCarlo!$B$8)),TRUE)-$A29*EXP(-MonteCarlo!$B$9*MonteCarlo!$B$8)*_xlfn.NORM.S.DIST(((LN(R$1/$A29)+(MonteCarlo!$B$9+(MonteCarlo!$B$7^2)/2)*MonteCarlo!$B$8)/(MonteCarlo!$B$7*SQRT(MonteCarlo!$B$8)))-(MonteCarlo!$B$7*SQRT(MonteCarlo!$B$8)),TRUE),$A29*EXP(-MonteCarlo!$B$9*MonteCarlo!$B$8)*_xlfn.NORM.S.DIST(-(((LN(R$1/$A29)+(MonteCarlo!$B$9+(MonteCarlo!$B$7^2)/2)*MonteCarlo!$B$8)/(MonteCarlo!$B$7*SQRT(MonteCarlo!$B$8)))-(MonteCarlo!$B$7*SQRT(MonteCarlo!$B$8))),TRUE)-R$1*_xlfn.NORM.S.DIST(-((LN(R$1/$A29)+(MonteCarlo!$B$9+(MonteCarlo!$B$7^2)/2)*MonteCarlo!$B$8)/(MonteCarlo!$B$7*SQRT(MonteCarlo!$B$8))),TRUE)),"")</f>
        <v/>
      </c>
      <c r="S29" t="str">
        <f ca="1">IFERROR(IF(OR(MonteCarlo!$B$4="C",MonteCarlo!$B$4="c"),S$1*_xlfn.NORM.S.DIST((LN(S$1/$A29)+(MonteCarlo!$B$9+(MonteCarlo!$B$7^2)/2)*MonteCarlo!$B$8)/(MonteCarlo!$B$7*SQRT(MonteCarlo!$B$8)),TRUE)-$A29*EXP(-MonteCarlo!$B$9*MonteCarlo!$B$8)*_xlfn.NORM.S.DIST(((LN(S$1/$A29)+(MonteCarlo!$B$9+(MonteCarlo!$B$7^2)/2)*MonteCarlo!$B$8)/(MonteCarlo!$B$7*SQRT(MonteCarlo!$B$8)))-(MonteCarlo!$B$7*SQRT(MonteCarlo!$B$8)),TRUE),$A29*EXP(-MonteCarlo!$B$9*MonteCarlo!$B$8)*_xlfn.NORM.S.DIST(-(((LN(S$1/$A29)+(MonteCarlo!$B$9+(MonteCarlo!$B$7^2)/2)*MonteCarlo!$B$8)/(MonteCarlo!$B$7*SQRT(MonteCarlo!$B$8)))-(MonteCarlo!$B$7*SQRT(MonteCarlo!$B$8))),TRUE)-S$1*_xlfn.NORM.S.DIST(-((LN(S$1/$A29)+(MonteCarlo!$B$9+(MonteCarlo!$B$7^2)/2)*MonteCarlo!$B$8)/(MonteCarlo!$B$7*SQRT(MonteCarlo!$B$8))),TRUE)),"")</f>
        <v/>
      </c>
      <c r="T29" t="str">
        <f ca="1">IFERROR(IF(OR(MonteCarlo!$B$4="C",MonteCarlo!$B$4="c"),T$1*_xlfn.NORM.S.DIST((LN(T$1/$A29)+(MonteCarlo!$B$9+(MonteCarlo!$B$7^2)/2)*MonteCarlo!$B$8)/(MonteCarlo!$B$7*SQRT(MonteCarlo!$B$8)),TRUE)-$A29*EXP(-MonteCarlo!$B$9*MonteCarlo!$B$8)*_xlfn.NORM.S.DIST(((LN(T$1/$A29)+(MonteCarlo!$B$9+(MonteCarlo!$B$7^2)/2)*MonteCarlo!$B$8)/(MonteCarlo!$B$7*SQRT(MonteCarlo!$B$8)))-(MonteCarlo!$B$7*SQRT(MonteCarlo!$B$8)),TRUE),$A29*EXP(-MonteCarlo!$B$9*MonteCarlo!$B$8)*_xlfn.NORM.S.DIST(-(((LN(T$1/$A29)+(MonteCarlo!$B$9+(MonteCarlo!$B$7^2)/2)*MonteCarlo!$B$8)/(MonteCarlo!$B$7*SQRT(MonteCarlo!$B$8)))-(MonteCarlo!$B$7*SQRT(MonteCarlo!$B$8))),TRUE)-T$1*_xlfn.NORM.S.DIST(-((LN(T$1/$A29)+(MonteCarlo!$B$9+(MonteCarlo!$B$7^2)/2)*MonteCarlo!$B$8)/(MonteCarlo!$B$7*SQRT(MonteCarlo!$B$8))),TRUE)),"")</f>
        <v/>
      </c>
      <c r="U29" t="str">
        <f ca="1">IFERROR(IF(OR(MonteCarlo!$B$4="C",MonteCarlo!$B$4="c"),U$1*_xlfn.NORM.S.DIST((LN(U$1/$A29)+(MonteCarlo!$B$9+(MonteCarlo!$B$7^2)/2)*MonteCarlo!$B$8)/(MonteCarlo!$B$7*SQRT(MonteCarlo!$B$8)),TRUE)-$A29*EXP(-MonteCarlo!$B$9*MonteCarlo!$B$8)*_xlfn.NORM.S.DIST(((LN(U$1/$A29)+(MonteCarlo!$B$9+(MonteCarlo!$B$7^2)/2)*MonteCarlo!$B$8)/(MonteCarlo!$B$7*SQRT(MonteCarlo!$B$8)))-(MonteCarlo!$B$7*SQRT(MonteCarlo!$B$8)),TRUE),$A29*EXP(-MonteCarlo!$B$9*MonteCarlo!$B$8)*_xlfn.NORM.S.DIST(-(((LN(U$1/$A29)+(MonteCarlo!$B$9+(MonteCarlo!$B$7^2)/2)*MonteCarlo!$B$8)/(MonteCarlo!$B$7*SQRT(MonteCarlo!$B$8)))-(MonteCarlo!$B$7*SQRT(MonteCarlo!$B$8))),TRUE)-U$1*_xlfn.NORM.S.DIST(-((LN(U$1/$A29)+(MonteCarlo!$B$9+(MonteCarlo!$B$7^2)/2)*MonteCarlo!$B$8)/(MonteCarlo!$B$7*SQRT(MonteCarlo!$B$8))),TRUE)),"")</f>
        <v/>
      </c>
      <c r="V29" t="str">
        <f ca="1">IFERROR(IF(OR(MonteCarlo!$B$4="C",MonteCarlo!$B$4="c"),V$1*_xlfn.NORM.S.DIST((LN(V$1/$A29)+(MonteCarlo!$B$9+(MonteCarlo!$B$7^2)/2)*MonteCarlo!$B$8)/(MonteCarlo!$B$7*SQRT(MonteCarlo!$B$8)),TRUE)-$A29*EXP(-MonteCarlo!$B$9*MonteCarlo!$B$8)*_xlfn.NORM.S.DIST(((LN(V$1/$A29)+(MonteCarlo!$B$9+(MonteCarlo!$B$7^2)/2)*MonteCarlo!$B$8)/(MonteCarlo!$B$7*SQRT(MonteCarlo!$B$8)))-(MonteCarlo!$B$7*SQRT(MonteCarlo!$B$8)),TRUE),$A29*EXP(-MonteCarlo!$B$9*MonteCarlo!$B$8)*_xlfn.NORM.S.DIST(-(((LN(V$1/$A29)+(MonteCarlo!$B$9+(MonteCarlo!$B$7^2)/2)*MonteCarlo!$B$8)/(MonteCarlo!$B$7*SQRT(MonteCarlo!$B$8)))-(MonteCarlo!$B$7*SQRT(MonteCarlo!$B$8))),TRUE)-V$1*_xlfn.NORM.S.DIST(-((LN(V$1/$A29)+(MonteCarlo!$B$9+(MonteCarlo!$B$7^2)/2)*MonteCarlo!$B$8)/(MonteCarlo!$B$7*SQRT(MonteCarlo!$B$8))),TRUE)),"")</f>
        <v/>
      </c>
      <c r="W29" t="str">
        <f ca="1">IFERROR(IF(OR(MonteCarlo!$B$4="C",MonteCarlo!$B$4="c"),W$1*_xlfn.NORM.S.DIST((LN(W$1/$A29)+(MonteCarlo!$B$9+(MonteCarlo!$B$7^2)/2)*MonteCarlo!$B$8)/(MonteCarlo!$B$7*SQRT(MonteCarlo!$B$8)),TRUE)-$A29*EXP(-MonteCarlo!$B$9*MonteCarlo!$B$8)*_xlfn.NORM.S.DIST(((LN(W$1/$A29)+(MonteCarlo!$B$9+(MonteCarlo!$B$7^2)/2)*MonteCarlo!$B$8)/(MonteCarlo!$B$7*SQRT(MonteCarlo!$B$8)))-(MonteCarlo!$B$7*SQRT(MonteCarlo!$B$8)),TRUE),$A29*EXP(-MonteCarlo!$B$9*MonteCarlo!$B$8)*_xlfn.NORM.S.DIST(-(((LN(W$1/$A29)+(MonteCarlo!$B$9+(MonteCarlo!$B$7^2)/2)*MonteCarlo!$B$8)/(MonteCarlo!$B$7*SQRT(MonteCarlo!$B$8)))-(MonteCarlo!$B$7*SQRT(MonteCarlo!$B$8))),TRUE)-W$1*_xlfn.NORM.S.DIST(-((LN(W$1/$A29)+(MonteCarlo!$B$9+(MonteCarlo!$B$7^2)/2)*MonteCarlo!$B$8)/(MonteCarlo!$B$7*SQRT(MonteCarlo!$B$8))),TRUE)),"")</f>
        <v/>
      </c>
      <c r="X29" t="str">
        <f ca="1">IFERROR(IF(OR(MonteCarlo!$B$4="C",MonteCarlo!$B$4="c"),X$1*_xlfn.NORM.S.DIST((LN(X$1/$A29)+(MonteCarlo!$B$9+(MonteCarlo!$B$7^2)/2)*MonteCarlo!$B$8)/(MonteCarlo!$B$7*SQRT(MonteCarlo!$B$8)),TRUE)-$A29*EXP(-MonteCarlo!$B$9*MonteCarlo!$B$8)*_xlfn.NORM.S.DIST(((LN(X$1/$A29)+(MonteCarlo!$B$9+(MonteCarlo!$B$7^2)/2)*MonteCarlo!$B$8)/(MonteCarlo!$B$7*SQRT(MonteCarlo!$B$8)))-(MonteCarlo!$B$7*SQRT(MonteCarlo!$B$8)),TRUE),$A29*EXP(-MonteCarlo!$B$9*MonteCarlo!$B$8)*_xlfn.NORM.S.DIST(-(((LN(X$1/$A29)+(MonteCarlo!$B$9+(MonteCarlo!$B$7^2)/2)*MonteCarlo!$B$8)/(MonteCarlo!$B$7*SQRT(MonteCarlo!$B$8)))-(MonteCarlo!$B$7*SQRT(MonteCarlo!$B$8))),TRUE)-X$1*_xlfn.NORM.S.DIST(-((LN(X$1/$A29)+(MonteCarlo!$B$9+(MonteCarlo!$B$7^2)/2)*MonteCarlo!$B$8)/(MonteCarlo!$B$7*SQRT(MonteCarlo!$B$8))),TRUE)),"")</f>
        <v/>
      </c>
      <c r="Y29" t="str">
        <f ca="1">IFERROR(IF(OR(MonteCarlo!$B$4="C",MonteCarlo!$B$4="c"),Y$1*_xlfn.NORM.S.DIST((LN(Y$1/$A29)+(MonteCarlo!$B$9+(MonteCarlo!$B$7^2)/2)*MonteCarlo!$B$8)/(MonteCarlo!$B$7*SQRT(MonteCarlo!$B$8)),TRUE)-$A29*EXP(-MonteCarlo!$B$9*MonteCarlo!$B$8)*_xlfn.NORM.S.DIST(((LN(Y$1/$A29)+(MonteCarlo!$B$9+(MonteCarlo!$B$7^2)/2)*MonteCarlo!$B$8)/(MonteCarlo!$B$7*SQRT(MonteCarlo!$B$8)))-(MonteCarlo!$B$7*SQRT(MonteCarlo!$B$8)),TRUE),$A29*EXP(-MonteCarlo!$B$9*MonteCarlo!$B$8)*_xlfn.NORM.S.DIST(-(((LN(Y$1/$A29)+(MonteCarlo!$B$9+(MonteCarlo!$B$7^2)/2)*MonteCarlo!$B$8)/(MonteCarlo!$B$7*SQRT(MonteCarlo!$B$8)))-(MonteCarlo!$B$7*SQRT(MonteCarlo!$B$8))),TRUE)-Y$1*_xlfn.NORM.S.DIST(-((LN(Y$1/$A29)+(MonteCarlo!$B$9+(MonteCarlo!$B$7^2)/2)*MonteCarlo!$B$8)/(MonteCarlo!$B$7*SQRT(MonteCarlo!$B$8))),TRUE)),"")</f>
        <v/>
      </c>
      <c r="Z29" t="str">
        <f ca="1">IFERROR(IF(OR(MonteCarlo!$B$4="C",MonteCarlo!$B$4="c"),Z$1*_xlfn.NORM.S.DIST((LN(Z$1/$A29)+(MonteCarlo!$B$9+(MonteCarlo!$B$7^2)/2)*MonteCarlo!$B$8)/(MonteCarlo!$B$7*SQRT(MonteCarlo!$B$8)),TRUE)-$A29*EXP(-MonteCarlo!$B$9*MonteCarlo!$B$8)*_xlfn.NORM.S.DIST(((LN(Z$1/$A29)+(MonteCarlo!$B$9+(MonteCarlo!$B$7^2)/2)*MonteCarlo!$B$8)/(MonteCarlo!$B$7*SQRT(MonteCarlo!$B$8)))-(MonteCarlo!$B$7*SQRT(MonteCarlo!$B$8)),TRUE),$A29*EXP(-MonteCarlo!$B$9*MonteCarlo!$B$8)*_xlfn.NORM.S.DIST(-(((LN(Z$1/$A29)+(MonteCarlo!$B$9+(MonteCarlo!$B$7^2)/2)*MonteCarlo!$B$8)/(MonteCarlo!$B$7*SQRT(MonteCarlo!$B$8)))-(MonteCarlo!$B$7*SQRT(MonteCarlo!$B$8))),TRUE)-Z$1*_xlfn.NORM.S.DIST(-((LN(Z$1/$A29)+(MonteCarlo!$B$9+(MonteCarlo!$B$7^2)/2)*MonteCarlo!$B$8)/(MonteCarlo!$B$7*SQRT(MonteCarlo!$B$8))),TRUE)),"")</f>
        <v/>
      </c>
      <c r="AA29" t="str">
        <f ca="1">IFERROR(IF(OR(MonteCarlo!$B$4="C",MonteCarlo!$B$4="c"),AA$1*_xlfn.NORM.S.DIST((LN(AA$1/$A29)+(MonteCarlo!$B$9+(MonteCarlo!$B$7^2)/2)*MonteCarlo!$B$8)/(MonteCarlo!$B$7*SQRT(MonteCarlo!$B$8)),TRUE)-$A29*EXP(-MonteCarlo!$B$9*MonteCarlo!$B$8)*_xlfn.NORM.S.DIST(((LN(AA$1/$A29)+(MonteCarlo!$B$9+(MonteCarlo!$B$7^2)/2)*MonteCarlo!$B$8)/(MonteCarlo!$B$7*SQRT(MonteCarlo!$B$8)))-(MonteCarlo!$B$7*SQRT(MonteCarlo!$B$8)),TRUE),$A29*EXP(-MonteCarlo!$B$9*MonteCarlo!$B$8)*_xlfn.NORM.S.DIST(-(((LN(AA$1/$A29)+(MonteCarlo!$B$9+(MonteCarlo!$B$7^2)/2)*MonteCarlo!$B$8)/(MonteCarlo!$B$7*SQRT(MonteCarlo!$B$8)))-(MonteCarlo!$B$7*SQRT(MonteCarlo!$B$8))),TRUE)-AA$1*_xlfn.NORM.S.DIST(-((LN(AA$1/$A29)+(MonteCarlo!$B$9+(MonteCarlo!$B$7^2)/2)*MonteCarlo!$B$8)/(MonteCarlo!$B$7*SQRT(MonteCarlo!$B$8))),TRUE)),"")</f>
        <v/>
      </c>
      <c r="AB29" t="str">
        <f ca="1">IFERROR(IF(OR(MonteCarlo!$B$4="C",MonteCarlo!$B$4="c"),AB$1*_xlfn.NORM.S.DIST((LN(AB$1/$A29)+(MonteCarlo!$B$9+(MonteCarlo!$B$7^2)/2)*MonteCarlo!$B$8)/(MonteCarlo!$B$7*SQRT(MonteCarlo!$B$8)),TRUE)-$A29*EXP(-MonteCarlo!$B$9*MonteCarlo!$B$8)*_xlfn.NORM.S.DIST(((LN(AB$1/$A29)+(MonteCarlo!$B$9+(MonteCarlo!$B$7^2)/2)*MonteCarlo!$B$8)/(MonteCarlo!$B$7*SQRT(MonteCarlo!$B$8)))-(MonteCarlo!$B$7*SQRT(MonteCarlo!$B$8)),TRUE),$A29*EXP(-MonteCarlo!$B$9*MonteCarlo!$B$8)*_xlfn.NORM.S.DIST(-(((LN(AB$1/$A29)+(MonteCarlo!$B$9+(MonteCarlo!$B$7^2)/2)*MonteCarlo!$B$8)/(MonteCarlo!$B$7*SQRT(MonteCarlo!$B$8)))-(MonteCarlo!$B$7*SQRT(MonteCarlo!$B$8))),TRUE)-AB$1*_xlfn.NORM.S.DIST(-((LN(AB$1/$A29)+(MonteCarlo!$B$9+(MonteCarlo!$B$7^2)/2)*MonteCarlo!$B$8)/(MonteCarlo!$B$7*SQRT(MonteCarlo!$B$8))),TRUE)),"")</f>
        <v/>
      </c>
      <c r="AC29" t="str">
        <f ca="1">IFERROR(IF(OR(MonteCarlo!$B$4="C",MonteCarlo!$B$4="c"),AC$1*_xlfn.NORM.S.DIST((LN(AC$1/$A29)+(MonteCarlo!$B$9+(MonteCarlo!$B$7^2)/2)*MonteCarlo!$B$8)/(MonteCarlo!$B$7*SQRT(MonteCarlo!$B$8)),TRUE)-$A29*EXP(-MonteCarlo!$B$9*MonteCarlo!$B$8)*_xlfn.NORM.S.DIST(((LN(AC$1/$A29)+(MonteCarlo!$B$9+(MonteCarlo!$B$7^2)/2)*MonteCarlo!$B$8)/(MonteCarlo!$B$7*SQRT(MonteCarlo!$B$8)))-(MonteCarlo!$B$7*SQRT(MonteCarlo!$B$8)),TRUE),$A29*EXP(-MonteCarlo!$B$9*MonteCarlo!$B$8)*_xlfn.NORM.S.DIST(-(((LN(AC$1/$A29)+(MonteCarlo!$B$9+(MonteCarlo!$B$7^2)/2)*MonteCarlo!$B$8)/(MonteCarlo!$B$7*SQRT(MonteCarlo!$B$8)))-(MonteCarlo!$B$7*SQRT(MonteCarlo!$B$8))),TRUE)-AC$1*_xlfn.NORM.S.DIST(-((LN(AC$1/$A29)+(MonteCarlo!$B$9+(MonteCarlo!$B$7^2)/2)*MonteCarlo!$B$8)/(MonteCarlo!$B$7*SQRT(MonteCarlo!$B$8))),TRUE)),"")</f>
        <v/>
      </c>
      <c r="AD29" t="str">
        <f ca="1">IFERROR(IF(OR(MonteCarlo!$B$4="C",MonteCarlo!$B$4="c"),AD$1*_xlfn.NORM.S.DIST((LN(AD$1/$A29)+(MonteCarlo!$B$9+(MonteCarlo!$B$7^2)/2)*MonteCarlo!$B$8)/(MonteCarlo!$B$7*SQRT(MonteCarlo!$B$8)),TRUE)-$A29*EXP(-MonteCarlo!$B$9*MonteCarlo!$B$8)*_xlfn.NORM.S.DIST(((LN(AD$1/$A29)+(MonteCarlo!$B$9+(MonteCarlo!$B$7^2)/2)*MonteCarlo!$B$8)/(MonteCarlo!$B$7*SQRT(MonteCarlo!$B$8)))-(MonteCarlo!$B$7*SQRT(MonteCarlo!$B$8)),TRUE),$A29*EXP(-MonteCarlo!$B$9*MonteCarlo!$B$8)*_xlfn.NORM.S.DIST(-(((LN(AD$1/$A29)+(MonteCarlo!$B$9+(MonteCarlo!$B$7^2)/2)*MonteCarlo!$B$8)/(MonteCarlo!$B$7*SQRT(MonteCarlo!$B$8)))-(MonteCarlo!$B$7*SQRT(MonteCarlo!$B$8))),TRUE)-AD$1*_xlfn.NORM.S.DIST(-((LN(AD$1/$A29)+(MonteCarlo!$B$9+(MonteCarlo!$B$7^2)/2)*MonteCarlo!$B$8)/(MonteCarlo!$B$7*SQRT(MonteCarlo!$B$8))),TRUE)),"")</f>
        <v/>
      </c>
      <c r="AE29" t="str">
        <f ca="1">IFERROR(IF(OR(MonteCarlo!$B$4="C",MonteCarlo!$B$4="c"),AE$1*_xlfn.NORM.S.DIST((LN(AE$1/$A29)+(MonteCarlo!$B$9+(MonteCarlo!$B$7^2)/2)*MonteCarlo!$B$8)/(MonteCarlo!$B$7*SQRT(MonteCarlo!$B$8)),TRUE)-$A29*EXP(-MonteCarlo!$B$9*MonteCarlo!$B$8)*_xlfn.NORM.S.DIST(((LN(AE$1/$A29)+(MonteCarlo!$B$9+(MonteCarlo!$B$7^2)/2)*MonteCarlo!$B$8)/(MonteCarlo!$B$7*SQRT(MonteCarlo!$B$8)))-(MonteCarlo!$B$7*SQRT(MonteCarlo!$B$8)),TRUE),$A29*EXP(-MonteCarlo!$B$9*MonteCarlo!$B$8)*_xlfn.NORM.S.DIST(-(((LN(AE$1/$A29)+(MonteCarlo!$B$9+(MonteCarlo!$B$7^2)/2)*MonteCarlo!$B$8)/(MonteCarlo!$B$7*SQRT(MonteCarlo!$B$8)))-(MonteCarlo!$B$7*SQRT(MonteCarlo!$B$8))),TRUE)-AE$1*_xlfn.NORM.S.DIST(-((LN(AE$1/$A29)+(MonteCarlo!$B$9+(MonteCarlo!$B$7^2)/2)*MonteCarlo!$B$8)/(MonteCarlo!$B$7*SQRT(MonteCarlo!$B$8))),TRUE)),"")</f>
        <v/>
      </c>
      <c r="AF29" t="str">
        <f ca="1">IFERROR(IF(OR(MonteCarlo!$B$4="C",MonteCarlo!$B$4="c"),AF$1*_xlfn.NORM.S.DIST((LN(AF$1/$A29)+(MonteCarlo!$B$9+(MonteCarlo!$B$7^2)/2)*MonteCarlo!$B$8)/(MonteCarlo!$B$7*SQRT(MonteCarlo!$B$8)),TRUE)-$A29*EXP(-MonteCarlo!$B$9*MonteCarlo!$B$8)*_xlfn.NORM.S.DIST(((LN(AF$1/$A29)+(MonteCarlo!$B$9+(MonteCarlo!$B$7^2)/2)*MonteCarlo!$B$8)/(MonteCarlo!$B$7*SQRT(MonteCarlo!$B$8)))-(MonteCarlo!$B$7*SQRT(MonteCarlo!$B$8)),TRUE),$A29*EXP(-MonteCarlo!$B$9*MonteCarlo!$B$8)*_xlfn.NORM.S.DIST(-(((LN(AF$1/$A29)+(MonteCarlo!$B$9+(MonteCarlo!$B$7^2)/2)*MonteCarlo!$B$8)/(MonteCarlo!$B$7*SQRT(MonteCarlo!$B$8)))-(MonteCarlo!$B$7*SQRT(MonteCarlo!$B$8))),TRUE)-AF$1*_xlfn.NORM.S.DIST(-((LN(AF$1/$A29)+(MonteCarlo!$B$9+(MonteCarlo!$B$7^2)/2)*MonteCarlo!$B$8)/(MonteCarlo!$B$7*SQRT(MonteCarlo!$B$8))),TRUE)),"")</f>
        <v/>
      </c>
    </row>
    <row r="30" spans="2:32" x14ac:dyDescent="0.25">
      <c r="B30" t="str">
        <f ca="1">IFERROR(IF(OR(MonteCarlo!$B$4="C",MonteCarlo!$B$4="c"),B$1*_xlfn.NORM.S.DIST((LN(B$1/$A30)+(MonteCarlo!$B$9+(MonteCarlo!$B$7^2)/2)*MonteCarlo!$B$8)/(MonteCarlo!$B$7*SQRT(MonteCarlo!$B$8)),TRUE)-$A30*EXP(-MonteCarlo!$B$9*MonteCarlo!$B$8)*_xlfn.NORM.S.DIST(((LN(B$1/$A30)+(MonteCarlo!$B$9+(MonteCarlo!$B$7^2)/2)*MonteCarlo!$B$8)/(MonteCarlo!$B$7*SQRT(MonteCarlo!$B$8)))-(MonteCarlo!$B$7*SQRT(MonteCarlo!$B$8)),TRUE),$A30*EXP(-MonteCarlo!$B$9*MonteCarlo!$B$8)*_xlfn.NORM.S.DIST(-(((LN(B$1/$A30)+(MonteCarlo!$B$9+(MonteCarlo!$B$7^2)/2)*MonteCarlo!$B$8)/(MonteCarlo!$B$7*SQRT(MonteCarlo!$B$8)))-(MonteCarlo!$B$7*SQRT(MonteCarlo!$B$8))),TRUE)-B$1*_xlfn.NORM.S.DIST(-((LN(B$1/$A30)+(MonteCarlo!$B$9+(MonteCarlo!$B$7^2)/2)*MonteCarlo!$B$8)/(MonteCarlo!$B$7*SQRT(MonteCarlo!$B$8))),TRUE)),"")</f>
        <v/>
      </c>
      <c r="C30" t="str">
        <f ca="1">IFERROR(IF(OR(MonteCarlo!$B$4="C",MonteCarlo!$B$4="c"),C$1*_xlfn.NORM.S.DIST((LN(C$1/$A30)+(MonteCarlo!$B$9+(MonteCarlo!$B$7^2)/2)*MonteCarlo!$B$8)/(MonteCarlo!$B$7*SQRT(MonteCarlo!$B$8)),TRUE)-$A30*EXP(-MonteCarlo!$B$9*MonteCarlo!$B$8)*_xlfn.NORM.S.DIST(((LN(C$1/$A30)+(MonteCarlo!$B$9+(MonteCarlo!$B$7^2)/2)*MonteCarlo!$B$8)/(MonteCarlo!$B$7*SQRT(MonteCarlo!$B$8)))-(MonteCarlo!$B$7*SQRT(MonteCarlo!$B$8)),TRUE),$A30*EXP(-MonteCarlo!$B$9*MonteCarlo!$B$8)*_xlfn.NORM.S.DIST(-(((LN(C$1/$A30)+(MonteCarlo!$B$9+(MonteCarlo!$B$7^2)/2)*MonteCarlo!$B$8)/(MonteCarlo!$B$7*SQRT(MonteCarlo!$B$8)))-(MonteCarlo!$B$7*SQRT(MonteCarlo!$B$8))),TRUE)-C$1*_xlfn.NORM.S.DIST(-((LN(C$1/$A30)+(MonteCarlo!$B$9+(MonteCarlo!$B$7^2)/2)*MonteCarlo!$B$8)/(MonteCarlo!$B$7*SQRT(MonteCarlo!$B$8))),TRUE)),"")</f>
        <v/>
      </c>
      <c r="D30" t="str">
        <f ca="1">IFERROR(IF(OR(MonteCarlo!$B$4="C",MonteCarlo!$B$4="c"),D$1*_xlfn.NORM.S.DIST((LN(D$1/$A30)+(MonteCarlo!$B$9+(MonteCarlo!$B$7^2)/2)*MonteCarlo!$B$8)/(MonteCarlo!$B$7*SQRT(MonteCarlo!$B$8)),TRUE)-$A30*EXP(-MonteCarlo!$B$9*MonteCarlo!$B$8)*_xlfn.NORM.S.DIST(((LN(D$1/$A30)+(MonteCarlo!$B$9+(MonteCarlo!$B$7^2)/2)*MonteCarlo!$B$8)/(MonteCarlo!$B$7*SQRT(MonteCarlo!$B$8)))-(MonteCarlo!$B$7*SQRT(MonteCarlo!$B$8)),TRUE),$A30*EXP(-MonteCarlo!$B$9*MonteCarlo!$B$8)*_xlfn.NORM.S.DIST(-(((LN(D$1/$A30)+(MonteCarlo!$B$9+(MonteCarlo!$B$7^2)/2)*MonteCarlo!$B$8)/(MonteCarlo!$B$7*SQRT(MonteCarlo!$B$8)))-(MonteCarlo!$B$7*SQRT(MonteCarlo!$B$8))),TRUE)-D$1*_xlfn.NORM.S.DIST(-((LN(D$1/$A30)+(MonteCarlo!$B$9+(MonteCarlo!$B$7^2)/2)*MonteCarlo!$B$8)/(MonteCarlo!$B$7*SQRT(MonteCarlo!$B$8))),TRUE)),"")</f>
        <v/>
      </c>
      <c r="E30" t="str">
        <f ca="1">IFERROR(IF(OR(MonteCarlo!$B$4="C",MonteCarlo!$B$4="c"),E$1*_xlfn.NORM.S.DIST((LN(E$1/$A30)+(MonteCarlo!$B$9+(MonteCarlo!$B$7^2)/2)*MonteCarlo!$B$8)/(MonteCarlo!$B$7*SQRT(MonteCarlo!$B$8)),TRUE)-$A30*EXP(-MonteCarlo!$B$9*MonteCarlo!$B$8)*_xlfn.NORM.S.DIST(((LN(E$1/$A30)+(MonteCarlo!$B$9+(MonteCarlo!$B$7^2)/2)*MonteCarlo!$B$8)/(MonteCarlo!$B$7*SQRT(MonteCarlo!$B$8)))-(MonteCarlo!$B$7*SQRT(MonteCarlo!$B$8)),TRUE),$A30*EXP(-MonteCarlo!$B$9*MonteCarlo!$B$8)*_xlfn.NORM.S.DIST(-(((LN(E$1/$A30)+(MonteCarlo!$B$9+(MonteCarlo!$B$7^2)/2)*MonteCarlo!$B$8)/(MonteCarlo!$B$7*SQRT(MonteCarlo!$B$8)))-(MonteCarlo!$B$7*SQRT(MonteCarlo!$B$8))),TRUE)-E$1*_xlfn.NORM.S.DIST(-((LN(E$1/$A30)+(MonteCarlo!$B$9+(MonteCarlo!$B$7^2)/2)*MonteCarlo!$B$8)/(MonteCarlo!$B$7*SQRT(MonteCarlo!$B$8))),TRUE)),"")</f>
        <v/>
      </c>
      <c r="F30" t="str">
        <f ca="1">IFERROR(IF(OR(MonteCarlo!$B$4="C",MonteCarlo!$B$4="c"),F$1*_xlfn.NORM.S.DIST((LN(F$1/$A30)+(MonteCarlo!$B$9+(MonteCarlo!$B$7^2)/2)*MonteCarlo!$B$8)/(MonteCarlo!$B$7*SQRT(MonteCarlo!$B$8)),TRUE)-$A30*EXP(-MonteCarlo!$B$9*MonteCarlo!$B$8)*_xlfn.NORM.S.DIST(((LN(F$1/$A30)+(MonteCarlo!$B$9+(MonteCarlo!$B$7^2)/2)*MonteCarlo!$B$8)/(MonteCarlo!$B$7*SQRT(MonteCarlo!$B$8)))-(MonteCarlo!$B$7*SQRT(MonteCarlo!$B$8)),TRUE),$A30*EXP(-MonteCarlo!$B$9*MonteCarlo!$B$8)*_xlfn.NORM.S.DIST(-(((LN(F$1/$A30)+(MonteCarlo!$B$9+(MonteCarlo!$B$7^2)/2)*MonteCarlo!$B$8)/(MonteCarlo!$B$7*SQRT(MonteCarlo!$B$8)))-(MonteCarlo!$B$7*SQRT(MonteCarlo!$B$8))),TRUE)-F$1*_xlfn.NORM.S.DIST(-((LN(F$1/$A30)+(MonteCarlo!$B$9+(MonteCarlo!$B$7^2)/2)*MonteCarlo!$B$8)/(MonteCarlo!$B$7*SQRT(MonteCarlo!$B$8))),TRUE)),"")</f>
        <v/>
      </c>
      <c r="G30" t="str">
        <f ca="1">IFERROR(IF(OR(MonteCarlo!$B$4="C",MonteCarlo!$B$4="c"),G$1*_xlfn.NORM.S.DIST((LN(G$1/$A30)+(MonteCarlo!$B$9+(MonteCarlo!$B$7^2)/2)*MonteCarlo!$B$8)/(MonteCarlo!$B$7*SQRT(MonteCarlo!$B$8)),TRUE)-$A30*EXP(-MonteCarlo!$B$9*MonteCarlo!$B$8)*_xlfn.NORM.S.DIST(((LN(G$1/$A30)+(MonteCarlo!$B$9+(MonteCarlo!$B$7^2)/2)*MonteCarlo!$B$8)/(MonteCarlo!$B$7*SQRT(MonteCarlo!$B$8)))-(MonteCarlo!$B$7*SQRT(MonteCarlo!$B$8)),TRUE),$A30*EXP(-MonteCarlo!$B$9*MonteCarlo!$B$8)*_xlfn.NORM.S.DIST(-(((LN(G$1/$A30)+(MonteCarlo!$B$9+(MonteCarlo!$B$7^2)/2)*MonteCarlo!$B$8)/(MonteCarlo!$B$7*SQRT(MonteCarlo!$B$8)))-(MonteCarlo!$B$7*SQRT(MonteCarlo!$B$8))),TRUE)-G$1*_xlfn.NORM.S.DIST(-((LN(G$1/$A30)+(MonteCarlo!$B$9+(MonteCarlo!$B$7^2)/2)*MonteCarlo!$B$8)/(MonteCarlo!$B$7*SQRT(MonteCarlo!$B$8))),TRUE)),"")</f>
        <v/>
      </c>
      <c r="H30" t="str">
        <f ca="1">IFERROR(IF(OR(MonteCarlo!$B$4="C",MonteCarlo!$B$4="c"),H$1*_xlfn.NORM.S.DIST((LN(H$1/$A30)+(MonteCarlo!$B$9+(MonteCarlo!$B$7^2)/2)*MonteCarlo!$B$8)/(MonteCarlo!$B$7*SQRT(MonteCarlo!$B$8)),TRUE)-$A30*EXP(-MonteCarlo!$B$9*MonteCarlo!$B$8)*_xlfn.NORM.S.DIST(((LN(H$1/$A30)+(MonteCarlo!$B$9+(MonteCarlo!$B$7^2)/2)*MonteCarlo!$B$8)/(MonteCarlo!$B$7*SQRT(MonteCarlo!$B$8)))-(MonteCarlo!$B$7*SQRT(MonteCarlo!$B$8)),TRUE),$A30*EXP(-MonteCarlo!$B$9*MonteCarlo!$B$8)*_xlfn.NORM.S.DIST(-(((LN(H$1/$A30)+(MonteCarlo!$B$9+(MonteCarlo!$B$7^2)/2)*MonteCarlo!$B$8)/(MonteCarlo!$B$7*SQRT(MonteCarlo!$B$8)))-(MonteCarlo!$B$7*SQRT(MonteCarlo!$B$8))),TRUE)-H$1*_xlfn.NORM.S.DIST(-((LN(H$1/$A30)+(MonteCarlo!$B$9+(MonteCarlo!$B$7^2)/2)*MonteCarlo!$B$8)/(MonteCarlo!$B$7*SQRT(MonteCarlo!$B$8))),TRUE)),"")</f>
        <v/>
      </c>
      <c r="I30" t="str">
        <f ca="1">IFERROR(IF(OR(MonteCarlo!$B$4="C",MonteCarlo!$B$4="c"),I$1*_xlfn.NORM.S.DIST((LN(I$1/$A30)+(MonteCarlo!$B$9+(MonteCarlo!$B$7^2)/2)*MonteCarlo!$B$8)/(MonteCarlo!$B$7*SQRT(MonteCarlo!$B$8)),TRUE)-$A30*EXP(-MonteCarlo!$B$9*MonteCarlo!$B$8)*_xlfn.NORM.S.DIST(((LN(I$1/$A30)+(MonteCarlo!$B$9+(MonteCarlo!$B$7^2)/2)*MonteCarlo!$B$8)/(MonteCarlo!$B$7*SQRT(MonteCarlo!$B$8)))-(MonteCarlo!$B$7*SQRT(MonteCarlo!$B$8)),TRUE),$A30*EXP(-MonteCarlo!$B$9*MonteCarlo!$B$8)*_xlfn.NORM.S.DIST(-(((LN(I$1/$A30)+(MonteCarlo!$B$9+(MonteCarlo!$B$7^2)/2)*MonteCarlo!$B$8)/(MonteCarlo!$B$7*SQRT(MonteCarlo!$B$8)))-(MonteCarlo!$B$7*SQRT(MonteCarlo!$B$8))),TRUE)-I$1*_xlfn.NORM.S.DIST(-((LN(I$1/$A30)+(MonteCarlo!$B$9+(MonteCarlo!$B$7^2)/2)*MonteCarlo!$B$8)/(MonteCarlo!$B$7*SQRT(MonteCarlo!$B$8))),TRUE)),"")</f>
        <v/>
      </c>
      <c r="J30" t="str">
        <f ca="1">IFERROR(IF(OR(MonteCarlo!$B$4="C",MonteCarlo!$B$4="c"),J$1*_xlfn.NORM.S.DIST((LN(J$1/$A30)+(MonteCarlo!$B$9+(MonteCarlo!$B$7^2)/2)*MonteCarlo!$B$8)/(MonteCarlo!$B$7*SQRT(MonteCarlo!$B$8)),TRUE)-$A30*EXP(-MonteCarlo!$B$9*MonteCarlo!$B$8)*_xlfn.NORM.S.DIST(((LN(J$1/$A30)+(MonteCarlo!$B$9+(MonteCarlo!$B$7^2)/2)*MonteCarlo!$B$8)/(MonteCarlo!$B$7*SQRT(MonteCarlo!$B$8)))-(MonteCarlo!$B$7*SQRT(MonteCarlo!$B$8)),TRUE),$A30*EXP(-MonteCarlo!$B$9*MonteCarlo!$B$8)*_xlfn.NORM.S.DIST(-(((LN(J$1/$A30)+(MonteCarlo!$B$9+(MonteCarlo!$B$7^2)/2)*MonteCarlo!$B$8)/(MonteCarlo!$B$7*SQRT(MonteCarlo!$B$8)))-(MonteCarlo!$B$7*SQRT(MonteCarlo!$B$8))),TRUE)-J$1*_xlfn.NORM.S.DIST(-((LN(J$1/$A30)+(MonteCarlo!$B$9+(MonteCarlo!$B$7^2)/2)*MonteCarlo!$B$8)/(MonteCarlo!$B$7*SQRT(MonteCarlo!$B$8))),TRUE)),"")</f>
        <v/>
      </c>
      <c r="K30" t="str">
        <f ca="1">IFERROR(IF(OR(MonteCarlo!$B$4="C",MonteCarlo!$B$4="c"),K$1*_xlfn.NORM.S.DIST((LN(K$1/$A30)+(MonteCarlo!$B$9+(MonteCarlo!$B$7^2)/2)*MonteCarlo!$B$8)/(MonteCarlo!$B$7*SQRT(MonteCarlo!$B$8)),TRUE)-$A30*EXP(-MonteCarlo!$B$9*MonteCarlo!$B$8)*_xlfn.NORM.S.DIST(((LN(K$1/$A30)+(MonteCarlo!$B$9+(MonteCarlo!$B$7^2)/2)*MonteCarlo!$B$8)/(MonteCarlo!$B$7*SQRT(MonteCarlo!$B$8)))-(MonteCarlo!$B$7*SQRT(MonteCarlo!$B$8)),TRUE),$A30*EXP(-MonteCarlo!$B$9*MonteCarlo!$B$8)*_xlfn.NORM.S.DIST(-(((LN(K$1/$A30)+(MonteCarlo!$B$9+(MonteCarlo!$B$7^2)/2)*MonteCarlo!$B$8)/(MonteCarlo!$B$7*SQRT(MonteCarlo!$B$8)))-(MonteCarlo!$B$7*SQRT(MonteCarlo!$B$8))),TRUE)-K$1*_xlfn.NORM.S.DIST(-((LN(K$1/$A30)+(MonteCarlo!$B$9+(MonteCarlo!$B$7^2)/2)*MonteCarlo!$B$8)/(MonteCarlo!$B$7*SQRT(MonteCarlo!$B$8))),TRUE)),"")</f>
        <v/>
      </c>
      <c r="L30" t="str">
        <f ca="1">IFERROR(IF(OR(MonteCarlo!$B$4="C",MonteCarlo!$B$4="c"),L$1*_xlfn.NORM.S.DIST((LN(L$1/$A30)+(MonteCarlo!$B$9+(MonteCarlo!$B$7^2)/2)*MonteCarlo!$B$8)/(MonteCarlo!$B$7*SQRT(MonteCarlo!$B$8)),TRUE)-$A30*EXP(-MonteCarlo!$B$9*MonteCarlo!$B$8)*_xlfn.NORM.S.DIST(((LN(L$1/$A30)+(MonteCarlo!$B$9+(MonteCarlo!$B$7^2)/2)*MonteCarlo!$B$8)/(MonteCarlo!$B$7*SQRT(MonteCarlo!$B$8)))-(MonteCarlo!$B$7*SQRT(MonteCarlo!$B$8)),TRUE),$A30*EXP(-MonteCarlo!$B$9*MonteCarlo!$B$8)*_xlfn.NORM.S.DIST(-(((LN(L$1/$A30)+(MonteCarlo!$B$9+(MonteCarlo!$B$7^2)/2)*MonteCarlo!$B$8)/(MonteCarlo!$B$7*SQRT(MonteCarlo!$B$8)))-(MonteCarlo!$B$7*SQRT(MonteCarlo!$B$8))),TRUE)-L$1*_xlfn.NORM.S.DIST(-((LN(L$1/$A30)+(MonteCarlo!$B$9+(MonteCarlo!$B$7^2)/2)*MonteCarlo!$B$8)/(MonteCarlo!$B$7*SQRT(MonteCarlo!$B$8))),TRUE)),"")</f>
        <v/>
      </c>
      <c r="M30" t="str">
        <f ca="1">IFERROR(IF(OR(MonteCarlo!$B$4="C",MonteCarlo!$B$4="c"),M$1*_xlfn.NORM.S.DIST((LN(M$1/$A30)+(MonteCarlo!$B$9+(MonteCarlo!$B$7^2)/2)*MonteCarlo!$B$8)/(MonteCarlo!$B$7*SQRT(MonteCarlo!$B$8)),TRUE)-$A30*EXP(-MonteCarlo!$B$9*MonteCarlo!$B$8)*_xlfn.NORM.S.DIST(((LN(M$1/$A30)+(MonteCarlo!$B$9+(MonteCarlo!$B$7^2)/2)*MonteCarlo!$B$8)/(MonteCarlo!$B$7*SQRT(MonteCarlo!$B$8)))-(MonteCarlo!$B$7*SQRT(MonteCarlo!$B$8)),TRUE),$A30*EXP(-MonteCarlo!$B$9*MonteCarlo!$B$8)*_xlfn.NORM.S.DIST(-(((LN(M$1/$A30)+(MonteCarlo!$B$9+(MonteCarlo!$B$7^2)/2)*MonteCarlo!$B$8)/(MonteCarlo!$B$7*SQRT(MonteCarlo!$B$8)))-(MonteCarlo!$B$7*SQRT(MonteCarlo!$B$8))),TRUE)-M$1*_xlfn.NORM.S.DIST(-((LN(M$1/$A30)+(MonteCarlo!$B$9+(MonteCarlo!$B$7^2)/2)*MonteCarlo!$B$8)/(MonteCarlo!$B$7*SQRT(MonteCarlo!$B$8))),TRUE)),"")</f>
        <v/>
      </c>
      <c r="N30" t="str">
        <f ca="1">IFERROR(IF(OR(MonteCarlo!$B$4="C",MonteCarlo!$B$4="c"),N$1*_xlfn.NORM.S.DIST((LN(N$1/$A30)+(MonteCarlo!$B$9+(MonteCarlo!$B$7^2)/2)*MonteCarlo!$B$8)/(MonteCarlo!$B$7*SQRT(MonteCarlo!$B$8)),TRUE)-$A30*EXP(-MonteCarlo!$B$9*MonteCarlo!$B$8)*_xlfn.NORM.S.DIST(((LN(N$1/$A30)+(MonteCarlo!$B$9+(MonteCarlo!$B$7^2)/2)*MonteCarlo!$B$8)/(MonteCarlo!$B$7*SQRT(MonteCarlo!$B$8)))-(MonteCarlo!$B$7*SQRT(MonteCarlo!$B$8)),TRUE),$A30*EXP(-MonteCarlo!$B$9*MonteCarlo!$B$8)*_xlfn.NORM.S.DIST(-(((LN(N$1/$A30)+(MonteCarlo!$B$9+(MonteCarlo!$B$7^2)/2)*MonteCarlo!$B$8)/(MonteCarlo!$B$7*SQRT(MonteCarlo!$B$8)))-(MonteCarlo!$B$7*SQRT(MonteCarlo!$B$8))),TRUE)-N$1*_xlfn.NORM.S.DIST(-((LN(N$1/$A30)+(MonteCarlo!$B$9+(MonteCarlo!$B$7^2)/2)*MonteCarlo!$B$8)/(MonteCarlo!$B$7*SQRT(MonteCarlo!$B$8))),TRUE)),"")</f>
        <v/>
      </c>
      <c r="O30" t="str">
        <f ca="1">IFERROR(IF(OR(MonteCarlo!$B$4="C",MonteCarlo!$B$4="c"),O$1*_xlfn.NORM.S.DIST((LN(O$1/$A30)+(MonteCarlo!$B$9+(MonteCarlo!$B$7^2)/2)*MonteCarlo!$B$8)/(MonteCarlo!$B$7*SQRT(MonteCarlo!$B$8)),TRUE)-$A30*EXP(-MonteCarlo!$B$9*MonteCarlo!$B$8)*_xlfn.NORM.S.DIST(((LN(O$1/$A30)+(MonteCarlo!$B$9+(MonteCarlo!$B$7^2)/2)*MonteCarlo!$B$8)/(MonteCarlo!$B$7*SQRT(MonteCarlo!$B$8)))-(MonteCarlo!$B$7*SQRT(MonteCarlo!$B$8)),TRUE),$A30*EXP(-MonteCarlo!$B$9*MonteCarlo!$B$8)*_xlfn.NORM.S.DIST(-(((LN(O$1/$A30)+(MonteCarlo!$B$9+(MonteCarlo!$B$7^2)/2)*MonteCarlo!$B$8)/(MonteCarlo!$B$7*SQRT(MonteCarlo!$B$8)))-(MonteCarlo!$B$7*SQRT(MonteCarlo!$B$8))),TRUE)-O$1*_xlfn.NORM.S.DIST(-((LN(O$1/$A30)+(MonteCarlo!$B$9+(MonteCarlo!$B$7^2)/2)*MonteCarlo!$B$8)/(MonteCarlo!$B$7*SQRT(MonteCarlo!$B$8))),TRUE)),"")</f>
        <v/>
      </c>
      <c r="P30" t="str">
        <f ca="1">IFERROR(IF(OR(MonteCarlo!$B$4="C",MonteCarlo!$B$4="c"),P$1*_xlfn.NORM.S.DIST((LN(P$1/$A30)+(MonteCarlo!$B$9+(MonteCarlo!$B$7^2)/2)*MonteCarlo!$B$8)/(MonteCarlo!$B$7*SQRT(MonteCarlo!$B$8)),TRUE)-$A30*EXP(-MonteCarlo!$B$9*MonteCarlo!$B$8)*_xlfn.NORM.S.DIST(((LN(P$1/$A30)+(MonteCarlo!$B$9+(MonteCarlo!$B$7^2)/2)*MonteCarlo!$B$8)/(MonteCarlo!$B$7*SQRT(MonteCarlo!$B$8)))-(MonteCarlo!$B$7*SQRT(MonteCarlo!$B$8)),TRUE),$A30*EXP(-MonteCarlo!$B$9*MonteCarlo!$B$8)*_xlfn.NORM.S.DIST(-(((LN(P$1/$A30)+(MonteCarlo!$B$9+(MonteCarlo!$B$7^2)/2)*MonteCarlo!$B$8)/(MonteCarlo!$B$7*SQRT(MonteCarlo!$B$8)))-(MonteCarlo!$B$7*SQRT(MonteCarlo!$B$8))),TRUE)-P$1*_xlfn.NORM.S.DIST(-((LN(P$1/$A30)+(MonteCarlo!$B$9+(MonteCarlo!$B$7^2)/2)*MonteCarlo!$B$8)/(MonteCarlo!$B$7*SQRT(MonteCarlo!$B$8))),TRUE)),"")</f>
        <v/>
      </c>
      <c r="Q30" t="str">
        <f ca="1">IFERROR(IF(OR(MonteCarlo!$B$4="C",MonteCarlo!$B$4="c"),Q$1*_xlfn.NORM.S.DIST((LN(Q$1/$A30)+(MonteCarlo!$B$9+(MonteCarlo!$B$7^2)/2)*MonteCarlo!$B$8)/(MonteCarlo!$B$7*SQRT(MonteCarlo!$B$8)),TRUE)-$A30*EXP(-MonteCarlo!$B$9*MonteCarlo!$B$8)*_xlfn.NORM.S.DIST(((LN(Q$1/$A30)+(MonteCarlo!$B$9+(MonteCarlo!$B$7^2)/2)*MonteCarlo!$B$8)/(MonteCarlo!$B$7*SQRT(MonteCarlo!$B$8)))-(MonteCarlo!$B$7*SQRT(MonteCarlo!$B$8)),TRUE),$A30*EXP(-MonteCarlo!$B$9*MonteCarlo!$B$8)*_xlfn.NORM.S.DIST(-(((LN(Q$1/$A30)+(MonteCarlo!$B$9+(MonteCarlo!$B$7^2)/2)*MonteCarlo!$B$8)/(MonteCarlo!$B$7*SQRT(MonteCarlo!$B$8)))-(MonteCarlo!$B$7*SQRT(MonteCarlo!$B$8))),TRUE)-Q$1*_xlfn.NORM.S.DIST(-((LN(Q$1/$A30)+(MonteCarlo!$B$9+(MonteCarlo!$B$7^2)/2)*MonteCarlo!$B$8)/(MonteCarlo!$B$7*SQRT(MonteCarlo!$B$8))),TRUE)),"")</f>
        <v/>
      </c>
      <c r="R30" t="str">
        <f ca="1">IFERROR(IF(OR(MonteCarlo!$B$4="C",MonteCarlo!$B$4="c"),R$1*_xlfn.NORM.S.DIST((LN(R$1/$A30)+(MonteCarlo!$B$9+(MonteCarlo!$B$7^2)/2)*MonteCarlo!$B$8)/(MonteCarlo!$B$7*SQRT(MonteCarlo!$B$8)),TRUE)-$A30*EXP(-MonteCarlo!$B$9*MonteCarlo!$B$8)*_xlfn.NORM.S.DIST(((LN(R$1/$A30)+(MonteCarlo!$B$9+(MonteCarlo!$B$7^2)/2)*MonteCarlo!$B$8)/(MonteCarlo!$B$7*SQRT(MonteCarlo!$B$8)))-(MonteCarlo!$B$7*SQRT(MonteCarlo!$B$8)),TRUE),$A30*EXP(-MonteCarlo!$B$9*MonteCarlo!$B$8)*_xlfn.NORM.S.DIST(-(((LN(R$1/$A30)+(MonteCarlo!$B$9+(MonteCarlo!$B$7^2)/2)*MonteCarlo!$B$8)/(MonteCarlo!$B$7*SQRT(MonteCarlo!$B$8)))-(MonteCarlo!$B$7*SQRT(MonteCarlo!$B$8))),TRUE)-R$1*_xlfn.NORM.S.DIST(-((LN(R$1/$A30)+(MonteCarlo!$B$9+(MonteCarlo!$B$7^2)/2)*MonteCarlo!$B$8)/(MonteCarlo!$B$7*SQRT(MonteCarlo!$B$8))),TRUE)),"")</f>
        <v/>
      </c>
      <c r="S30" t="str">
        <f ca="1">IFERROR(IF(OR(MonteCarlo!$B$4="C",MonteCarlo!$B$4="c"),S$1*_xlfn.NORM.S.DIST((LN(S$1/$A30)+(MonteCarlo!$B$9+(MonteCarlo!$B$7^2)/2)*MonteCarlo!$B$8)/(MonteCarlo!$B$7*SQRT(MonteCarlo!$B$8)),TRUE)-$A30*EXP(-MonteCarlo!$B$9*MonteCarlo!$B$8)*_xlfn.NORM.S.DIST(((LN(S$1/$A30)+(MonteCarlo!$B$9+(MonteCarlo!$B$7^2)/2)*MonteCarlo!$B$8)/(MonteCarlo!$B$7*SQRT(MonteCarlo!$B$8)))-(MonteCarlo!$B$7*SQRT(MonteCarlo!$B$8)),TRUE),$A30*EXP(-MonteCarlo!$B$9*MonteCarlo!$B$8)*_xlfn.NORM.S.DIST(-(((LN(S$1/$A30)+(MonteCarlo!$B$9+(MonteCarlo!$B$7^2)/2)*MonteCarlo!$B$8)/(MonteCarlo!$B$7*SQRT(MonteCarlo!$B$8)))-(MonteCarlo!$B$7*SQRT(MonteCarlo!$B$8))),TRUE)-S$1*_xlfn.NORM.S.DIST(-((LN(S$1/$A30)+(MonteCarlo!$B$9+(MonteCarlo!$B$7^2)/2)*MonteCarlo!$B$8)/(MonteCarlo!$B$7*SQRT(MonteCarlo!$B$8))),TRUE)),"")</f>
        <v/>
      </c>
      <c r="T30" t="str">
        <f ca="1">IFERROR(IF(OR(MonteCarlo!$B$4="C",MonteCarlo!$B$4="c"),T$1*_xlfn.NORM.S.DIST((LN(T$1/$A30)+(MonteCarlo!$B$9+(MonteCarlo!$B$7^2)/2)*MonteCarlo!$B$8)/(MonteCarlo!$B$7*SQRT(MonteCarlo!$B$8)),TRUE)-$A30*EXP(-MonteCarlo!$B$9*MonteCarlo!$B$8)*_xlfn.NORM.S.DIST(((LN(T$1/$A30)+(MonteCarlo!$B$9+(MonteCarlo!$B$7^2)/2)*MonteCarlo!$B$8)/(MonteCarlo!$B$7*SQRT(MonteCarlo!$B$8)))-(MonteCarlo!$B$7*SQRT(MonteCarlo!$B$8)),TRUE),$A30*EXP(-MonteCarlo!$B$9*MonteCarlo!$B$8)*_xlfn.NORM.S.DIST(-(((LN(T$1/$A30)+(MonteCarlo!$B$9+(MonteCarlo!$B$7^2)/2)*MonteCarlo!$B$8)/(MonteCarlo!$B$7*SQRT(MonteCarlo!$B$8)))-(MonteCarlo!$B$7*SQRT(MonteCarlo!$B$8))),TRUE)-T$1*_xlfn.NORM.S.DIST(-((LN(T$1/$A30)+(MonteCarlo!$B$9+(MonteCarlo!$B$7^2)/2)*MonteCarlo!$B$8)/(MonteCarlo!$B$7*SQRT(MonteCarlo!$B$8))),TRUE)),"")</f>
        <v/>
      </c>
      <c r="U30" t="str">
        <f ca="1">IFERROR(IF(OR(MonteCarlo!$B$4="C",MonteCarlo!$B$4="c"),U$1*_xlfn.NORM.S.DIST((LN(U$1/$A30)+(MonteCarlo!$B$9+(MonteCarlo!$B$7^2)/2)*MonteCarlo!$B$8)/(MonteCarlo!$B$7*SQRT(MonteCarlo!$B$8)),TRUE)-$A30*EXP(-MonteCarlo!$B$9*MonteCarlo!$B$8)*_xlfn.NORM.S.DIST(((LN(U$1/$A30)+(MonteCarlo!$B$9+(MonteCarlo!$B$7^2)/2)*MonteCarlo!$B$8)/(MonteCarlo!$B$7*SQRT(MonteCarlo!$B$8)))-(MonteCarlo!$B$7*SQRT(MonteCarlo!$B$8)),TRUE),$A30*EXP(-MonteCarlo!$B$9*MonteCarlo!$B$8)*_xlfn.NORM.S.DIST(-(((LN(U$1/$A30)+(MonteCarlo!$B$9+(MonteCarlo!$B$7^2)/2)*MonteCarlo!$B$8)/(MonteCarlo!$B$7*SQRT(MonteCarlo!$B$8)))-(MonteCarlo!$B$7*SQRT(MonteCarlo!$B$8))),TRUE)-U$1*_xlfn.NORM.S.DIST(-((LN(U$1/$A30)+(MonteCarlo!$B$9+(MonteCarlo!$B$7^2)/2)*MonteCarlo!$B$8)/(MonteCarlo!$B$7*SQRT(MonteCarlo!$B$8))),TRUE)),"")</f>
        <v/>
      </c>
      <c r="V30" t="str">
        <f ca="1">IFERROR(IF(OR(MonteCarlo!$B$4="C",MonteCarlo!$B$4="c"),V$1*_xlfn.NORM.S.DIST((LN(V$1/$A30)+(MonteCarlo!$B$9+(MonteCarlo!$B$7^2)/2)*MonteCarlo!$B$8)/(MonteCarlo!$B$7*SQRT(MonteCarlo!$B$8)),TRUE)-$A30*EXP(-MonteCarlo!$B$9*MonteCarlo!$B$8)*_xlfn.NORM.S.DIST(((LN(V$1/$A30)+(MonteCarlo!$B$9+(MonteCarlo!$B$7^2)/2)*MonteCarlo!$B$8)/(MonteCarlo!$B$7*SQRT(MonteCarlo!$B$8)))-(MonteCarlo!$B$7*SQRT(MonteCarlo!$B$8)),TRUE),$A30*EXP(-MonteCarlo!$B$9*MonteCarlo!$B$8)*_xlfn.NORM.S.DIST(-(((LN(V$1/$A30)+(MonteCarlo!$B$9+(MonteCarlo!$B$7^2)/2)*MonteCarlo!$B$8)/(MonteCarlo!$B$7*SQRT(MonteCarlo!$B$8)))-(MonteCarlo!$B$7*SQRT(MonteCarlo!$B$8))),TRUE)-V$1*_xlfn.NORM.S.DIST(-((LN(V$1/$A30)+(MonteCarlo!$B$9+(MonteCarlo!$B$7^2)/2)*MonteCarlo!$B$8)/(MonteCarlo!$B$7*SQRT(MonteCarlo!$B$8))),TRUE)),"")</f>
        <v/>
      </c>
      <c r="W30" t="str">
        <f ca="1">IFERROR(IF(OR(MonteCarlo!$B$4="C",MonteCarlo!$B$4="c"),W$1*_xlfn.NORM.S.DIST((LN(W$1/$A30)+(MonteCarlo!$B$9+(MonteCarlo!$B$7^2)/2)*MonteCarlo!$B$8)/(MonteCarlo!$B$7*SQRT(MonteCarlo!$B$8)),TRUE)-$A30*EXP(-MonteCarlo!$B$9*MonteCarlo!$B$8)*_xlfn.NORM.S.DIST(((LN(W$1/$A30)+(MonteCarlo!$B$9+(MonteCarlo!$B$7^2)/2)*MonteCarlo!$B$8)/(MonteCarlo!$B$7*SQRT(MonteCarlo!$B$8)))-(MonteCarlo!$B$7*SQRT(MonteCarlo!$B$8)),TRUE),$A30*EXP(-MonteCarlo!$B$9*MonteCarlo!$B$8)*_xlfn.NORM.S.DIST(-(((LN(W$1/$A30)+(MonteCarlo!$B$9+(MonteCarlo!$B$7^2)/2)*MonteCarlo!$B$8)/(MonteCarlo!$B$7*SQRT(MonteCarlo!$B$8)))-(MonteCarlo!$B$7*SQRT(MonteCarlo!$B$8))),TRUE)-W$1*_xlfn.NORM.S.DIST(-((LN(W$1/$A30)+(MonteCarlo!$B$9+(MonteCarlo!$B$7^2)/2)*MonteCarlo!$B$8)/(MonteCarlo!$B$7*SQRT(MonteCarlo!$B$8))),TRUE)),"")</f>
        <v/>
      </c>
      <c r="X30" t="str">
        <f ca="1">IFERROR(IF(OR(MonteCarlo!$B$4="C",MonteCarlo!$B$4="c"),X$1*_xlfn.NORM.S.DIST((LN(X$1/$A30)+(MonteCarlo!$B$9+(MonteCarlo!$B$7^2)/2)*MonteCarlo!$B$8)/(MonteCarlo!$B$7*SQRT(MonteCarlo!$B$8)),TRUE)-$A30*EXP(-MonteCarlo!$B$9*MonteCarlo!$B$8)*_xlfn.NORM.S.DIST(((LN(X$1/$A30)+(MonteCarlo!$B$9+(MonteCarlo!$B$7^2)/2)*MonteCarlo!$B$8)/(MonteCarlo!$B$7*SQRT(MonteCarlo!$B$8)))-(MonteCarlo!$B$7*SQRT(MonteCarlo!$B$8)),TRUE),$A30*EXP(-MonteCarlo!$B$9*MonteCarlo!$B$8)*_xlfn.NORM.S.DIST(-(((LN(X$1/$A30)+(MonteCarlo!$B$9+(MonteCarlo!$B$7^2)/2)*MonteCarlo!$B$8)/(MonteCarlo!$B$7*SQRT(MonteCarlo!$B$8)))-(MonteCarlo!$B$7*SQRT(MonteCarlo!$B$8))),TRUE)-X$1*_xlfn.NORM.S.DIST(-((LN(X$1/$A30)+(MonteCarlo!$B$9+(MonteCarlo!$B$7^2)/2)*MonteCarlo!$B$8)/(MonteCarlo!$B$7*SQRT(MonteCarlo!$B$8))),TRUE)),"")</f>
        <v/>
      </c>
      <c r="Y30" t="str">
        <f ca="1">IFERROR(IF(OR(MonteCarlo!$B$4="C",MonteCarlo!$B$4="c"),Y$1*_xlfn.NORM.S.DIST((LN(Y$1/$A30)+(MonteCarlo!$B$9+(MonteCarlo!$B$7^2)/2)*MonteCarlo!$B$8)/(MonteCarlo!$B$7*SQRT(MonteCarlo!$B$8)),TRUE)-$A30*EXP(-MonteCarlo!$B$9*MonteCarlo!$B$8)*_xlfn.NORM.S.DIST(((LN(Y$1/$A30)+(MonteCarlo!$B$9+(MonteCarlo!$B$7^2)/2)*MonteCarlo!$B$8)/(MonteCarlo!$B$7*SQRT(MonteCarlo!$B$8)))-(MonteCarlo!$B$7*SQRT(MonteCarlo!$B$8)),TRUE),$A30*EXP(-MonteCarlo!$B$9*MonteCarlo!$B$8)*_xlfn.NORM.S.DIST(-(((LN(Y$1/$A30)+(MonteCarlo!$B$9+(MonteCarlo!$B$7^2)/2)*MonteCarlo!$B$8)/(MonteCarlo!$B$7*SQRT(MonteCarlo!$B$8)))-(MonteCarlo!$B$7*SQRT(MonteCarlo!$B$8))),TRUE)-Y$1*_xlfn.NORM.S.DIST(-((LN(Y$1/$A30)+(MonteCarlo!$B$9+(MonteCarlo!$B$7^2)/2)*MonteCarlo!$B$8)/(MonteCarlo!$B$7*SQRT(MonteCarlo!$B$8))),TRUE)),"")</f>
        <v/>
      </c>
      <c r="Z30" t="str">
        <f ca="1">IFERROR(IF(OR(MonteCarlo!$B$4="C",MonteCarlo!$B$4="c"),Z$1*_xlfn.NORM.S.DIST((LN(Z$1/$A30)+(MonteCarlo!$B$9+(MonteCarlo!$B$7^2)/2)*MonteCarlo!$B$8)/(MonteCarlo!$B$7*SQRT(MonteCarlo!$B$8)),TRUE)-$A30*EXP(-MonteCarlo!$B$9*MonteCarlo!$B$8)*_xlfn.NORM.S.DIST(((LN(Z$1/$A30)+(MonteCarlo!$B$9+(MonteCarlo!$B$7^2)/2)*MonteCarlo!$B$8)/(MonteCarlo!$B$7*SQRT(MonteCarlo!$B$8)))-(MonteCarlo!$B$7*SQRT(MonteCarlo!$B$8)),TRUE),$A30*EXP(-MonteCarlo!$B$9*MonteCarlo!$B$8)*_xlfn.NORM.S.DIST(-(((LN(Z$1/$A30)+(MonteCarlo!$B$9+(MonteCarlo!$B$7^2)/2)*MonteCarlo!$B$8)/(MonteCarlo!$B$7*SQRT(MonteCarlo!$B$8)))-(MonteCarlo!$B$7*SQRT(MonteCarlo!$B$8))),TRUE)-Z$1*_xlfn.NORM.S.DIST(-((LN(Z$1/$A30)+(MonteCarlo!$B$9+(MonteCarlo!$B$7^2)/2)*MonteCarlo!$B$8)/(MonteCarlo!$B$7*SQRT(MonteCarlo!$B$8))),TRUE)),"")</f>
        <v/>
      </c>
      <c r="AA30" t="str">
        <f ca="1">IFERROR(IF(OR(MonteCarlo!$B$4="C",MonteCarlo!$B$4="c"),AA$1*_xlfn.NORM.S.DIST((LN(AA$1/$A30)+(MonteCarlo!$B$9+(MonteCarlo!$B$7^2)/2)*MonteCarlo!$B$8)/(MonteCarlo!$B$7*SQRT(MonteCarlo!$B$8)),TRUE)-$A30*EXP(-MonteCarlo!$B$9*MonteCarlo!$B$8)*_xlfn.NORM.S.DIST(((LN(AA$1/$A30)+(MonteCarlo!$B$9+(MonteCarlo!$B$7^2)/2)*MonteCarlo!$B$8)/(MonteCarlo!$B$7*SQRT(MonteCarlo!$B$8)))-(MonteCarlo!$B$7*SQRT(MonteCarlo!$B$8)),TRUE),$A30*EXP(-MonteCarlo!$B$9*MonteCarlo!$B$8)*_xlfn.NORM.S.DIST(-(((LN(AA$1/$A30)+(MonteCarlo!$B$9+(MonteCarlo!$B$7^2)/2)*MonteCarlo!$B$8)/(MonteCarlo!$B$7*SQRT(MonteCarlo!$B$8)))-(MonteCarlo!$B$7*SQRT(MonteCarlo!$B$8))),TRUE)-AA$1*_xlfn.NORM.S.DIST(-((LN(AA$1/$A30)+(MonteCarlo!$B$9+(MonteCarlo!$B$7^2)/2)*MonteCarlo!$B$8)/(MonteCarlo!$B$7*SQRT(MonteCarlo!$B$8))),TRUE)),"")</f>
        <v/>
      </c>
      <c r="AB30" t="str">
        <f ca="1">IFERROR(IF(OR(MonteCarlo!$B$4="C",MonteCarlo!$B$4="c"),AB$1*_xlfn.NORM.S.DIST((LN(AB$1/$A30)+(MonteCarlo!$B$9+(MonteCarlo!$B$7^2)/2)*MonteCarlo!$B$8)/(MonteCarlo!$B$7*SQRT(MonteCarlo!$B$8)),TRUE)-$A30*EXP(-MonteCarlo!$B$9*MonteCarlo!$B$8)*_xlfn.NORM.S.DIST(((LN(AB$1/$A30)+(MonteCarlo!$B$9+(MonteCarlo!$B$7^2)/2)*MonteCarlo!$B$8)/(MonteCarlo!$B$7*SQRT(MonteCarlo!$B$8)))-(MonteCarlo!$B$7*SQRT(MonteCarlo!$B$8)),TRUE),$A30*EXP(-MonteCarlo!$B$9*MonteCarlo!$B$8)*_xlfn.NORM.S.DIST(-(((LN(AB$1/$A30)+(MonteCarlo!$B$9+(MonteCarlo!$B$7^2)/2)*MonteCarlo!$B$8)/(MonteCarlo!$B$7*SQRT(MonteCarlo!$B$8)))-(MonteCarlo!$B$7*SQRT(MonteCarlo!$B$8))),TRUE)-AB$1*_xlfn.NORM.S.DIST(-((LN(AB$1/$A30)+(MonteCarlo!$B$9+(MonteCarlo!$B$7^2)/2)*MonteCarlo!$B$8)/(MonteCarlo!$B$7*SQRT(MonteCarlo!$B$8))),TRUE)),"")</f>
        <v/>
      </c>
      <c r="AC30" t="str">
        <f ca="1">IFERROR(IF(OR(MonteCarlo!$B$4="C",MonteCarlo!$B$4="c"),AC$1*_xlfn.NORM.S.DIST((LN(AC$1/$A30)+(MonteCarlo!$B$9+(MonteCarlo!$B$7^2)/2)*MonteCarlo!$B$8)/(MonteCarlo!$B$7*SQRT(MonteCarlo!$B$8)),TRUE)-$A30*EXP(-MonteCarlo!$B$9*MonteCarlo!$B$8)*_xlfn.NORM.S.DIST(((LN(AC$1/$A30)+(MonteCarlo!$B$9+(MonteCarlo!$B$7^2)/2)*MonteCarlo!$B$8)/(MonteCarlo!$B$7*SQRT(MonteCarlo!$B$8)))-(MonteCarlo!$B$7*SQRT(MonteCarlo!$B$8)),TRUE),$A30*EXP(-MonteCarlo!$B$9*MonteCarlo!$B$8)*_xlfn.NORM.S.DIST(-(((LN(AC$1/$A30)+(MonteCarlo!$B$9+(MonteCarlo!$B$7^2)/2)*MonteCarlo!$B$8)/(MonteCarlo!$B$7*SQRT(MonteCarlo!$B$8)))-(MonteCarlo!$B$7*SQRT(MonteCarlo!$B$8))),TRUE)-AC$1*_xlfn.NORM.S.DIST(-((LN(AC$1/$A30)+(MonteCarlo!$B$9+(MonteCarlo!$B$7^2)/2)*MonteCarlo!$B$8)/(MonteCarlo!$B$7*SQRT(MonteCarlo!$B$8))),TRUE)),"")</f>
        <v/>
      </c>
      <c r="AD30" t="str">
        <f ca="1">IFERROR(IF(OR(MonteCarlo!$B$4="C",MonteCarlo!$B$4="c"),AD$1*_xlfn.NORM.S.DIST((LN(AD$1/$A30)+(MonteCarlo!$B$9+(MonteCarlo!$B$7^2)/2)*MonteCarlo!$B$8)/(MonteCarlo!$B$7*SQRT(MonteCarlo!$B$8)),TRUE)-$A30*EXP(-MonteCarlo!$B$9*MonteCarlo!$B$8)*_xlfn.NORM.S.DIST(((LN(AD$1/$A30)+(MonteCarlo!$B$9+(MonteCarlo!$B$7^2)/2)*MonteCarlo!$B$8)/(MonteCarlo!$B$7*SQRT(MonteCarlo!$B$8)))-(MonteCarlo!$B$7*SQRT(MonteCarlo!$B$8)),TRUE),$A30*EXP(-MonteCarlo!$B$9*MonteCarlo!$B$8)*_xlfn.NORM.S.DIST(-(((LN(AD$1/$A30)+(MonteCarlo!$B$9+(MonteCarlo!$B$7^2)/2)*MonteCarlo!$B$8)/(MonteCarlo!$B$7*SQRT(MonteCarlo!$B$8)))-(MonteCarlo!$B$7*SQRT(MonteCarlo!$B$8))),TRUE)-AD$1*_xlfn.NORM.S.DIST(-((LN(AD$1/$A30)+(MonteCarlo!$B$9+(MonteCarlo!$B$7^2)/2)*MonteCarlo!$B$8)/(MonteCarlo!$B$7*SQRT(MonteCarlo!$B$8))),TRUE)),"")</f>
        <v/>
      </c>
      <c r="AE30" t="str">
        <f ca="1">IFERROR(IF(OR(MonteCarlo!$B$4="C",MonteCarlo!$B$4="c"),AE$1*_xlfn.NORM.S.DIST((LN(AE$1/$A30)+(MonteCarlo!$B$9+(MonteCarlo!$B$7^2)/2)*MonteCarlo!$B$8)/(MonteCarlo!$B$7*SQRT(MonteCarlo!$B$8)),TRUE)-$A30*EXP(-MonteCarlo!$B$9*MonteCarlo!$B$8)*_xlfn.NORM.S.DIST(((LN(AE$1/$A30)+(MonteCarlo!$B$9+(MonteCarlo!$B$7^2)/2)*MonteCarlo!$B$8)/(MonteCarlo!$B$7*SQRT(MonteCarlo!$B$8)))-(MonteCarlo!$B$7*SQRT(MonteCarlo!$B$8)),TRUE),$A30*EXP(-MonteCarlo!$B$9*MonteCarlo!$B$8)*_xlfn.NORM.S.DIST(-(((LN(AE$1/$A30)+(MonteCarlo!$B$9+(MonteCarlo!$B$7^2)/2)*MonteCarlo!$B$8)/(MonteCarlo!$B$7*SQRT(MonteCarlo!$B$8)))-(MonteCarlo!$B$7*SQRT(MonteCarlo!$B$8))),TRUE)-AE$1*_xlfn.NORM.S.DIST(-((LN(AE$1/$A30)+(MonteCarlo!$B$9+(MonteCarlo!$B$7^2)/2)*MonteCarlo!$B$8)/(MonteCarlo!$B$7*SQRT(MonteCarlo!$B$8))),TRUE)),"")</f>
        <v/>
      </c>
      <c r="AF30" t="str">
        <f ca="1">IFERROR(IF(OR(MonteCarlo!$B$4="C",MonteCarlo!$B$4="c"),AF$1*_xlfn.NORM.S.DIST((LN(AF$1/$A30)+(MonteCarlo!$B$9+(MonteCarlo!$B$7^2)/2)*MonteCarlo!$B$8)/(MonteCarlo!$B$7*SQRT(MonteCarlo!$B$8)),TRUE)-$A30*EXP(-MonteCarlo!$B$9*MonteCarlo!$B$8)*_xlfn.NORM.S.DIST(((LN(AF$1/$A30)+(MonteCarlo!$B$9+(MonteCarlo!$B$7^2)/2)*MonteCarlo!$B$8)/(MonteCarlo!$B$7*SQRT(MonteCarlo!$B$8)))-(MonteCarlo!$B$7*SQRT(MonteCarlo!$B$8)),TRUE),$A30*EXP(-MonteCarlo!$B$9*MonteCarlo!$B$8)*_xlfn.NORM.S.DIST(-(((LN(AF$1/$A30)+(MonteCarlo!$B$9+(MonteCarlo!$B$7^2)/2)*MonteCarlo!$B$8)/(MonteCarlo!$B$7*SQRT(MonteCarlo!$B$8)))-(MonteCarlo!$B$7*SQRT(MonteCarlo!$B$8))),TRUE)-AF$1*_xlfn.NORM.S.DIST(-((LN(AF$1/$A30)+(MonteCarlo!$B$9+(MonteCarlo!$B$7^2)/2)*MonteCarlo!$B$8)/(MonteCarlo!$B$7*SQRT(MonteCarlo!$B$8))),TRUE)),"")</f>
        <v/>
      </c>
    </row>
    <row r="31" spans="2:32" x14ac:dyDescent="0.25">
      <c r="B31" t="str">
        <f ca="1">IFERROR(IF(OR(MonteCarlo!$B$4="C",MonteCarlo!$B$4="c"),B$1*_xlfn.NORM.S.DIST((LN(B$1/$A31)+(MonteCarlo!$B$9+(MonteCarlo!$B$7^2)/2)*MonteCarlo!$B$8)/(MonteCarlo!$B$7*SQRT(MonteCarlo!$B$8)),TRUE)-$A31*EXP(-MonteCarlo!$B$9*MonteCarlo!$B$8)*_xlfn.NORM.S.DIST(((LN(B$1/$A31)+(MonteCarlo!$B$9+(MonteCarlo!$B$7^2)/2)*MonteCarlo!$B$8)/(MonteCarlo!$B$7*SQRT(MonteCarlo!$B$8)))-(MonteCarlo!$B$7*SQRT(MonteCarlo!$B$8)),TRUE),$A31*EXP(-MonteCarlo!$B$9*MonteCarlo!$B$8)*_xlfn.NORM.S.DIST(-(((LN(B$1/$A31)+(MonteCarlo!$B$9+(MonteCarlo!$B$7^2)/2)*MonteCarlo!$B$8)/(MonteCarlo!$B$7*SQRT(MonteCarlo!$B$8)))-(MonteCarlo!$B$7*SQRT(MonteCarlo!$B$8))),TRUE)-B$1*_xlfn.NORM.S.DIST(-((LN(B$1/$A31)+(MonteCarlo!$B$9+(MonteCarlo!$B$7^2)/2)*MonteCarlo!$B$8)/(MonteCarlo!$B$7*SQRT(MonteCarlo!$B$8))),TRUE)),"")</f>
        <v/>
      </c>
      <c r="C31" t="str">
        <f ca="1">IFERROR(IF(OR(MonteCarlo!$B$4="C",MonteCarlo!$B$4="c"),C$1*_xlfn.NORM.S.DIST((LN(C$1/$A31)+(MonteCarlo!$B$9+(MonteCarlo!$B$7^2)/2)*MonteCarlo!$B$8)/(MonteCarlo!$B$7*SQRT(MonteCarlo!$B$8)),TRUE)-$A31*EXP(-MonteCarlo!$B$9*MonteCarlo!$B$8)*_xlfn.NORM.S.DIST(((LN(C$1/$A31)+(MonteCarlo!$B$9+(MonteCarlo!$B$7^2)/2)*MonteCarlo!$B$8)/(MonteCarlo!$B$7*SQRT(MonteCarlo!$B$8)))-(MonteCarlo!$B$7*SQRT(MonteCarlo!$B$8)),TRUE),$A31*EXP(-MonteCarlo!$B$9*MonteCarlo!$B$8)*_xlfn.NORM.S.DIST(-(((LN(C$1/$A31)+(MonteCarlo!$B$9+(MonteCarlo!$B$7^2)/2)*MonteCarlo!$B$8)/(MonteCarlo!$B$7*SQRT(MonteCarlo!$B$8)))-(MonteCarlo!$B$7*SQRT(MonteCarlo!$B$8))),TRUE)-C$1*_xlfn.NORM.S.DIST(-((LN(C$1/$A31)+(MonteCarlo!$B$9+(MonteCarlo!$B$7^2)/2)*MonteCarlo!$B$8)/(MonteCarlo!$B$7*SQRT(MonteCarlo!$B$8))),TRUE)),"")</f>
        <v/>
      </c>
      <c r="D31" t="str">
        <f ca="1">IFERROR(IF(OR(MonteCarlo!$B$4="C",MonteCarlo!$B$4="c"),D$1*_xlfn.NORM.S.DIST((LN(D$1/$A31)+(MonteCarlo!$B$9+(MonteCarlo!$B$7^2)/2)*MonteCarlo!$B$8)/(MonteCarlo!$B$7*SQRT(MonteCarlo!$B$8)),TRUE)-$A31*EXP(-MonteCarlo!$B$9*MonteCarlo!$B$8)*_xlfn.NORM.S.DIST(((LN(D$1/$A31)+(MonteCarlo!$B$9+(MonteCarlo!$B$7^2)/2)*MonteCarlo!$B$8)/(MonteCarlo!$B$7*SQRT(MonteCarlo!$B$8)))-(MonteCarlo!$B$7*SQRT(MonteCarlo!$B$8)),TRUE),$A31*EXP(-MonteCarlo!$B$9*MonteCarlo!$B$8)*_xlfn.NORM.S.DIST(-(((LN(D$1/$A31)+(MonteCarlo!$B$9+(MonteCarlo!$B$7^2)/2)*MonteCarlo!$B$8)/(MonteCarlo!$B$7*SQRT(MonteCarlo!$B$8)))-(MonteCarlo!$B$7*SQRT(MonteCarlo!$B$8))),TRUE)-D$1*_xlfn.NORM.S.DIST(-((LN(D$1/$A31)+(MonteCarlo!$B$9+(MonteCarlo!$B$7^2)/2)*MonteCarlo!$B$8)/(MonteCarlo!$B$7*SQRT(MonteCarlo!$B$8))),TRUE)),"")</f>
        <v/>
      </c>
      <c r="E31" t="str">
        <f ca="1">IFERROR(IF(OR(MonteCarlo!$B$4="C",MonteCarlo!$B$4="c"),E$1*_xlfn.NORM.S.DIST((LN(E$1/$A31)+(MonteCarlo!$B$9+(MonteCarlo!$B$7^2)/2)*MonteCarlo!$B$8)/(MonteCarlo!$B$7*SQRT(MonteCarlo!$B$8)),TRUE)-$A31*EXP(-MonteCarlo!$B$9*MonteCarlo!$B$8)*_xlfn.NORM.S.DIST(((LN(E$1/$A31)+(MonteCarlo!$B$9+(MonteCarlo!$B$7^2)/2)*MonteCarlo!$B$8)/(MonteCarlo!$B$7*SQRT(MonteCarlo!$B$8)))-(MonteCarlo!$B$7*SQRT(MonteCarlo!$B$8)),TRUE),$A31*EXP(-MonteCarlo!$B$9*MonteCarlo!$B$8)*_xlfn.NORM.S.DIST(-(((LN(E$1/$A31)+(MonteCarlo!$B$9+(MonteCarlo!$B$7^2)/2)*MonteCarlo!$B$8)/(MonteCarlo!$B$7*SQRT(MonteCarlo!$B$8)))-(MonteCarlo!$B$7*SQRT(MonteCarlo!$B$8))),TRUE)-E$1*_xlfn.NORM.S.DIST(-((LN(E$1/$A31)+(MonteCarlo!$B$9+(MonteCarlo!$B$7^2)/2)*MonteCarlo!$B$8)/(MonteCarlo!$B$7*SQRT(MonteCarlo!$B$8))),TRUE)),"")</f>
        <v/>
      </c>
      <c r="F31" t="str">
        <f ca="1">IFERROR(IF(OR(MonteCarlo!$B$4="C",MonteCarlo!$B$4="c"),F$1*_xlfn.NORM.S.DIST((LN(F$1/$A31)+(MonteCarlo!$B$9+(MonteCarlo!$B$7^2)/2)*MonteCarlo!$B$8)/(MonteCarlo!$B$7*SQRT(MonteCarlo!$B$8)),TRUE)-$A31*EXP(-MonteCarlo!$B$9*MonteCarlo!$B$8)*_xlfn.NORM.S.DIST(((LN(F$1/$A31)+(MonteCarlo!$B$9+(MonteCarlo!$B$7^2)/2)*MonteCarlo!$B$8)/(MonteCarlo!$B$7*SQRT(MonteCarlo!$B$8)))-(MonteCarlo!$B$7*SQRT(MonteCarlo!$B$8)),TRUE),$A31*EXP(-MonteCarlo!$B$9*MonteCarlo!$B$8)*_xlfn.NORM.S.DIST(-(((LN(F$1/$A31)+(MonteCarlo!$B$9+(MonteCarlo!$B$7^2)/2)*MonteCarlo!$B$8)/(MonteCarlo!$B$7*SQRT(MonteCarlo!$B$8)))-(MonteCarlo!$B$7*SQRT(MonteCarlo!$B$8))),TRUE)-F$1*_xlfn.NORM.S.DIST(-((LN(F$1/$A31)+(MonteCarlo!$B$9+(MonteCarlo!$B$7^2)/2)*MonteCarlo!$B$8)/(MonteCarlo!$B$7*SQRT(MonteCarlo!$B$8))),TRUE)),"")</f>
        <v/>
      </c>
      <c r="G31" t="str">
        <f ca="1">IFERROR(IF(OR(MonteCarlo!$B$4="C",MonteCarlo!$B$4="c"),G$1*_xlfn.NORM.S.DIST((LN(G$1/$A31)+(MonteCarlo!$B$9+(MonteCarlo!$B$7^2)/2)*MonteCarlo!$B$8)/(MonteCarlo!$B$7*SQRT(MonteCarlo!$B$8)),TRUE)-$A31*EXP(-MonteCarlo!$B$9*MonteCarlo!$B$8)*_xlfn.NORM.S.DIST(((LN(G$1/$A31)+(MonteCarlo!$B$9+(MonteCarlo!$B$7^2)/2)*MonteCarlo!$B$8)/(MonteCarlo!$B$7*SQRT(MonteCarlo!$B$8)))-(MonteCarlo!$B$7*SQRT(MonteCarlo!$B$8)),TRUE),$A31*EXP(-MonteCarlo!$B$9*MonteCarlo!$B$8)*_xlfn.NORM.S.DIST(-(((LN(G$1/$A31)+(MonteCarlo!$B$9+(MonteCarlo!$B$7^2)/2)*MonteCarlo!$B$8)/(MonteCarlo!$B$7*SQRT(MonteCarlo!$B$8)))-(MonteCarlo!$B$7*SQRT(MonteCarlo!$B$8))),TRUE)-G$1*_xlfn.NORM.S.DIST(-((LN(G$1/$A31)+(MonteCarlo!$B$9+(MonteCarlo!$B$7^2)/2)*MonteCarlo!$B$8)/(MonteCarlo!$B$7*SQRT(MonteCarlo!$B$8))),TRUE)),"")</f>
        <v/>
      </c>
      <c r="H31" t="str">
        <f ca="1">IFERROR(IF(OR(MonteCarlo!$B$4="C",MonteCarlo!$B$4="c"),H$1*_xlfn.NORM.S.DIST((LN(H$1/$A31)+(MonteCarlo!$B$9+(MonteCarlo!$B$7^2)/2)*MonteCarlo!$B$8)/(MonteCarlo!$B$7*SQRT(MonteCarlo!$B$8)),TRUE)-$A31*EXP(-MonteCarlo!$B$9*MonteCarlo!$B$8)*_xlfn.NORM.S.DIST(((LN(H$1/$A31)+(MonteCarlo!$B$9+(MonteCarlo!$B$7^2)/2)*MonteCarlo!$B$8)/(MonteCarlo!$B$7*SQRT(MonteCarlo!$B$8)))-(MonteCarlo!$B$7*SQRT(MonteCarlo!$B$8)),TRUE),$A31*EXP(-MonteCarlo!$B$9*MonteCarlo!$B$8)*_xlfn.NORM.S.DIST(-(((LN(H$1/$A31)+(MonteCarlo!$B$9+(MonteCarlo!$B$7^2)/2)*MonteCarlo!$B$8)/(MonteCarlo!$B$7*SQRT(MonteCarlo!$B$8)))-(MonteCarlo!$B$7*SQRT(MonteCarlo!$B$8))),TRUE)-H$1*_xlfn.NORM.S.DIST(-((LN(H$1/$A31)+(MonteCarlo!$B$9+(MonteCarlo!$B$7^2)/2)*MonteCarlo!$B$8)/(MonteCarlo!$B$7*SQRT(MonteCarlo!$B$8))),TRUE)),"")</f>
        <v/>
      </c>
      <c r="I31" t="str">
        <f ca="1">IFERROR(IF(OR(MonteCarlo!$B$4="C",MonteCarlo!$B$4="c"),I$1*_xlfn.NORM.S.DIST((LN(I$1/$A31)+(MonteCarlo!$B$9+(MonteCarlo!$B$7^2)/2)*MonteCarlo!$B$8)/(MonteCarlo!$B$7*SQRT(MonteCarlo!$B$8)),TRUE)-$A31*EXP(-MonteCarlo!$B$9*MonteCarlo!$B$8)*_xlfn.NORM.S.DIST(((LN(I$1/$A31)+(MonteCarlo!$B$9+(MonteCarlo!$B$7^2)/2)*MonteCarlo!$B$8)/(MonteCarlo!$B$7*SQRT(MonteCarlo!$B$8)))-(MonteCarlo!$B$7*SQRT(MonteCarlo!$B$8)),TRUE),$A31*EXP(-MonteCarlo!$B$9*MonteCarlo!$B$8)*_xlfn.NORM.S.DIST(-(((LN(I$1/$A31)+(MonteCarlo!$B$9+(MonteCarlo!$B$7^2)/2)*MonteCarlo!$B$8)/(MonteCarlo!$B$7*SQRT(MonteCarlo!$B$8)))-(MonteCarlo!$B$7*SQRT(MonteCarlo!$B$8))),TRUE)-I$1*_xlfn.NORM.S.DIST(-((LN(I$1/$A31)+(MonteCarlo!$B$9+(MonteCarlo!$B$7^2)/2)*MonteCarlo!$B$8)/(MonteCarlo!$B$7*SQRT(MonteCarlo!$B$8))),TRUE)),"")</f>
        <v/>
      </c>
      <c r="J31" t="str">
        <f ca="1">IFERROR(IF(OR(MonteCarlo!$B$4="C",MonteCarlo!$B$4="c"),J$1*_xlfn.NORM.S.DIST((LN(J$1/$A31)+(MonteCarlo!$B$9+(MonteCarlo!$B$7^2)/2)*MonteCarlo!$B$8)/(MonteCarlo!$B$7*SQRT(MonteCarlo!$B$8)),TRUE)-$A31*EXP(-MonteCarlo!$B$9*MonteCarlo!$B$8)*_xlfn.NORM.S.DIST(((LN(J$1/$A31)+(MonteCarlo!$B$9+(MonteCarlo!$B$7^2)/2)*MonteCarlo!$B$8)/(MonteCarlo!$B$7*SQRT(MonteCarlo!$B$8)))-(MonteCarlo!$B$7*SQRT(MonteCarlo!$B$8)),TRUE),$A31*EXP(-MonteCarlo!$B$9*MonteCarlo!$B$8)*_xlfn.NORM.S.DIST(-(((LN(J$1/$A31)+(MonteCarlo!$B$9+(MonteCarlo!$B$7^2)/2)*MonteCarlo!$B$8)/(MonteCarlo!$B$7*SQRT(MonteCarlo!$B$8)))-(MonteCarlo!$B$7*SQRT(MonteCarlo!$B$8))),TRUE)-J$1*_xlfn.NORM.S.DIST(-((LN(J$1/$A31)+(MonteCarlo!$B$9+(MonteCarlo!$B$7^2)/2)*MonteCarlo!$B$8)/(MonteCarlo!$B$7*SQRT(MonteCarlo!$B$8))),TRUE)),"")</f>
        <v/>
      </c>
      <c r="K31" t="str">
        <f ca="1">IFERROR(IF(OR(MonteCarlo!$B$4="C",MonteCarlo!$B$4="c"),K$1*_xlfn.NORM.S.DIST((LN(K$1/$A31)+(MonteCarlo!$B$9+(MonteCarlo!$B$7^2)/2)*MonteCarlo!$B$8)/(MonteCarlo!$B$7*SQRT(MonteCarlo!$B$8)),TRUE)-$A31*EXP(-MonteCarlo!$B$9*MonteCarlo!$B$8)*_xlfn.NORM.S.DIST(((LN(K$1/$A31)+(MonteCarlo!$B$9+(MonteCarlo!$B$7^2)/2)*MonteCarlo!$B$8)/(MonteCarlo!$B$7*SQRT(MonteCarlo!$B$8)))-(MonteCarlo!$B$7*SQRT(MonteCarlo!$B$8)),TRUE),$A31*EXP(-MonteCarlo!$B$9*MonteCarlo!$B$8)*_xlfn.NORM.S.DIST(-(((LN(K$1/$A31)+(MonteCarlo!$B$9+(MonteCarlo!$B$7^2)/2)*MonteCarlo!$B$8)/(MonteCarlo!$B$7*SQRT(MonteCarlo!$B$8)))-(MonteCarlo!$B$7*SQRT(MonteCarlo!$B$8))),TRUE)-K$1*_xlfn.NORM.S.DIST(-((LN(K$1/$A31)+(MonteCarlo!$B$9+(MonteCarlo!$B$7^2)/2)*MonteCarlo!$B$8)/(MonteCarlo!$B$7*SQRT(MonteCarlo!$B$8))),TRUE)),"")</f>
        <v/>
      </c>
      <c r="L31" t="str">
        <f ca="1">IFERROR(IF(OR(MonteCarlo!$B$4="C",MonteCarlo!$B$4="c"),L$1*_xlfn.NORM.S.DIST((LN(L$1/$A31)+(MonteCarlo!$B$9+(MonteCarlo!$B$7^2)/2)*MonteCarlo!$B$8)/(MonteCarlo!$B$7*SQRT(MonteCarlo!$B$8)),TRUE)-$A31*EXP(-MonteCarlo!$B$9*MonteCarlo!$B$8)*_xlfn.NORM.S.DIST(((LN(L$1/$A31)+(MonteCarlo!$B$9+(MonteCarlo!$B$7^2)/2)*MonteCarlo!$B$8)/(MonteCarlo!$B$7*SQRT(MonteCarlo!$B$8)))-(MonteCarlo!$B$7*SQRT(MonteCarlo!$B$8)),TRUE),$A31*EXP(-MonteCarlo!$B$9*MonteCarlo!$B$8)*_xlfn.NORM.S.DIST(-(((LN(L$1/$A31)+(MonteCarlo!$B$9+(MonteCarlo!$B$7^2)/2)*MonteCarlo!$B$8)/(MonteCarlo!$B$7*SQRT(MonteCarlo!$B$8)))-(MonteCarlo!$B$7*SQRT(MonteCarlo!$B$8))),TRUE)-L$1*_xlfn.NORM.S.DIST(-((LN(L$1/$A31)+(MonteCarlo!$B$9+(MonteCarlo!$B$7^2)/2)*MonteCarlo!$B$8)/(MonteCarlo!$B$7*SQRT(MonteCarlo!$B$8))),TRUE)),"")</f>
        <v/>
      </c>
      <c r="M31" t="str">
        <f ca="1">IFERROR(IF(OR(MonteCarlo!$B$4="C",MonteCarlo!$B$4="c"),M$1*_xlfn.NORM.S.DIST((LN(M$1/$A31)+(MonteCarlo!$B$9+(MonteCarlo!$B$7^2)/2)*MonteCarlo!$B$8)/(MonteCarlo!$B$7*SQRT(MonteCarlo!$B$8)),TRUE)-$A31*EXP(-MonteCarlo!$B$9*MonteCarlo!$B$8)*_xlfn.NORM.S.DIST(((LN(M$1/$A31)+(MonteCarlo!$B$9+(MonteCarlo!$B$7^2)/2)*MonteCarlo!$B$8)/(MonteCarlo!$B$7*SQRT(MonteCarlo!$B$8)))-(MonteCarlo!$B$7*SQRT(MonteCarlo!$B$8)),TRUE),$A31*EXP(-MonteCarlo!$B$9*MonteCarlo!$B$8)*_xlfn.NORM.S.DIST(-(((LN(M$1/$A31)+(MonteCarlo!$B$9+(MonteCarlo!$B$7^2)/2)*MonteCarlo!$B$8)/(MonteCarlo!$B$7*SQRT(MonteCarlo!$B$8)))-(MonteCarlo!$B$7*SQRT(MonteCarlo!$B$8))),TRUE)-M$1*_xlfn.NORM.S.DIST(-((LN(M$1/$A31)+(MonteCarlo!$B$9+(MonteCarlo!$B$7^2)/2)*MonteCarlo!$B$8)/(MonteCarlo!$B$7*SQRT(MonteCarlo!$B$8))),TRUE)),"")</f>
        <v/>
      </c>
      <c r="N31" t="str">
        <f ca="1">IFERROR(IF(OR(MonteCarlo!$B$4="C",MonteCarlo!$B$4="c"),N$1*_xlfn.NORM.S.DIST((LN(N$1/$A31)+(MonteCarlo!$B$9+(MonteCarlo!$B$7^2)/2)*MonteCarlo!$B$8)/(MonteCarlo!$B$7*SQRT(MonteCarlo!$B$8)),TRUE)-$A31*EXP(-MonteCarlo!$B$9*MonteCarlo!$B$8)*_xlfn.NORM.S.DIST(((LN(N$1/$A31)+(MonteCarlo!$B$9+(MonteCarlo!$B$7^2)/2)*MonteCarlo!$B$8)/(MonteCarlo!$B$7*SQRT(MonteCarlo!$B$8)))-(MonteCarlo!$B$7*SQRT(MonteCarlo!$B$8)),TRUE),$A31*EXP(-MonteCarlo!$B$9*MonteCarlo!$B$8)*_xlfn.NORM.S.DIST(-(((LN(N$1/$A31)+(MonteCarlo!$B$9+(MonteCarlo!$B$7^2)/2)*MonteCarlo!$B$8)/(MonteCarlo!$B$7*SQRT(MonteCarlo!$B$8)))-(MonteCarlo!$B$7*SQRT(MonteCarlo!$B$8))),TRUE)-N$1*_xlfn.NORM.S.DIST(-((LN(N$1/$A31)+(MonteCarlo!$B$9+(MonteCarlo!$B$7^2)/2)*MonteCarlo!$B$8)/(MonteCarlo!$B$7*SQRT(MonteCarlo!$B$8))),TRUE)),"")</f>
        <v/>
      </c>
      <c r="O31" t="str">
        <f ca="1">IFERROR(IF(OR(MonteCarlo!$B$4="C",MonteCarlo!$B$4="c"),O$1*_xlfn.NORM.S.DIST((LN(O$1/$A31)+(MonteCarlo!$B$9+(MonteCarlo!$B$7^2)/2)*MonteCarlo!$B$8)/(MonteCarlo!$B$7*SQRT(MonteCarlo!$B$8)),TRUE)-$A31*EXP(-MonteCarlo!$B$9*MonteCarlo!$B$8)*_xlfn.NORM.S.DIST(((LN(O$1/$A31)+(MonteCarlo!$B$9+(MonteCarlo!$B$7^2)/2)*MonteCarlo!$B$8)/(MonteCarlo!$B$7*SQRT(MonteCarlo!$B$8)))-(MonteCarlo!$B$7*SQRT(MonteCarlo!$B$8)),TRUE),$A31*EXP(-MonteCarlo!$B$9*MonteCarlo!$B$8)*_xlfn.NORM.S.DIST(-(((LN(O$1/$A31)+(MonteCarlo!$B$9+(MonteCarlo!$B$7^2)/2)*MonteCarlo!$B$8)/(MonteCarlo!$B$7*SQRT(MonteCarlo!$B$8)))-(MonteCarlo!$B$7*SQRT(MonteCarlo!$B$8))),TRUE)-O$1*_xlfn.NORM.S.DIST(-((LN(O$1/$A31)+(MonteCarlo!$B$9+(MonteCarlo!$B$7^2)/2)*MonteCarlo!$B$8)/(MonteCarlo!$B$7*SQRT(MonteCarlo!$B$8))),TRUE)),"")</f>
        <v/>
      </c>
      <c r="P31" t="str">
        <f ca="1">IFERROR(IF(OR(MonteCarlo!$B$4="C",MonteCarlo!$B$4="c"),P$1*_xlfn.NORM.S.DIST((LN(P$1/$A31)+(MonteCarlo!$B$9+(MonteCarlo!$B$7^2)/2)*MonteCarlo!$B$8)/(MonteCarlo!$B$7*SQRT(MonteCarlo!$B$8)),TRUE)-$A31*EXP(-MonteCarlo!$B$9*MonteCarlo!$B$8)*_xlfn.NORM.S.DIST(((LN(P$1/$A31)+(MonteCarlo!$B$9+(MonteCarlo!$B$7^2)/2)*MonteCarlo!$B$8)/(MonteCarlo!$B$7*SQRT(MonteCarlo!$B$8)))-(MonteCarlo!$B$7*SQRT(MonteCarlo!$B$8)),TRUE),$A31*EXP(-MonteCarlo!$B$9*MonteCarlo!$B$8)*_xlfn.NORM.S.DIST(-(((LN(P$1/$A31)+(MonteCarlo!$B$9+(MonteCarlo!$B$7^2)/2)*MonteCarlo!$B$8)/(MonteCarlo!$B$7*SQRT(MonteCarlo!$B$8)))-(MonteCarlo!$B$7*SQRT(MonteCarlo!$B$8))),TRUE)-P$1*_xlfn.NORM.S.DIST(-((LN(P$1/$A31)+(MonteCarlo!$B$9+(MonteCarlo!$B$7^2)/2)*MonteCarlo!$B$8)/(MonteCarlo!$B$7*SQRT(MonteCarlo!$B$8))),TRUE)),"")</f>
        <v/>
      </c>
      <c r="Q31" t="str">
        <f ca="1">IFERROR(IF(OR(MonteCarlo!$B$4="C",MonteCarlo!$B$4="c"),Q$1*_xlfn.NORM.S.DIST((LN(Q$1/$A31)+(MonteCarlo!$B$9+(MonteCarlo!$B$7^2)/2)*MonteCarlo!$B$8)/(MonteCarlo!$B$7*SQRT(MonteCarlo!$B$8)),TRUE)-$A31*EXP(-MonteCarlo!$B$9*MonteCarlo!$B$8)*_xlfn.NORM.S.DIST(((LN(Q$1/$A31)+(MonteCarlo!$B$9+(MonteCarlo!$B$7^2)/2)*MonteCarlo!$B$8)/(MonteCarlo!$B$7*SQRT(MonteCarlo!$B$8)))-(MonteCarlo!$B$7*SQRT(MonteCarlo!$B$8)),TRUE),$A31*EXP(-MonteCarlo!$B$9*MonteCarlo!$B$8)*_xlfn.NORM.S.DIST(-(((LN(Q$1/$A31)+(MonteCarlo!$B$9+(MonteCarlo!$B$7^2)/2)*MonteCarlo!$B$8)/(MonteCarlo!$B$7*SQRT(MonteCarlo!$B$8)))-(MonteCarlo!$B$7*SQRT(MonteCarlo!$B$8))),TRUE)-Q$1*_xlfn.NORM.S.DIST(-((LN(Q$1/$A31)+(MonteCarlo!$B$9+(MonteCarlo!$B$7^2)/2)*MonteCarlo!$B$8)/(MonteCarlo!$B$7*SQRT(MonteCarlo!$B$8))),TRUE)),"")</f>
        <v/>
      </c>
      <c r="R31" t="str">
        <f ca="1">IFERROR(IF(OR(MonteCarlo!$B$4="C",MonteCarlo!$B$4="c"),R$1*_xlfn.NORM.S.DIST((LN(R$1/$A31)+(MonteCarlo!$B$9+(MonteCarlo!$B$7^2)/2)*MonteCarlo!$B$8)/(MonteCarlo!$B$7*SQRT(MonteCarlo!$B$8)),TRUE)-$A31*EXP(-MonteCarlo!$B$9*MonteCarlo!$B$8)*_xlfn.NORM.S.DIST(((LN(R$1/$A31)+(MonteCarlo!$B$9+(MonteCarlo!$B$7^2)/2)*MonteCarlo!$B$8)/(MonteCarlo!$B$7*SQRT(MonteCarlo!$B$8)))-(MonteCarlo!$B$7*SQRT(MonteCarlo!$B$8)),TRUE),$A31*EXP(-MonteCarlo!$B$9*MonteCarlo!$B$8)*_xlfn.NORM.S.DIST(-(((LN(R$1/$A31)+(MonteCarlo!$B$9+(MonteCarlo!$B$7^2)/2)*MonteCarlo!$B$8)/(MonteCarlo!$B$7*SQRT(MonteCarlo!$B$8)))-(MonteCarlo!$B$7*SQRT(MonteCarlo!$B$8))),TRUE)-R$1*_xlfn.NORM.S.DIST(-((LN(R$1/$A31)+(MonteCarlo!$B$9+(MonteCarlo!$B$7^2)/2)*MonteCarlo!$B$8)/(MonteCarlo!$B$7*SQRT(MonteCarlo!$B$8))),TRUE)),"")</f>
        <v/>
      </c>
      <c r="S31" t="str">
        <f ca="1">IFERROR(IF(OR(MonteCarlo!$B$4="C",MonteCarlo!$B$4="c"),S$1*_xlfn.NORM.S.DIST((LN(S$1/$A31)+(MonteCarlo!$B$9+(MonteCarlo!$B$7^2)/2)*MonteCarlo!$B$8)/(MonteCarlo!$B$7*SQRT(MonteCarlo!$B$8)),TRUE)-$A31*EXP(-MonteCarlo!$B$9*MonteCarlo!$B$8)*_xlfn.NORM.S.DIST(((LN(S$1/$A31)+(MonteCarlo!$B$9+(MonteCarlo!$B$7^2)/2)*MonteCarlo!$B$8)/(MonteCarlo!$B$7*SQRT(MonteCarlo!$B$8)))-(MonteCarlo!$B$7*SQRT(MonteCarlo!$B$8)),TRUE),$A31*EXP(-MonteCarlo!$B$9*MonteCarlo!$B$8)*_xlfn.NORM.S.DIST(-(((LN(S$1/$A31)+(MonteCarlo!$B$9+(MonteCarlo!$B$7^2)/2)*MonteCarlo!$B$8)/(MonteCarlo!$B$7*SQRT(MonteCarlo!$B$8)))-(MonteCarlo!$B$7*SQRT(MonteCarlo!$B$8))),TRUE)-S$1*_xlfn.NORM.S.DIST(-((LN(S$1/$A31)+(MonteCarlo!$B$9+(MonteCarlo!$B$7^2)/2)*MonteCarlo!$B$8)/(MonteCarlo!$B$7*SQRT(MonteCarlo!$B$8))),TRUE)),"")</f>
        <v/>
      </c>
      <c r="T31" t="str">
        <f ca="1">IFERROR(IF(OR(MonteCarlo!$B$4="C",MonteCarlo!$B$4="c"),T$1*_xlfn.NORM.S.DIST((LN(T$1/$A31)+(MonteCarlo!$B$9+(MonteCarlo!$B$7^2)/2)*MonteCarlo!$B$8)/(MonteCarlo!$B$7*SQRT(MonteCarlo!$B$8)),TRUE)-$A31*EXP(-MonteCarlo!$B$9*MonteCarlo!$B$8)*_xlfn.NORM.S.DIST(((LN(T$1/$A31)+(MonteCarlo!$B$9+(MonteCarlo!$B$7^2)/2)*MonteCarlo!$B$8)/(MonteCarlo!$B$7*SQRT(MonteCarlo!$B$8)))-(MonteCarlo!$B$7*SQRT(MonteCarlo!$B$8)),TRUE),$A31*EXP(-MonteCarlo!$B$9*MonteCarlo!$B$8)*_xlfn.NORM.S.DIST(-(((LN(T$1/$A31)+(MonteCarlo!$B$9+(MonteCarlo!$B$7^2)/2)*MonteCarlo!$B$8)/(MonteCarlo!$B$7*SQRT(MonteCarlo!$B$8)))-(MonteCarlo!$B$7*SQRT(MonteCarlo!$B$8))),TRUE)-T$1*_xlfn.NORM.S.DIST(-((LN(T$1/$A31)+(MonteCarlo!$B$9+(MonteCarlo!$B$7^2)/2)*MonteCarlo!$B$8)/(MonteCarlo!$B$7*SQRT(MonteCarlo!$B$8))),TRUE)),"")</f>
        <v/>
      </c>
      <c r="U31" t="str">
        <f ca="1">IFERROR(IF(OR(MonteCarlo!$B$4="C",MonteCarlo!$B$4="c"),U$1*_xlfn.NORM.S.DIST((LN(U$1/$A31)+(MonteCarlo!$B$9+(MonteCarlo!$B$7^2)/2)*MonteCarlo!$B$8)/(MonteCarlo!$B$7*SQRT(MonteCarlo!$B$8)),TRUE)-$A31*EXP(-MonteCarlo!$B$9*MonteCarlo!$B$8)*_xlfn.NORM.S.DIST(((LN(U$1/$A31)+(MonteCarlo!$B$9+(MonteCarlo!$B$7^2)/2)*MonteCarlo!$B$8)/(MonteCarlo!$B$7*SQRT(MonteCarlo!$B$8)))-(MonteCarlo!$B$7*SQRT(MonteCarlo!$B$8)),TRUE),$A31*EXP(-MonteCarlo!$B$9*MonteCarlo!$B$8)*_xlfn.NORM.S.DIST(-(((LN(U$1/$A31)+(MonteCarlo!$B$9+(MonteCarlo!$B$7^2)/2)*MonteCarlo!$B$8)/(MonteCarlo!$B$7*SQRT(MonteCarlo!$B$8)))-(MonteCarlo!$B$7*SQRT(MonteCarlo!$B$8))),TRUE)-U$1*_xlfn.NORM.S.DIST(-((LN(U$1/$A31)+(MonteCarlo!$B$9+(MonteCarlo!$B$7^2)/2)*MonteCarlo!$B$8)/(MonteCarlo!$B$7*SQRT(MonteCarlo!$B$8))),TRUE)),"")</f>
        <v/>
      </c>
      <c r="V31" t="str">
        <f ca="1">IFERROR(IF(OR(MonteCarlo!$B$4="C",MonteCarlo!$B$4="c"),V$1*_xlfn.NORM.S.DIST((LN(V$1/$A31)+(MonteCarlo!$B$9+(MonteCarlo!$B$7^2)/2)*MonteCarlo!$B$8)/(MonteCarlo!$B$7*SQRT(MonteCarlo!$B$8)),TRUE)-$A31*EXP(-MonteCarlo!$B$9*MonteCarlo!$B$8)*_xlfn.NORM.S.DIST(((LN(V$1/$A31)+(MonteCarlo!$B$9+(MonteCarlo!$B$7^2)/2)*MonteCarlo!$B$8)/(MonteCarlo!$B$7*SQRT(MonteCarlo!$B$8)))-(MonteCarlo!$B$7*SQRT(MonteCarlo!$B$8)),TRUE),$A31*EXP(-MonteCarlo!$B$9*MonteCarlo!$B$8)*_xlfn.NORM.S.DIST(-(((LN(V$1/$A31)+(MonteCarlo!$B$9+(MonteCarlo!$B$7^2)/2)*MonteCarlo!$B$8)/(MonteCarlo!$B$7*SQRT(MonteCarlo!$B$8)))-(MonteCarlo!$B$7*SQRT(MonteCarlo!$B$8))),TRUE)-V$1*_xlfn.NORM.S.DIST(-((LN(V$1/$A31)+(MonteCarlo!$B$9+(MonteCarlo!$B$7^2)/2)*MonteCarlo!$B$8)/(MonteCarlo!$B$7*SQRT(MonteCarlo!$B$8))),TRUE)),"")</f>
        <v/>
      </c>
      <c r="W31" t="str">
        <f ca="1">IFERROR(IF(OR(MonteCarlo!$B$4="C",MonteCarlo!$B$4="c"),W$1*_xlfn.NORM.S.DIST((LN(W$1/$A31)+(MonteCarlo!$B$9+(MonteCarlo!$B$7^2)/2)*MonteCarlo!$B$8)/(MonteCarlo!$B$7*SQRT(MonteCarlo!$B$8)),TRUE)-$A31*EXP(-MonteCarlo!$B$9*MonteCarlo!$B$8)*_xlfn.NORM.S.DIST(((LN(W$1/$A31)+(MonteCarlo!$B$9+(MonteCarlo!$B$7^2)/2)*MonteCarlo!$B$8)/(MonteCarlo!$B$7*SQRT(MonteCarlo!$B$8)))-(MonteCarlo!$B$7*SQRT(MonteCarlo!$B$8)),TRUE),$A31*EXP(-MonteCarlo!$B$9*MonteCarlo!$B$8)*_xlfn.NORM.S.DIST(-(((LN(W$1/$A31)+(MonteCarlo!$B$9+(MonteCarlo!$B$7^2)/2)*MonteCarlo!$B$8)/(MonteCarlo!$B$7*SQRT(MonteCarlo!$B$8)))-(MonteCarlo!$B$7*SQRT(MonteCarlo!$B$8))),TRUE)-W$1*_xlfn.NORM.S.DIST(-((LN(W$1/$A31)+(MonteCarlo!$B$9+(MonteCarlo!$B$7^2)/2)*MonteCarlo!$B$8)/(MonteCarlo!$B$7*SQRT(MonteCarlo!$B$8))),TRUE)),"")</f>
        <v/>
      </c>
      <c r="X31" t="str">
        <f ca="1">IFERROR(IF(OR(MonteCarlo!$B$4="C",MonteCarlo!$B$4="c"),X$1*_xlfn.NORM.S.DIST((LN(X$1/$A31)+(MonteCarlo!$B$9+(MonteCarlo!$B$7^2)/2)*MonteCarlo!$B$8)/(MonteCarlo!$B$7*SQRT(MonteCarlo!$B$8)),TRUE)-$A31*EXP(-MonteCarlo!$B$9*MonteCarlo!$B$8)*_xlfn.NORM.S.DIST(((LN(X$1/$A31)+(MonteCarlo!$B$9+(MonteCarlo!$B$7^2)/2)*MonteCarlo!$B$8)/(MonteCarlo!$B$7*SQRT(MonteCarlo!$B$8)))-(MonteCarlo!$B$7*SQRT(MonteCarlo!$B$8)),TRUE),$A31*EXP(-MonteCarlo!$B$9*MonteCarlo!$B$8)*_xlfn.NORM.S.DIST(-(((LN(X$1/$A31)+(MonteCarlo!$B$9+(MonteCarlo!$B$7^2)/2)*MonteCarlo!$B$8)/(MonteCarlo!$B$7*SQRT(MonteCarlo!$B$8)))-(MonteCarlo!$B$7*SQRT(MonteCarlo!$B$8))),TRUE)-X$1*_xlfn.NORM.S.DIST(-((LN(X$1/$A31)+(MonteCarlo!$B$9+(MonteCarlo!$B$7^2)/2)*MonteCarlo!$B$8)/(MonteCarlo!$B$7*SQRT(MonteCarlo!$B$8))),TRUE)),"")</f>
        <v/>
      </c>
      <c r="Y31" t="str">
        <f ca="1">IFERROR(IF(OR(MonteCarlo!$B$4="C",MonteCarlo!$B$4="c"),Y$1*_xlfn.NORM.S.DIST((LN(Y$1/$A31)+(MonteCarlo!$B$9+(MonteCarlo!$B$7^2)/2)*MonteCarlo!$B$8)/(MonteCarlo!$B$7*SQRT(MonteCarlo!$B$8)),TRUE)-$A31*EXP(-MonteCarlo!$B$9*MonteCarlo!$B$8)*_xlfn.NORM.S.DIST(((LN(Y$1/$A31)+(MonteCarlo!$B$9+(MonteCarlo!$B$7^2)/2)*MonteCarlo!$B$8)/(MonteCarlo!$B$7*SQRT(MonteCarlo!$B$8)))-(MonteCarlo!$B$7*SQRT(MonteCarlo!$B$8)),TRUE),$A31*EXP(-MonteCarlo!$B$9*MonteCarlo!$B$8)*_xlfn.NORM.S.DIST(-(((LN(Y$1/$A31)+(MonteCarlo!$B$9+(MonteCarlo!$B$7^2)/2)*MonteCarlo!$B$8)/(MonteCarlo!$B$7*SQRT(MonteCarlo!$B$8)))-(MonteCarlo!$B$7*SQRT(MonteCarlo!$B$8))),TRUE)-Y$1*_xlfn.NORM.S.DIST(-((LN(Y$1/$A31)+(MonteCarlo!$B$9+(MonteCarlo!$B$7^2)/2)*MonteCarlo!$B$8)/(MonteCarlo!$B$7*SQRT(MonteCarlo!$B$8))),TRUE)),"")</f>
        <v/>
      </c>
      <c r="Z31" t="str">
        <f ca="1">IFERROR(IF(OR(MonteCarlo!$B$4="C",MonteCarlo!$B$4="c"),Z$1*_xlfn.NORM.S.DIST((LN(Z$1/$A31)+(MonteCarlo!$B$9+(MonteCarlo!$B$7^2)/2)*MonteCarlo!$B$8)/(MonteCarlo!$B$7*SQRT(MonteCarlo!$B$8)),TRUE)-$A31*EXP(-MonteCarlo!$B$9*MonteCarlo!$B$8)*_xlfn.NORM.S.DIST(((LN(Z$1/$A31)+(MonteCarlo!$B$9+(MonteCarlo!$B$7^2)/2)*MonteCarlo!$B$8)/(MonteCarlo!$B$7*SQRT(MonteCarlo!$B$8)))-(MonteCarlo!$B$7*SQRT(MonteCarlo!$B$8)),TRUE),$A31*EXP(-MonteCarlo!$B$9*MonteCarlo!$B$8)*_xlfn.NORM.S.DIST(-(((LN(Z$1/$A31)+(MonteCarlo!$B$9+(MonteCarlo!$B$7^2)/2)*MonteCarlo!$B$8)/(MonteCarlo!$B$7*SQRT(MonteCarlo!$B$8)))-(MonteCarlo!$B$7*SQRT(MonteCarlo!$B$8))),TRUE)-Z$1*_xlfn.NORM.S.DIST(-((LN(Z$1/$A31)+(MonteCarlo!$B$9+(MonteCarlo!$B$7^2)/2)*MonteCarlo!$B$8)/(MonteCarlo!$B$7*SQRT(MonteCarlo!$B$8))),TRUE)),"")</f>
        <v/>
      </c>
      <c r="AA31" t="str">
        <f ca="1">IFERROR(IF(OR(MonteCarlo!$B$4="C",MonteCarlo!$B$4="c"),AA$1*_xlfn.NORM.S.DIST((LN(AA$1/$A31)+(MonteCarlo!$B$9+(MonteCarlo!$B$7^2)/2)*MonteCarlo!$B$8)/(MonteCarlo!$B$7*SQRT(MonteCarlo!$B$8)),TRUE)-$A31*EXP(-MonteCarlo!$B$9*MonteCarlo!$B$8)*_xlfn.NORM.S.DIST(((LN(AA$1/$A31)+(MonteCarlo!$B$9+(MonteCarlo!$B$7^2)/2)*MonteCarlo!$B$8)/(MonteCarlo!$B$7*SQRT(MonteCarlo!$B$8)))-(MonteCarlo!$B$7*SQRT(MonteCarlo!$B$8)),TRUE),$A31*EXP(-MonteCarlo!$B$9*MonteCarlo!$B$8)*_xlfn.NORM.S.DIST(-(((LN(AA$1/$A31)+(MonteCarlo!$B$9+(MonteCarlo!$B$7^2)/2)*MonteCarlo!$B$8)/(MonteCarlo!$B$7*SQRT(MonteCarlo!$B$8)))-(MonteCarlo!$B$7*SQRT(MonteCarlo!$B$8))),TRUE)-AA$1*_xlfn.NORM.S.DIST(-((LN(AA$1/$A31)+(MonteCarlo!$B$9+(MonteCarlo!$B$7^2)/2)*MonteCarlo!$B$8)/(MonteCarlo!$B$7*SQRT(MonteCarlo!$B$8))),TRUE)),"")</f>
        <v/>
      </c>
      <c r="AB31" t="str">
        <f ca="1">IFERROR(IF(OR(MonteCarlo!$B$4="C",MonteCarlo!$B$4="c"),AB$1*_xlfn.NORM.S.DIST((LN(AB$1/$A31)+(MonteCarlo!$B$9+(MonteCarlo!$B$7^2)/2)*MonteCarlo!$B$8)/(MonteCarlo!$B$7*SQRT(MonteCarlo!$B$8)),TRUE)-$A31*EXP(-MonteCarlo!$B$9*MonteCarlo!$B$8)*_xlfn.NORM.S.DIST(((LN(AB$1/$A31)+(MonteCarlo!$B$9+(MonteCarlo!$B$7^2)/2)*MonteCarlo!$B$8)/(MonteCarlo!$B$7*SQRT(MonteCarlo!$B$8)))-(MonteCarlo!$B$7*SQRT(MonteCarlo!$B$8)),TRUE),$A31*EXP(-MonteCarlo!$B$9*MonteCarlo!$B$8)*_xlfn.NORM.S.DIST(-(((LN(AB$1/$A31)+(MonteCarlo!$B$9+(MonteCarlo!$B$7^2)/2)*MonteCarlo!$B$8)/(MonteCarlo!$B$7*SQRT(MonteCarlo!$B$8)))-(MonteCarlo!$B$7*SQRT(MonteCarlo!$B$8))),TRUE)-AB$1*_xlfn.NORM.S.DIST(-((LN(AB$1/$A31)+(MonteCarlo!$B$9+(MonteCarlo!$B$7^2)/2)*MonteCarlo!$B$8)/(MonteCarlo!$B$7*SQRT(MonteCarlo!$B$8))),TRUE)),"")</f>
        <v/>
      </c>
      <c r="AC31" t="str">
        <f ca="1">IFERROR(IF(OR(MonteCarlo!$B$4="C",MonteCarlo!$B$4="c"),AC$1*_xlfn.NORM.S.DIST((LN(AC$1/$A31)+(MonteCarlo!$B$9+(MonteCarlo!$B$7^2)/2)*MonteCarlo!$B$8)/(MonteCarlo!$B$7*SQRT(MonteCarlo!$B$8)),TRUE)-$A31*EXP(-MonteCarlo!$B$9*MonteCarlo!$B$8)*_xlfn.NORM.S.DIST(((LN(AC$1/$A31)+(MonteCarlo!$B$9+(MonteCarlo!$B$7^2)/2)*MonteCarlo!$B$8)/(MonteCarlo!$B$7*SQRT(MonteCarlo!$B$8)))-(MonteCarlo!$B$7*SQRT(MonteCarlo!$B$8)),TRUE),$A31*EXP(-MonteCarlo!$B$9*MonteCarlo!$B$8)*_xlfn.NORM.S.DIST(-(((LN(AC$1/$A31)+(MonteCarlo!$B$9+(MonteCarlo!$B$7^2)/2)*MonteCarlo!$B$8)/(MonteCarlo!$B$7*SQRT(MonteCarlo!$B$8)))-(MonteCarlo!$B$7*SQRT(MonteCarlo!$B$8))),TRUE)-AC$1*_xlfn.NORM.S.DIST(-((LN(AC$1/$A31)+(MonteCarlo!$B$9+(MonteCarlo!$B$7^2)/2)*MonteCarlo!$B$8)/(MonteCarlo!$B$7*SQRT(MonteCarlo!$B$8))),TRUE)),"")</f>
        <v/>
      </c>
      <c r="AD31" t="str">
        <f ca="1">IFERROR(IF(OR(MonteCarlo!$B$4="C",MonteCarlo!$B$4="c"),AD$1*_xlfn.NORM.S.DIST((LN(AD$1/$A31)+(MonteCarlo!$B$9+(MonteCarlo!$B$7^2)/2)*MonteCarlo!$B$8)/(MonteCarlo!$B$7*SQRT(MonteCarlo!$B$8)),TRUE)-$A31*EXP(-MonteCarlo!$B$9*MonteCarlo!$B$8)*_xlfn.NORM.S.DIST(((LN(AD$1/$A31)+(MonteCarlo!$B$9+(MonteCarlo!$B$7^2)/2)*MonteCarlo!$B$8)/(MonteCarlo!$B$7*SQRT(MonteCarlo!$B$8)))-(MonteCarlo!$B$7*SQRT(MonteCarlo!$B$8)),TRUE),$A31*EXP(-MonteCarlo!$B$9*MonteCarlo!$B$8)*_xlfn.NORM.S.DIST(-(((LN(AD$1/$A31)+(MonteCarlo!$B$9+(MonteCarlo!$B$7^2)/2)*MonteCarlo!$B$8)/(MonteCarlo!$B$7*SQRT(MonteCarlo!$B$8)))-(MonteCarlo!$B$7*SQRT(MonteCarlo!$B$8))),TRUE)-AD$1*_xlfn.NORM.S.DIST(-((LN(AD$1/$A31)+(MonteCarlo!$B$9+(MonteCarlo!$B$7^2)/2)*MonteCarlo!$B$8)/(MonteCarlo!$B$7*SQRT(MonteCarlo!$B$8))),TRUE)),"")</f>
        <v/>
      </c>
      <c r="AE31" t="str">
        <f ca="1">IFERROR(IF(OR(MonteCarlo!$B$4="C",MonteCarlo!$B$4="c"),AE$1*_xlfn.NORM.S.DIST((LN(AE$1/$A31)+(MonteCarlo!$B$9+(MonteCarlo!$B$7^2)/2)*MonteCarlo!$B$8)/(MonteCarlo!$B$7*SQRT(MonteCarlo!$B$8)),TRUE)-$A31*EXP(-MonteCarlo!$B$9*MonteCarlo!$B$8)*_xlfn.NORM.S.DIST(((LN(AE$1/$A31)+(MonteCarlo!$B$9+(MonteCarlo!$B$7^2)/2)*MonteCarlo!$B$8)/(MonteCarlo!$B$7*SQRT(MonteCarlo!$B$8)))-(MonteCarlo!$B$7*SQRT(MonteCarlo!$B$8)),TRUE),$A31*EXP(-MonteCarlo!$B$9*MonteCarlo!$B$8)*_xlfn.NORM.S.DIST(-(((LN(AE$1/$A31)+(MonteCarlo!$B$9+(MonteCarlo!$B$7^2)/2)*MonteCarlo!$B$8)/(MonteCarlo!$B$7*SQRT(MonteCarlo!$B$8)))-(MonteCarlo!$B$7*SQRT(MonteCarlo!$B$8))),TRUE)-AE$1*_xlfn.NORM.S.DIST(-((LN(AE$1/$A31)+(MonteCarlo!$B$9+(MonteCarlo!$B$7^2)/2)*MonteCarlo!$B$8)/(MonteCarlo!$B$7*SQRT(MonteCarlo!$B$8))),TRUE)),"")</f>
        <v/>
      </c>
      <c r="AF31" t="str">
        <f ca="1">IFERROR(IF(OR(MonteCarlo!$B$4="C",MonteCarlo!$B$4="c"),AF$1*_xlfn.NORM.S.DIST((LN(AF$1/$A31)+(MonteCarlo!$B$9+(MonteCarlo!$B$7^2)/2)*MonteCarlo!$B$8)/(MonteCarlo!$B$7*SQRT(MonteCarlo!$B$8)),TRUE)-$A31*EXP(-MonteCarlo!$B$9*MonteCarlo!$B$8)*_xlfn.NORM.S.DIST(((LN(AF$1/$A31)+(MonteCarlo!$B$9+(MonteCarlo!$B$7^2)/2)*MonteCarlo!$B$8)/(MonteCarlo!$B$7*SQRT(MonteCarlo!$B$8)))-(MonteCarlo!$B$7*SQRT(MonteCarlo!$B$8)),TRUE),$A31*EXP(-MonteCarlo!$B$9*MonteCarlo!$B$8)*_xlfn.NORM.S.DIST(-(((LN(AF$1/$A31)+(MonteCarlo!$B$9+(MonteCarlo!$B$7^2)/2)*MonteCarlo!$B$8)/(MonteCarlo!$B$7*SQRT(MonteCarlo!$B$8)))-(MonteCarlo!$B$7*SQRT(MonteCarlo!$B$8))),TRUE)-AF$1*_xlfn.NORM.S.DIST(-((LN(AF$1/$A31)+(MonteCarlo!$B$9+(MonteCarlo!$B$7^2)/2)*MonteCarlo!$B$8)/(MonteCarlo!$B$7*SQRT(MonteCarlo!$B$8))),TRUE)),"")</f>
        <v/>
      </c>
    </row>
    <row r="32" spans="2:32" x14ac:dyDescent="0.25">
      <c r="B32" t="str">
        <f ca="1">IFERROR(IF(OR(MonteCarlo!$B$4="C",MonteCarlo!$B$4="c"),B$1*_xlfn.NORM.S.DIST((LN(B$1/$A32)+(MonteCarlo!$B$9+(MonteCarlo!$B$7^2)/2)*MonteCarlo!$B$8)/(MonteCarlo!$B$7*SQRT(MonteCarlo!$B$8)),TRUE)-$A32*EXP(-MonteCarlo!$B$9*MonteCarlo!$B$8)*_xlfn.NORM.S.DIST(((LN(B$1/$A32)+(MonteCarlo!$B$9+(MonteCarlo!$B$7^2)/2)*MonteCarlo!$B$8)/(MonteCarlo!$B$7*SQRT(MonteCarlo!$B$8)))-(MonteCarlo!$B$7*SQRT(MonteCarlo!$B$8)),TRUE),$A32*EXP(-MonteCarlo!$B$9*MonteCarlo!$B$8)*_xlfn.NORM.S.DIST(-(((LN(B$1/$A32)+(MonteCarlo!$B$9+(MonteCarlo!$B$7^2)/2)*MonteCarlo!$B$8)/(MonteCarlo!$B$7*SQRT(MonteCarlo!$B$8)))-(MonteCarlo!$B$7*SQRT(MonteCarlo!$B$8))),TRUE)-B$1*_xlfn.NORM.S.DIST(-((LN(B$1/$A32)+(MonteCarlo!$B$9+(MonteCarlo!$B$7^2)/2)*MonteCarlo!$B$8)/(MonteCarlo!$B$7*SQRT(MonteCarlo!$B$8))),TRUE)),"")</f>
        <v/>
      </c>
      <c r="C32" t="str">
        <f ca="1">IFERROR(IF(OR(MonteCarlo!$B$4="C",MonteCarlo!$B$4="c"),C$1*_xlfn.NORM.S.DIST((LN(C$1/$A32)+(MonteCarlo!$B$9+(MonteCarlo!$B$7^2)/2)*MonteCarlo!$B$8)/(MonteCarlo!$B$7*SQRT(MonteCarlo!$B$8)),TRUE)-$A32*EXP(-MonteCarlo!$B$9*MonteCarlo!$B$8)*_xlfn.NORM.S.DIST(((LN(C$1/$A32)+(MonteCarlo!$B$9+(MonteCarlo!$B$7^2)/2)*MonteCarlo!$B$8)/(MonteCarlo!$B$7*SQRT(MonteCarlo!$B$8)))-(MonteCarlo!$B$7*SQRT(MonteCarlo!$B$8)),TRUE),$A32*EXP(-MonteCarlo!$B$9*MonteCarlo!$B$8)*_xlfn.NORM.S.DIST(-(((LN(C$1/$A32)+(MonteCarlo!$B$9+(MonteCarlo!$B$7^2)/2)*MonteCarlo!$B$8)/(MonteCarlo!$B$7*SQRT(MonteCarlo!$B$8)))-(MonteCarlo!$B$7*SQRT(MonteCarlo!$B$8))),TRUE)-C$1*_xlfn.NORM.S.DIST(-((LN(C$1/$A32)+(MonteCarlo!$B$9+(MonteCarlo!$B$7^2)/2)*MonteCarlo!$B$8)/(MonteCarlo!$B$7*SQRT(MonteCarlo!$B$8))),TRUE)),"")</f>
        <v/>
      </c>
      <c r="D32" t="str">
        <f ca="1">IFERROR(IF(OR(MonteCarlo!$B$4="C",MonteCarlo!$B$4="c"),D$1*_xlfn.NORM.S.DIST((LN(D$1/$A32)+(MonteCarlo!$B$9+(MonteCarlo!$B$7^2)/2)*MonteCarlo!$B$8)/(MonteCarlo!$B$7*SQRT(MonteCarlo!$B$8)),TRUE)-$A32*EXP(-MonteCarlo!$B$9*MonteCarlo!$B$8)*_xlfn.NORM.S.DIST(((LN(D$1/$A32)+(MonteCarlo!$B$9+(MonteCarlo!$B$7^2)/2)*MonteCarlo!$B$8)/(MonteCarlo!$B$7*SQRT(MonteCarlo!$B$8)))-(MonteCarlo!$B$7*SQRT(MonteCarlo!$B$8)),TRUE),$A32*EXP(-MonteCarlo!$B$9*MonteCarlo!$B$8)*_xlfn.NORM.S.DIST(-(((LN(D$1/$A32)+(MonteCarlo!$B$9+(MonteCarlo!$B$7^2)/2)*MonteCarlo!$B$8)/(MonteCarlo!$B$7*SQRT(MonteCarlo!$B$8)))-(MonteCarlo!$B$7*SQRT(MonteCarlo!$B$8))),TRUE)-D$1*_xlfn.NORM.S.DIST(-((LN(D$1/$A32)+(MonteCarlo!$B$9+(MonteCarlo!$B$7^2)/2)*MonteCarlo!$B$8)/(MonteCarlo!$B$7*SQRT(MonteCarlo!$B$8))),TRUE)),"")</f>
        <v/>
      </c>
      <c r="E32" t="str">
        <f ca="1">IFERROR(IF(OR(MonteCarlo!$B$4="C",MonteCarlo!$B$4="c"),E$1*_xlfn.NORM.S.DIST((LN(E$1/$A32)+(MonteCarlo!$B$9+(MonteCarlo!$B$7^2)/2)*MonteCarlo!$B$8)/(MonteCarlo!$B$7*SQRT(MonteCarlo!$B$8)),TRUE)-$A32*EXP(-MonteCarlo!$B$9*MonteCarlo!$B$8)*_xlfn.NORM.S.DIST(((LN(E$1/$A32)+(MonteCarlo!$B$9+(MonteCarlo!$B$7^2)/2)*MonteCarlo!$B$8)/(MonteCarlo!$B$7*SQRT(MonteCarlo!$B$8)))-(MonteCarlo!$B$7*SQRT(MonteCarlo!$B$8)),TRUE),$A32*EXP(-MonteCarlo!$B$9*MonteCarlo!$B$8)*_xlfn.NORM.S.DIST(-(((LN(E$1/$A32)+(MonteCarlo!$B$9+(MonteCarlo!$B$7^2)/2)*MonteCarlo!$B$8)/(MonteCarlo!$B$7*SQRT(MonteCarlo!$B$8)))-(MonteCarlo!$B$7*SQRT(MonteCarlo!$B$8))),TRUE)-E$1*_xlfn.NORM.S.DIST(-((LN(E$1/$A32)+(MonteCarlo!$B$9+(MonteCarlo!$B$7^2)/2)*MonteCarlo!$B$8)/(MonteCarlo!$B$7*SQRT(MonteCarlo!$B$8))),TRUE)),"")</f>
        <v/>
      </c>
      <c r="F32" t="str">
        <f ca="1">IFERROR(IF(OR(MonteCarlo!$B$4="C",MonteCarlo!$B$4="c"),F$1*_xlfn.NORM.S.DIST((LN(F$1/$A32)+(MonteCarlo!$B$9+(MonteCarlo!$B$7^2)/2)*MonteCarlo!$B$8)/(MonteCarlo!$B$7*SQRT(MonteCarlo!$B$8)),TRUE)-$A32*EXP(-MonteCarlo!$B$9*MonteCarlo!$B$8)*_xlfn.NORM.S.DIST(((LN(F$1/$A32)+(MonteCarlo!$B$9+(MonteCarlo!$B$7^2)/2)*MonteCarlo!$B$8)/(MonteCarlo!$B$7*SQRT(MonteCarlo!$B$8)))-(MonteCarlo!$B$7*SQRT(MonteCarlo!$B$8)),TRUE),$A32*EXP(-MonteCarlo!$B$9*MonteCarlo!$B$8)*_xlfn.NORM.S.DIST(-(((LN(F$1/$A32)+(MonteCarlo!$B$9+(MonteCarlo!$B$7^2)/2)*MonteCarlo!$B$8)/(MonteCarlo!$B$7*SQRT(MonteCarlo!$B$8)))-(MonteCarlo!$B$7*SQRT(MonteCarlo!$B$8))),TRUE)-F$1*_xlfn.NORM.S.DIST(-((LN(F$1/$A32)+(MonteCarlo!$B$9+(MonteCarlo!$B$7^2)/2)*MonteCarlo!$B$8)/(MonteCarlo!$B$7*SQRT(MonteCarlo!$B$8))),TRUE)),"")</f>
        <v/>
      </c>
      <c r="G32" t="str">
        <f ca="1">IFERROR(IF(OR(MonteCarlo!$B$4="C",MonteCarlo!$B$4="c"),G$1*_xlfn.NORM.S.DIST((LN(G$1/$A32)+(MonteCarlo!$B$9+(MonteCarlo!$B$7^2)/2)*MonteCarlo!$B$8)/(MonteCarlo!$B$7*SQRT(MonteCarlo!$B$8)),TRUE)-$A32*EXP(-MonteCarlo!$B$9*MonteCarlo!$B$8)*_xlfn.NORM.S.DIST(((LN(G$1/$A32)+(MonteCarlo!$B$9+(MonteCarlo!$B$7^2)/2)*MonteCarlo!$B$8)/(MonteCarlo!$B$7*SQRT(MonteCarlo!$B$8)))-(MonteCarlo!$B$7*SQRT(MonteCarlo!$B$8)),TRUE),$A32*EXP(-MonteCarlo!$B$9*MonteCarlo!$B$8)*_xlfn.NORM.S.DIST(-(((LN(G$1/$A32)+(MonteCarlo!$B$9+(MonteCarlo!$B$7^2)/2)*MonteCarlo!$B$8)/(MonteCarlo!$B$7*SQRT(MonteCarlo!$B$8)))-(MonteCarlo!$B$7*SQRT(MonteCarlo!$B$8))),TRUE)-G$1*_xlfn.NORM.S.DIST(-((LN(G$1/$A32)+(MonteCarlo!$B$9+(MonteCarlo!$B$7^2)/2)*MonteCarlo!$B$8)/(MonteCarlo!$B$7*SQRT(MonteCarlo!$B$8))),TRUE)),"")</f>
        <v/>
      </c>
      <c r="H32" t="str">
        <f ca="1">IFERROR(IF(OR(MonteCarlo!$B$4="C",MonteCarlo!$B$4="c"),H$1*_xlfn.NORM.S.DIST((LN(H$1/$A32)+(MonteCarlo!$B$9+(MonteCarlo!$B$7^2)/2)*MonteCarlo!$B$8)/(MonteCarlo!$B$7*SQRT(MonteCarlo!$B$8)),TRUE)-$A32*EXP(-MonteCarlo!$B$9*MonteCarlo!$B$8)*_xlfn.NORM.S.DIST(((LN(H$1/$A32)+(MonteCarlo!$B$9+(MonteCarlo!$B$7^2)/2)*MonteCarlo!$B$8)/(MonteCarlo!$B$7*SQRT(MonteCarlo!$B$8)))-(MonteCarlo!$B$7*SQRT(MonteCarlo!$B$8)),TRUE),$A32*EXP(-MonteCarlo!$B$9*MonteCarlo!$B$8)*_xlfn.NORM.S.DIST(-(((LN(H$1/$A32)+(MonteCarlo!$B$9+(MonteCarlo!$B$7^2)/2)*MonteCarlo!$B$8)/(MonteCarlo!$B$7*SQRT(MonteCarlo!$B$8)))-(MonteCarlo!$B$7*SQRT(MonteCarlo!$B$8))),TRUE)-H$1*_xlfn.NORM.S.DIST(-((LN(H$1/$A32)+(MonteCarlo!$B$9+(MonteCarlo!$B$7^2)/2)*MonteCarlo!$B$8)/(MonteCarlo!$B$7*SQRT(MonteCarlo!$B$8))),TRUE)),"")</f>
        <v/>
      </c>
      <c r="I32" t="str">
        <f ca="1">IFERROR(IF(OR(MonteCarlo!$B$4="C",MonteCarlo!$B$4="c"),I$1*_xlfn.NORM.S.DIST((LN(I$1/$A32)+(MonteCarlo!$B$9+(MonteCarlo!$B$7^2)/2)*MonteCarlo!$B$8)/(MonteCarlo!$B$7*SQRT(MonteCarlo!$B$8)),TRUE)-$A32*EXP(-MonteCarlo!$B$9*MonteCarlo!$B$8)*_xlfn.NORM.S.DIST(((LN(I$1/$A32)+(MonteCarlo!$B$9+(MonteCarlo!$B$7^2)/2)*MonteCarlo!$B$8)/(MonteCarlo!$B$7*SQRT(MonteCarlo!$B$8)))-(MonteCarlo!$B$7*SQRT(MonteCarlo!$B$8)),TRUE),$A32*EXP(-MonteCarlo!$B$9*MonteCarlo!$B$8)*_xlfn.NORM.S.DIST(-(((LN(I$1/$A32)+(MonteCarlo!$B$9+(MonteCarlo!$B$7^2)/2)*MonteCarlo!$B$8)/(MonteCarlo!$B$7*SQRT(MonteCarlo!$B$8)))-(MonteCarlo!$B$7*SQRT(MonteCarlo!$B$8))),TRUE)-I$1*_xlfn.NORM.S.DIST(-((LN(I$1/$A32)+(MonteCarlo!$B$9+(MonteCarlo!$B$7^2)/2)*MonteCarlo!$B$8)/(MonteCarlo!$B$7*SQRT(MonteCarlo!$B$8))),TRUE)),"")</f>
        <v/>
      </c>
      <c r="J32" t="str">
        <f ca="1">IFERROR(IF(OR(MonteCarlo!$B$4="C",MonteCarlo!$B$4="c"),J$1*_xlfn.NORM.S.DIST((LN(J$1/$A32)+(MonteCarlo!$B$9+(MonteCarlo!$B$7^2)/2)*MonteCarlo!$B$8)/(MonteCarlo!$B$7*SQRT(MonteCarlo!$B$8)),TRUE)-$A32*EXP(-MonteCarlo!$B$9*MonteCarlo!$B$8)*_xlfn.NORM.S.DIST(((LN(J$1/$A32)+(MonteCarlo!$B$9+(MonteCarlo!$B$7^2)/2)*MonteCarlo!$B$8)/(MonteCarlo!$B$7*SQRT(MonteCarlo!$B$8)))-(MonteCarlo!$B$7*SQRT(MonteCarlo!$B$8)),TRUE),$A32*EXP(-MonteCarlo!$B$9*MonteCarlo!$B$8)*_xlfn.NORM.S.DIST(-(((LN(J$1/$A32)+(MonteCarlo!$B$9+(MonteCarlo!$B$7^2)/2)*MonteCarlo!$B$8)/(MonteCarlo!$B$7*SQRT(MonteCarlo!$B$8)))-(MonteCarlo!$B$7*SQRT(MonteCarlo!$B$8))),TRUE)-J$1*_xlfn.NORM.S.DIST(-((LN(J$1/$A32)+(MonteCarlo!$B$9+(MonteCarlo!$B$7^2)/2)*MonteCarlo!$B$8)/(MonteCarlo!$B$7*SQRT(MonteCarlo!$B$8))),TRUE)),"")</f>
        <v/>
      </c>
      <c r="K32" t="str">
        <f ca="1">IFERROR(IF(OR(MonteCarlo!$B$4="C",MonteCarlo!$B$4="c"),K$1*_xlfn.NORM.S.DIST((LN(K$1/$A32)+(MonteCarlo!$B$9+(MonteCarlo!$B$7^2)/2)*MonteCarlo!$B$8)/(MonteCarlo!$B$7*SQRT(MonteCarlo!$B$8)),TRUE)-$A32*EXP(-MonteCarlo!$B$9*MonteCarlo!$B$8)*_xlfn.NORM.S.DIST(((LN(K$1/$A32)+(MonteCarlo!$B$9+(MonteCarlo!$B$7^2)/2)*MonteCarlo!$B$8)/(MonteCarlo!$B$7*SQRT(MonteCarlo!$B$8)))-(MonteCarlo!$B$7*SQRT(MonteCarlo!$B$8)),TRUE),$A32*EXP(-MonteCarlo!$B$9*MonteCarlo!$B$8)*_xlfn.NORM.S.DIST(-(((LN(K$1/$A32)+(MonteCarlo!$B$9+(MonteCarlo!$B$7^2)/2)*MonteCarlo!$B$8)/(MonteCarlo!$B$7*SQRT(MonteCarlo!$B$8)))-(MonteCarlo!$B$7*SQRT(MonteCarlo!$B$8))),TRUE)-K$1*_xlfn.NORM.S.DIST(-((LN(K$1/$A32)+(MonteCarlo!$B$9+(MonteCarlo!$B$7^2)/2)*MonteCarlo!$B$8)/(MonteCarlo!$B$7*SQRT(MonteCarlo!$B$8))),TRUE)),"")</f>
        <v/>
      </c>
      <c r="L32" t="str">
        <f ca="1">IFERROR(IF(OR(MonteCarlo!$B$4="C",MonteCarlo!$B$4="c"),L$1*_xlfn.NORM.S.DIST((LN(L$1/$A32)+(MonteCarlo!$B$9+(MonteCarlo!$B$7^2)/2)*MonteCarlo!$B$8)/(MonteCarlo!$B$7*SQRT(MonteCarlo!$B$8)),TRUE)-$A32*EXP(-MonteCarlo!$B$9*MonteCarlo!$B$8)*_xlfn.NORM.S.DIST(((LN(L$1/$A32)+(MonteCarlo!$B$9+(MonteCarlo!$B$7^2)/2)*MonteCarlo!$B$8)/(MonteCarlo!$B$7*SQRT(MonteCarlo!$B$8)))-(MonteCarlo!$B$7*SQRT(MonteCarlo!$B$8)),TRUE),$A32*EXP(-MonteCarlo!$B$9*MonteCarlo!$B$8)*_xlfn.NORM.S.DIST(-(((LN(L$1/$A32)+(MonteCarlo!$B$9+(MonteCarlo!$B$7^2)/2)*MonteCarlo!$B$8)/(MonteCarlo!$B$7*SQRT(MonteCarlo!$B$8)))-(MonteCarlo!$B$7*SQRT(MonteCarlo!$B$8))),TRUE)-L$1*_xlfn.NORM.S.DIST(-((LN(L$1/$A32)+(MonteCarlo!$B$9+(MonteCarlo!$B$7^2)/2)*MonteCarlo!$B$8)/(MonteCarlo!$B$7*SQRT(MonteCarlo!$B$8))),TRUE)),"")</f>
        <v/>
      </c>
      <c r="M32" t="str">
        <f ca="1">IFERROR(IF(OR(MonteCarlo!$B$4="C",MonteCarlo!$B$4="c"),M$1*_xlfn.NORM.S.DIST((LN(M$1/$A32)+(MonteCarlo!$B$9+(MonteCarlo!$B$7^2)/2)*MonteCarlo!$B$8)/(MonteCarlo!$B$7*SQRT(MonteCarlo!$B$8)),TRUE)-$A32*EXP(-MonteCarlo!$B$9*MonteCarlo!$B$8)*_xlfn.NORM.S.DIST(((LN(M$1/$A32)+(MonteCarlo!$B$9+(MonteCarlo!$B$7^2)/2)*MonteCarlo!$B$8)/(MonteCarlo!$B$7*SQRT(MonteCarlo!$B$8)))-(MonteCarlo!$B$7*SQRT(MonteCarlo!$B$8)),TRUE),$A32*EXP(-MonteCarlo!$B$9*MonteCarlo!$B$8)*_xlfn.NORM.S.DIST(-(((LN(M$1/$A32)+(MonteCarlo!$B$9+(MonteCarlo!$B$7^2)/2)*MonteCarlo!$B$8)/(MonteCarlo!$B$7*SQRT(MonteCarlo!$B$8)))-(MonteCarlo!$B$7*SQRT(MonteCarlo!$B$8))),TRUE)-M$1*_xlfn.NORM.S.DIST(-((LN(M$1/$A32)+(MonteCarlo!$B$9+(MonteCarlo!$B$7^2)/2)*MonteCarlo!$B$8)/(MonteCarlo!$B$7*SQRT(MonteCarlo!$B$8))),TRUE)),"")</f>
        <v/>
      </c>
      <c r="N32" t="str">
        <f ca="1">IFERROR(IF(OR(MonteCarlo!$B$4="C",MonteCarlo!$B$4="c"),N$1*_xlfn.NORM.S.DIST((LN(N$1/$A32)+(MonteCarlo!$B$9+(MonteCarlo!$B$7^2)/2)*MonteCarlo!$B$8)/(MonteCarlo!$B$7*SQRT(MonteCarlo!$B$8)),TRUE)-$A32*EXP(-MonteCarlo!$B$9*MonteCarlo!$B$8)*_xlfn.NORM.S.DIST(((LN(N$1/$A32)+(MonteCarlo!$B$9+(MonteCarlo!$B$7^2)/2)*MonteCarlo!$B$8)/(MonteCarlo!$B$7*SQRT(MonteCarlo!$B$8)))-(MonteCarlo!$B$7*SQRT(MonteCarlo!$B$8)),TRUE),$A32*EXP(-MonteCarlo!$B$9*MonteCarlo!$B$8)*_xlfn.NORM.S.DIST(-(((LN(N$1/$A32)+(MonteCarlo!$B$9+(MonteCarlo!$B$7^2)/2)*MonteCarlo!$B$8)/(MonteCarlo!$B$7*SQRT(MonteCarlo!$B$8)))-(MonteCarlo!$B$7*SQRT(MonteCarlo!$B$8))),TRUE)-N$1*_xlfn.NORM.S.DIST(-((LN(N$1/$A32)+(MonteCarlo!$B$9+(MonteCarlo!$B$7^2)/2)*MonteCarlo!$B$8)/(MonteCarlo!$B$7*SQRT(MonteCarlo!$B$8))),TRUE)),"")</f>
        <v/>
      </c>
      <c r="O32" t="str">
        <f ca="1">IFERROR(IF(OR(MonteCarlo!$B$4="C",MonteCarlo!$B$4="c"),O$1*_xlfn.NORM.S.DIST((LN(O$1/$A32)+(MonteCarlo!$B$9+(MonteCarlo!$B$7^2)/2)*MonteCarlo!$B$8)/(MonteCarlo!$B$7*SQRT(MonteCarlo!$B$8)),TRUE)-$A32*EXP(-MonteCarlo!$B$9*MonteCarlo!$B$8)*_xlfn.NORM.S.DIST(((LN(O$1/$A32)+(MonteCarlo!$B$9+(MonteCarlo!$B$7^2)/2)*MonteCarlo!$B$8)/(MonteCarlo!$B$7*SQRT(MonteCarlo!$B$8)))-(MonteCarlo!$B$7*SQRT(MonteCarlo!$B$8)),TRUE),$A32*EXP(-MonteCarlo!$B$9*MonteCarlo!$B$8)*_xlfn.NORM.S.DIST(-(((LN(O$1/$A32)+(MonteCarlo!$B$9+(MonteCarlo!$B$7^2)/2)*MonteCarlo!$B$8)/(MonteCarlo!$B$7*SQRT(MonteCarlo!$B$8)))-(MonteCarlo!$B$7*SQRT(MonteCarlo!$B$8))),TRUE)-O$1*_xlfn.NORM.S.DIST(-((LN(O$1/$A32)+(MonteCarlo!$B$9+(MonteCarlo!$B$7^2)/2)*MonteCarlo!$B$8)/(MonteCarlo!$B$7*SQRT(MonteCarlo!$B$8))),TRUE)),"")</f>
        <v/>
      </c>
      <c r="P32" t="str">
        <f ca="1">IFERROR(IF(OR(MonteCarlo!$B$4="C",MonteCarlo!$B$4="c"),P$1*_xlfn.NORM.S.DIST((LN(P$1/$A32)+(MonteCarlo!$B$9+(MonteCarlo!$B$7^2)/2)*MonteCarlo!$B$8)/(MonteCarlo!$B$7*SQRT(MonteCarlo!$B$8)),TRUE)-$A32*EXP(-MonteCarlo!$B$9*MonteCarlo!$B$8)*_xlfn.NORM.S.DIST(((LN(P$1/$A32)+(MonteCarlo!$B$9+(MonteCarlo!$B$7^2)/2)*MonteCarlo!$B$8)/(MonteCarlo!$B$7*SQRT(MonteCarlo!$B$8)))-(MonteCarlo!$B$7*SQRT(MonteCarlo!$B$8)),TRUE),$A32*EXP(-MonteCarlo!$B$9*MonteCarlo!$B$8)*_xlfn.NORM.S.DIST(-(((LN(P$1/$A32)+(MonteCarlo!$B$9+(MonteCarlo!$B$7^2)/2)*MonteCarlo!$B$8)/(MonteCarlo!$B$7*SQRT(MonteCarlo!$B$8)))-(MonteCarlo!$B$7*SQRT(MonteCarlo!$B$8))),TRUE)-P$1*_xlfn.NORM.S.DIST(-((LN(P$1/$A32)+(MonteCarlo!$B$9+(MonteCarlo!$B$7^2)/2)*MonteCarlo!$B$8)/(MonteCarlo!$B$7*SQRT(MonteCarlo!$B$8))),TRUE)),"")</f>
        <v/>
      </c>
      <c r="Q32" t="str">
        <f ca="1">IFERROR(IF(OR(MonteCarlo!$B$4="C",MonteCarlo!$B$4="c"),Q$1*_xlfn.NORM.S.DIST((LN(Q$1/$A32)+(MonteCarlo!$B$9+(MonteCarlo!$B$7^2)/2)*MonteCarlo!$B$8)/(MonteCarlo!$B$7*SQRT(MonteCarlo!$B$8)),TRUE)-$A32*EXP(-MonteCarlo!$B$9*MonteCarlo!$B$8)*_xlfn.NORM.S.DIST(((LN(Q$1/$A32)+(MonteCarlo!$B$9+(MonteCarlo!$B$7^2)/2)*MonteCarlo!$B$8)/(MonteCarlo!$B$7*SQRT(MonteCarlo!$B$8)))-(MonteCarlo!$B$7*SQRT(MonteCarlo!$B$8)),TRUE),$A32*EXP(-MonteCarlo!$B$9*MonteCarlo!$B$8)*_xlfn.NORM.S.DIST(-(((LN(Q$1/$A32)+(MonteCarlo!$B$9+(MonteCarlo!$B$7^2)/2)*MonteCarlo!$B$8)/(MonteCarlo!$B$7*SQRT(MonteCarlo!$B$8)))-(MonteCarlo!$B$7*SQRT(MonteCarlo!$B$8))),TRUE)-Q$1*_xlfn.NORM.S.DIST(-((LN(Q$1/$A32)+(MonteCarlo!$B$9+(MonteCarlo!$B$7^2)/2)*MonteCarlo!$B$8)/(MonteCarlo!$B$7*SQRT(MonteCarlo!$B$8))),TRUE)),"")</f>
        <v/>
      </c>
      <c r="R32" t="str">
        <f ca="1">IFERROR(IF(OR(MonteCarlo!$B$4="C",MonteCarlo!$B$4="c"),R$1*_xlfn.NORM.S.DIST((LN(R$1/$A32)+(MonteCarlo!$B$9+(MonteCarlo!$B$7^2)/2)*MonteCarlo!$B$8)/(MonteCarlo!$B$7*SQRT(MonteCarlo!$B$8)),TRUE)-$A32*EXP(-MonteCarlo!$B$9*MonteCarlo!$B$8)*_xlfn.NORM.S.DIST(((LN(R$1/$A32)+(MonteCarlo!$B$9+(MonteCarlo!$B$7^2)/2)*MonteCarlo!$B$8)/(MonteCarlo!$B$7*SQRT(MonteCarlo!$B$8)))-(MonteCarlo!$B$7*SQRT(MonteCarlo!$B$8)),TRUE),$A32*EXP(-MonteCarlo!$B$9*MonteCarlo!$B$8)*_xlfn.NORM.S.DIST(-(((LN(R$1/$A32)+(MonteCarlo!$B$9+(MonteCarlo!$B$7^2)/2)*MonteCarlo!$B$8)/(MonteCarlo!$B$7*SQRT(MonteCarlo!$B$8)))-(MonteCarlo!$B$7*SQRT(MonteCarlo!$B$8))),TRUE)-R$1*_xlfn.NORM.S.DIST(-((LN(R$1/$A32)+(MonteCarlo!$B$9+(MonteCarlo!$B$7^2)/2)*MonteCarlo!$B$8)/(MonteCarlo!$B$7*SQRT(MonteCarlo!$B$8))),TRUE)),"")</f>
        <v/>
      </c>
      <c r="S32" t="str">
        <f ca="1">IFERROR(IF(OR(MonteCarlo!$B$4="C",MonteCarlo!$B$4="c"),S$1*_xlfn.NORM.S.DIST((LN(S$1/$A32)+(MonteCarlo!$B$9+(MonteCarlo!$B$7^2)/2)*MonteCarlo!$B$8)/(MonteCarlo!$B$7*SQRT(MonteCarlo!$B$8)),TRUE)-$A32*EXP(-MonteCarlo!$B$9*MonteCarlo!$B$8)*_xlfn.NORM.S.DIST(((LN(S$1/$A32)+(MonteCarlo!$B$9+(MonteCarlo!$B$7^2)/2)*MonteCarlo!$B$8)/(MonteCarlo!$B$7*SQRT(MonteCarlo!$B$8)))-(MonteCarlo!$B$7*SQRT(MonteCarlo!$B$8)),TRUE),$A32*EXP(-MonteCarlo!$B$9*MonteCarlo!$B$8)*_xlfn.NORM.S.DIST(-(((LN(S$1/$A32)+(MonteCarlo!$B$9+(MonteCarlo!$B$7^2)/2)*MonteCarlo!$B$8)/(MonteCarlo!$B$7*SQRT(MonteCarlo!$B$8)))-(MonteCarlo!$B$7*SQRT(MonteCarlo!$B$8))),TRUE)-S$1*_xlfn.NORM.S.DIST(-((LN(S$1/$A32)+(MonteCarlo!$B$9+(MonteCarlo!$B$7^2)/2)*MonteCarlo!$B$8)/(MonteCarlo!$B$7*SQRT(MonteCarlo!$B$8))),TRUE)),"")</f>
        <v/>
      </c>
      <c r="T32" t="str">
        <f ca="1">IFERROR(IF(OR(MonteCarlo!$B$4="C",MonteCarlo!$B$4="c"),T$1*_xlfn.NORM.S.DIST((LN(T$1/$A32)+(MonteCarlo!$B$9+(MonteCarlo!$B$7^2)/2)*MonteCarlo!$B$8)/(MonteCarlo!$B$7*SQRT(MonteCarlo!$B$8)),TRUE)-$A32*EXP(-MonteCarlo!$B$9*MonteCarlo!$B$8)*_xlfn.NORM.S.DIST(((LN(T$1/$A32)+(MonteCarlo!$B$9+(MonteCarlo!$B$7^2)/2)*MonteCarlo!$B$8)/(MonteCarlo!$B$7*SQRT(MonteCarlo!$B$8)))-(MonteCarlo!$B$7*SQRT(MonteCarlo!$B$8)),TRUE),$A32*EXP(-MonteCarlo!$B$9*MonteCarlo!$B$8)*_xlfn.NORM.S.DIST(-(((LN(T$1/$A32)+(MonteCarlo!$B$9+(MonteCarlo!$B$7^2)/2)*MonteCarlo!$B$8)/(MonteCarlo!$B$7*SQRT(MonteCarlo!$B$8)))-(MonteCarlo!$B$7*SQRT(MonteCarlo!$B$8))),TRUE)-T$1*_xlfn.NORM.S.DIST(-((LN(T$1/$A32)+(MonteCarlo!$B$9+(MonteCarlo!$B$7^2)/2)*MonteCarlo!$B$8)/(MonteCarlo!$B$7*SQRT(MonteCarlo!$B$8))),TRUE)),"")</f>
        <v/>
      </c>
      <c r="U32" t="str">
        <f ca="1">IFERROR(IF(OR(MonteCarlo!$B$4="C",MonteCarlo!$B$4="c"),U$1*_xlfn.NORM.S.DIST((LN(U$1/$A32)+(MonteCarlo!$B$9+(MonteCarlo!$B$7^2)/2)*MonteCarlo!$B$8)/(MonteCarlo!$B$7*SQRT(MonteCarlo!$B$8)),TRUE)-$A32*EXP(-MonteCarlo!$B$9*MonteCarlo!$B$8)*_xlfn.NORM.S.DIST(((LN(U$1/$A32)+(MonteCarlo!$B$9+(MonteCarlo!$B$7^2)/2)*MonteCarlo!$B$8)/(MonteCarlo!$B$7*SQRT(MonteCarlo!$B$8)))-(MonteCarlo!$B$7*SQRT(MonteCarlo!$B$8)),TRUE),$A32*EXP(-MonteCarlo!$B$9*MonteCarlo!$B$8)*_xlfn.NORM.S.DIST(-(((LN(U$1/$A32)+(MonteCarlo!$B$9+(MonteCarlo!$B$7^2)/2)*MonteCarlo!$B$8)/(MonteCarlo!$B$7*SQRT(MonteCarlo!$B$8)))-(MonteCarlo!$B$7*SQRT(MonteCarlo!$B$8))),TRUE)-U$1*_xlfn.NORM.S.DIST(-((LN(U$1/$A32)+(MonteCarlo!$B$9+(MonteCarlo!$B$7^2)/2)*MonteCarlo!$B$8)/(MonteCarlo!$B$7*SQRT(MonteCarlo!$B$8))),TRUE)),"")</f>
        <v/>
      </c>
      <c r="V32" t="str">
        <f ca="1">IFERROR(IF(OR(MonteCarlo!$B$4="C",MonteCarlo!$B$4="c"),V$1*_xlfn.NORM.S.DIST((LN(V$1/$A32)+(MonteCarlo!$B$9+(MonteCarlo!$B$7^2)/2)*MonteCarlo!$B$8)/(MonteCarlo!$B$7*SQRT(MonteCarlo!$B$8)),TRUE)-$A32*EXP(-MonteCarlo!$B$9*MonteCarlo!$B$8)*_xlfn.NORM.S.DIST(((LN(V$1/$A32)+(MonteCarlo!$B$9+(MonteCarlo!$B$7^2)/2)*MonteCarlo!$B$8)/(MonteCarlo!$B$7*SQRT(MonteCarlo!$B$8)))-(MonteCarlo!$B$7*SQRT(MonteCarlo!$B$8)),TRUE),$A32*EXP(-MonteCarlo!$B$9*MonteCarlo!$B$8)*_xlfn.NORM.S.DIST(-(((LN(V$1/$A32)+(MonteCarlo!$B$9+(MonteCarlo!$B$7^2)/2)*MonteCarlo!$B$8)/(MonteCarlo!$B$7*SQRT(MonteCarlo!$B$8)))-(MonteCarlo!$B$7*SQRT(MonteCarlo!$B$8))),TRUE)-V$1*_xlfn.NORM.S.DIST(-((LN(V$1/$A32)+(MonteCarlo!$B$9+(MonteCarlo!$B$7^2)/2)*MonteCarlo!$B$8)/(MonteCarlo!$B$7*SQRT(MonteCarlo!$B$8))),TRUE)),"")</f>
        <v/>
      </c>
      <c r="W32" t="str">
        <f ca="1">IFERROR(IF(OR(MonteCarlo!$B$4="C",MonteCarlo!$B$4="c"),W$1*_xlfn.NORM.S.DIST((LN(W$1/$A32)+(MonteCarlo!$B$9+(MonteCarlo!$B$7^2)/2)*MonteCarlo!$B$8)/(MonteCarlo!$B$7*SQRT(MonteCarlo!$B$8)),TRUE)-$A32*EXP(-MonteCarlo!$B$9*MonteCarlo!$B$8)*_xlfn.NORM.S.DIST(((LN(W$1/$A32)+(MonteCarlo!$B$9+(MonteCarlo!$B$7^2)/2)*MonteCarlo!$B$8)/(MonteCarlo!$B$7*SQRT(MonteCarlo!$B$8)))-(MonteCarlo!$B$7*SQRT(MonteCarlo!$B$8)),TRUE),$A32*EXP(-MonteCarlo!$B$9*MonteCarlo!$B$8)*_xlfn.NORM.S.DIST(-(((LN(W$1/$A32)+(MonteCarlo!$B$9+(MonteCarlo!$B$7^2)/2)*MonteCarlo!$B$8)/(MonteCarlo!$B$7*SQRT(MonteCarlo!$B$8)))-(MonteCarlo!$B$7*SQRT(MonteCarlo!$B$8))),TRUE)-W$1*_xlfn.NORM.S.DIST(-((LN(W$1/$A32)+(MonteCarlo!$B$9+(MonteCarlo!$B$7^2)/2)*MonteCarlo!$B$8)/(MonteCarlo!$B$7*SQRT(MonteCarlo!$B$8))),TRUE)),"")</f>
        <v/>
      </c>
      <c r="X32" t="str">
        <f ca="1">IFERROR(IF(OR(MonteCarlo!$B$4="C",MonteCarlo!$B$4="c"),X$1*_xlfn.NORM.S.DIST((LN(X$1/$A32)+(MonteCarlo!$B$9+(MonteCarlo!$B$7^2)/2)*MonteCarlo!$B$8)/(MonteCarlo!$B$7*SQRT(MonteCarlo!$B$8)),TRUE)-$A32*EXP(-MonteCarlo!$B$9*MonteCarlo!$B$8)*_xlfn.NORM.S.DIST(((LN(X$1/$A32)+(MonteCarlo!$B$9+(MonteCarlo!$B$7^2)/2)*MonteCarlo!$B$8)/(MonteCarlo!$B$7*SQRT(MonteCarlo!$B$8)))-(MonteCarlo!$B$7*SQRT(MonteCarlo!$B$8)),TRUE),$A32*EXP(-MonteCarlo!$B$9*MonteCarlo!$B$8)*_xlfn.NORM.S.DIST(-(((LN(X$1/$A32)+(MonteCarlo!$B$9+(MonteCarlo!$B$7^2)/2)*MonteCarlo!$B$8)/(MonteCarlo!$B$7*SQRT(MonteCarlo!$B$8)))-(MonteCarlo!$B$7*SQRT(MonteCarlo!$B$8))),TRUE)-X$1*_xlfn.NORM.S.DIST(-((LN(X$1/$A32)+(MonteCarlo!$B$9+(MonteCarlo!$B$7^2)/2)*MonteCarlo!$B$8)/(MonteCarlo!$B$7*SQRT(MonteCarlo!$B$8))),TRUE)),"")</f>
        <v/>
      </c>
      <c r="Y32" t="str">
        <f ca="1">IFERROR(IF(OR(MonteCarlo!$B$4="C",MonteCarlo!$B$4="c"),Y$1*_xlfn.NORM.S.DIST((LN(Y$1/$A32)+(MonteCarlo!$B$9+(MonteCarlo!$B$7^2)/2)*MonteCarlo!$B$8)/(MonteCarlo!$B$7*SQRT(MonteCarlo!$B$8)),TRUE)-$A32*EXP(-MonteCarlo!$B$9*MonteCarlo!$B$8)*_xlfn.NORM.S.DIST(((LN(Y$1/$A32)+(MonteCarlo!$B$9+(MonteCarlo!$B$7^2)/2)*MonteCarlo!$B$8)/(MonteCarlo!$B$7*SQRT(MonteCarlo!$B$8)))-(MonteCarlo!$B$7*SQRT(MonteCarlo!$B$8)),TRUE),$A32*EXP(-MonteCarlo!$B$9*MonteCarlo!$B$8)*_xlfn.NORM.S.DIST(-(((LN(Y$1/$A32)+(MonteCarlo!$B$9+(MonteCarlo!$B$7^2)/2)*MonteCarlo!$B$8)/(MonteCarlo!$B$7*SQRT(MonteCarlo!$B$8)))-(MonteCarlo!$B$7*SQRT(MonteCarlo!$B$8))),TRUE)-Y$1*_xlfn.NORM.S.DIST(-((LN(Y$1/$A32)+(MonteCarlo!$B$9+(MonteCarlo!$B$7^2)/2)*MonteCarlo!$B$8)/(MonteCarlo!$B$7*SQRT(MonteCarlo!$B$8))),TRUE)),"")</f>
        <v/>
      </c>
      <c r="Z32" t="str">
        <f ca="1">IFERROR(IF(OR(MonteCarlo!$B$4="C",MonteCarlo!$B$4="c"),Z$1*_xlfn.NORM.S.DIST((LN(Z$1/$A32)+(MonteCarlo!$B$9+(MonteCarlo!$B$7^2)/2)*MonteCarlo!$B$8)/(MonteCarlo!$B$7*SQRT(MonteCarlo!$B$8)),TRUE)-$A32*EXP(-MonteCarlo!$B$9*MonteCarlo!$B$8)*_xlfn.NORM.S.DIST(((LN(Z$1/$A32)+(MonteCarlo!$B$9+(MonteCarlo!$B$7^2)/2)*MonteCarlo!$B$8)/(MonteCarlo!$B$7*SQRT(MonteCarlo!$B$8)))-(MonteCarlo!$B$7*SQRT(MonteCarlo!$B$8)),TRUE),$A32*EXP(-MonteCarlo!$B$9*MonteCarlo!$B$8)*_xlfn.NORM.S.DIST(-(((LN(Z$1/$A32)+(MonteCarlo!$B$9+(MonteCarlo!$B$7^2)/2)*MonteCarlo!$B$8)/(MonteCarlo!$B$7*SQRT(MonteCarlo!$B$8)))-(MonteCarlo!$B$7*SQRT(MonteCarlo!$B$8))),TRUE)-Z$1*_xlfn.NORM.S.DIST(-((LN(Z$1/$A32)+(MonteCarlo!$B$9+(MonteCarlo!$B$7^2)/2)*MonteCarlo!$B$8)/(MonteCarlo!$B$7*SQRT(MonteCarlo!$B$8))),TRUE)),"")</f>
        <v/>
      </c>
      <c r="AA32" t="str">
        <f ca="1">IFERROR(IF(OR(MonteCarlo!$B$4="C",MonteCarlo!$B$4="c"),AA$1*_xlfn.NORM.S.DIST((LN(AA$1/$A32)+(MonteCarlo!$B$9+(MonteCarlo!$B$7^2)/2)*MonteCarlo!$B$8)/(MonteCarlo!$B$7*SQRT(MonteCarlo!$B$8)),TRUE)-$A32*EXP(-MonteCarlo!$B$9*MonteCarlo!$B$8)*_xlfn.NORM.S.DIST(((LN(AA$1/$A32)+(MonteCarlo!$B$9+(MonteCarlo!$B$7^2)/2)*MonteCarlo!$B$8)/(MonteCarlo!$B$7*SQRT(MonteCarlo!$B$8)))-(MonteCarlo!$B$7*SQRT(MonteCarlo!$B$8)),TRUE),$A32*EXP(-MonteCarlo!$B$9*MonteCarlo!$B$8)*_xlfn.NORM.S.DIST(-(((LN(AA$1/$A32)+(MonteCarlo!$B$9+(MonteCarlo!$B$7^2)/2)*MonteCarlo!$B$8)/(MonteCarlo!$B$7*SQRT(MonteCarlo!$B$8)))-(MonteCarlo!$B$7*SQRT(MonteCarlo!$B$8))),TRUE)-AA$1*_xlfn.NORM.S.DIST(-((LN(AA$1/$A32)+(MonteCarlo!$B$9+(MonteCarlo!$B$7^2)/2)*MonteCarlo!$B$8)/(MonteCarlo!$B$7*SQRT(MonteCarlo!$B$8))),TRUE)),"")</f>
        <v/>
      </c>
      <c r="AB32" t="str">
        <f ca="1">IFERROR(IF(OR(MonteCarlo!$B$4="C",MonteCarlo!$B$4="c"),AB$1*_xlfn.NORM.S.DIST((LN(AB$1/$A32)+(MonteCarlo!$B$9+(MonteCarlo!$B$7^2)/2)*MonteCarlo!$B$8)/(MonteCarlo!$B$7*SQRT(MonteCarlo!$B$8)),TRUE)-$A32*EXP(-MonteCarlo!$B$9*MonteCarlo!$B$8)*_xlfn.NORM.S.DIST(((LN(AB$1/$A32)+(MonteCarlo!$B$9+(MonteCarlo!$B$7^2)/2)*MonteCarlo!$B$8)/(MonteCarlo!$B$7*SQRT(MonteCarlo!$B$8)))-(MonteCarlo!$B$7*SQRT(MonteCarlo!$B$8)),TRUE),$A32*EXP(-MonteCarlo!$B$9*MonteCarlo!$B$8)*_xlfn.NORM.S.DIST(-(((LN(AB$1/$A32)+(MonteCarlo!$B$9+(MonteCarlo!$B$7^2)/2)*MonteCarlo!$B$8)/(MonteCarlo!$B$7*SQRT(MonteCarlo!$B$8)))-(MonteCarlo!$B$7*SQRT(MonteCarlo!$B$8))),TRUE)-AB$1*_xlfn.NORM.S.DIST(-((LN(AB$1/$A32)+(MonteCarlo!$B$9+(MonteCarlo!$B$7^2)/2)*MonteCarlo!$B$8)/(MonteCarlo!$B$7*SQRT(MonteCarlo!$B$8))),TRUE)),"")</f>
        <v/>
      </c>
      <c r="AC32" t="str">
        <f ca="1">IFERROR(IF(OR(MonteCarlo!$B$4="C",MonteCarlo!$B$4="c"),AC$1*_xlfn.NORM.S.DIST((LN(AC$1/$A32)+(MonteCarlo!$B$9+(MonteCarlo!$B$7^2)/2)*MonteCarlo!$B$8)/(MonteCarlo!$B$7*SQRT(MonteCarlo!$B$8)),TRUE)-$A32*EXP(-MonteCarlo!$B$9*MonteCarlo!$B$8)*_xlfn.NORM.S.DIST(((LN(AC$1/$A32)+(MonteCarlo!$B$9+(MonteCarlo!$B$7^2)/2)*MonteCarlo!$B$8)/(MonteCarlo!$B$7*SQRT(MonteCarlo!$B$8)))-(MonteCarlo!$B$7*SQRT(MonteCarlo!$B$8)),TRUE),$A32*EXP(-MonteCarlo!$B$9*MonteCarlo!$B$8)*_xlfn.NORM.S.DIST(-(((LN(AC$1/$A32)+(MonteCarlo!$B$9+(MonteCarlo!$B$7^2)/2)*MonteCarlo!$B$8)/(MonteCarlo!$B$7*SQRT(MonteCarlo!$B$8)))-(MonteCarlo!$B$7*SQRT(MonteCarlo!$B$8))),TRUE)-AC$1*_xlfn.NORM.S.DIST(-((LN(AC$1/$A32)+(MonteCarlo!$B$9+(MonteCarlo!$B$7^2)/2)*MonteCarlo!$B$8)/(MonteCarlo!$B$7*SQRT(MonteCarlo!$B$8))),TRUE)),"")</f>
        <v/>
      </c>
      <c r="AD32" t="str">
        <f ca="1">IFERROR(IF(OR(MonteCarlo!$B$4="C",MonteCarlo!$B$4="c"),AD$1*_xlfn.NORM.S.DIST((LN(AD$1/$A32)+(MonteCarlo!$B$9+(MonteCarlo!$B$7^2)/2)*MonteCarlo!$B$8)/(MonteCarlo!$B$7*SQRT(MonteCarlo!$B$8)),TRUE)-$A32*EXP(-MonteCarlo!$B$9*MonteCarlo!$B$8)*_xlfn.NORM.S.DIST(((LN(AD$1/$A32)+(MonteCarlo!$B$9+(MonteCarlo!$B$7^2)/2)*MonteCarlo!$B$8)/(MonteCarlo!$B$7*SQRT(MonteCarlo!$B$8)))-(MonteCarlo!$B$7*SQRT(MonteCarlo!$B$8)),TRUE),$A32*EXP(-MonteCarlo!$B$9*MonteCarlo!$B$8)*_xlfn.NORM.S.DIST(-(((LN(AD$1/$A32)+(MonteCarlo!$B$9+(MonteCarlo!$B$7^2)/2)*MonteCarlo!$B$8)/(MonteCarlo!$B$7*SQRT(MonteCarlo!$B$8)))-(MonteCarlo!$B$7*SQRT(MonteCarlo!$B$8))),TRUE)-AD$1*_xlfn.NORM.S.DIST(-((LN(AD$1/$A32)+(MonteCarlo!$B$9+(MonteCarlo!$B$7^2)/2)*MonteCarlo!$B$8)/(MonteCarlo!$B$7*SQRT(MonteCarlo!$B$8))),TRUE)),"")</f>
        <v/>
      </c>
      <c r="AE32" t="str">
        <f ca="1">IFERROR(IF(OR(MonteCarlo!$B$4="C",MonteCarlo!$B$4="c"),AE$1*_xlfn.NORM.S.DIST((LN(AE$1/$A32)+(MonteCarlo!$B$9+(MonteCarlo!$B$7^2)/2)*MonteCarlo!$B$8)/(MonteCarlo!$B$7*SQRT(MonteCarlo!$B$8)),TRUE)-$A32*EXP(-MonteCarlo!$B$9*MonteCarlo!$B$8)*_xlfn.NORM.S.DIST(((LN(AE$1/$A32)+(MonteCarlo!$B$9+(MonteCarlo!$B$7^2)/2)*MonteCarlo!$B$8)/(MonteCarlo!$B$7*SQRT(MonteCarlo!$B$8)))-(MonteCarlo!$B$7*SQRT(MonteCarlo!$B$8)),TRUE),$A32*EXP(-MonteCarlo!$B$9*MonteCarlo!$B$8)*_xlfn.NORM.S.DIST(-(((LN(AE$1/$A32)+(MonteCarlo!$B$9+(MonteCarlo!$B$7^2)/2)*MonteCarlo!$B$8)/(MonteCarlo!$B$7*SQRT(MonteCarlo!$B$8)))-(MonteCarlo!$B$7*SQRT(MonteCarlo!$B$8))),TRUE)-AE$1*_xlfn.NORM.S.DIST(-((LN(AE$1/$A32)+(MonteCarlo!$B$9+(MonteCarlo!$B$7^2)/2)*MonteCarlo!$B$8)/(MonteCarlo!$B$7*SQRT(MonteCarlo!$B$8))),TRUE)),"")</f>
        <v/>
      </c>
      <c r="AF32" t="str">
        <f ca="1">IFERROR(IF(OR(MonteCarlo!$B$4="C",MonteCarlo!$B$4="c"),AF$1*_xlfn.NORM.S.DIST((LN(AF$1/$A32)+(MonteCarlo!$B$9+(MonteCarlo!$B$7^2)/2)*MonteCarlo!$B$8)/(MonteCarlo!$B$7*SQRT(MonteCarlo!$B$8)),TRUE)-$A32*EXP(-MonteCarlo!$B$9*MonteCarlo!$B$8)*_xlfn.NORM.S.DIST(((LN(AF$1/$A32)+(MonteCarlo!$B$9+(MonteCarlo!$B$7^2)/2)*MonteCarlo!$B$8)/(MonteCarlo!$B$7*SQRT(MonteCarlo!$B$8)))-(MonteCarlo!$B$7*SQRT(MonteCarlo!$B$8)),TRUE),$A32*EXP(-MonteCarlo!$B$9*MonteCarlo!$B$8)*_xlfn.NORM.S.DIST(-(((LN(AF$1/$A32)+(MonteCarlo!$B$9+(MonteCarlo!$B$7^2)/2)*MonteCarlo!$B$8)/(MonteCarlo!$B$7*SQRT(MonteCarlo!$B$8)))-(MonteCarlo!$B$7*SQRT(MonteCarlo!$B$8))),TRUE)-AF$1*_xlfn.NORM.S.DIST(-((LN(AF$1/$A32)+(MonteCarlo!$B$9+(MonteCarlo!$B$7^2)/2)*MonteCarlo!$B$8)/(MonteCarlo!$B$7*SQRT(MonteCarlo!$B$8))),TRUE)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F32"/>
  <sheetViews>
    <sheetView workbookViewId="0"/>
  </sheetViews>
  <sheetFormatPr defaultRowHeight="15" x14ac:dyDescent="0.25"/>
  <sheetData>
    <row r="2" spans="2:32" x14ac:dyDescent="0.25">
      <c r="B2" t="str">
        <f>IFERROR(IF(OR(MonteCarlo!$B$4="C",MonteCarlo!$B$4="c"),MonteCarlo!$B$6*_xlfn.NORM.S.DIST((LN(MonteCarlo!$B$6/MonteCarlo!$B$5)+(MonteCarlo!$B$9+(B$1^2)/2)*$A2)/(B$1*SQRT($A2)),TRUE)-MonteCarlo!$B$5*EXP(-MonteCarlo!$B$9*$A2)*_xlfn.NORM.S.DIST(((LN(MonteCarlo!$B$6/MonteCarlo!$B$5)+(MonteCarlo!$B$9+(B$1^2)/2)*$A2)/(B$1*SQRT($A2)))-(B$1*SQRT($A2)),TRUE),MonteCarlo!$B$5*EXP(-MonteCarlo!$B$9*$A2)*_xlfn.NORM.S.DIST(-(((LN(MonteCarlo!$B$6/MonteCarlo!$B$5)+(MonteCarlo!$B$9+(B$1^2)/2)*$A2)/(B$1*SQRT($A2)))-(B$1*SQRT($A2))),TRUE)-MonteCarlo!$B$6*_xlfn.NORM.S.DIST(-((LN(MonteCarlo!$B$6/MonteCarlo!$B$5)+(MonteCarlo!$B$9+(B$1^2)/2)*$A2)/(B$1*SQRT($A2))),TRUE)),"")</f>
        <v/>
      </c>
      <c r="C2" t="str">
        <f>IFERROR(IF(OR(MonteCarlo!$B$4="C",MonteCarlo!$B$4="c"),MonteCarlo!$B$6*_xlfn.NORM.S.DIST((LN(MonteCarlo!$B$6/MonteCarlo!$B$5)+(MonteCarlo!$B$9+(C$1^2)/2)*$A2)/(C$1*SQRT($A2)),TRUE)-MonteCarlo!$B$5*EXP(-MonteCarlo!$B$9*$A2)*_xlfn.NORM.S.DIST(((LN(MonteCarlo!$B$6/MonteCarlo!$B$5)+(MonteCarlo!$B$9+(C$1^2)/2)*$A2)/(C$1*SQRT($A2)))-(C$1*SQRT($A2)),TRUE),MonteCarlo!$B$5*EXP(-MonteCarlo!$B$9*$A2)*_xlfn.NORM.S.DIST(-(((LN(MonteCarlo!$B$6/MonteCarlo!$B$5)+(MonteCarlo!$B$9+(C$1^2)/2)*$A2)/(C$1*SQRT($A2)))-(C$1*SQRT($A2))),TRUE)-MonteCarlo!$B$6*_xlfn.NORM.S.DIST(-((LN(MonteCarlo!$B$6/MonteCarlo!$B$5)+(MonteCarlo!$B$9+(C$1^2)/2)*$A2)/(C$1*SQRT($A2))),TRUE)),"")</f>
        <v/>
      </c>
      <c r="D2" t="str">
        <f>IFERROR(IF(OR(MonteCarlo!$B$4="C",MonteCarlo!$B$4="c"),MonteCarlo!$B$6*_xlfn.NORM.S.DIST((LN(MonteCarlo!$B$6/MonteCarlo!$B$5)+(MonteCarlo!$B$9+(D$1^2)/2)*$A2)/(D$1*SQRT($A2)),TRUE)-MonteCarlo!$B$5*EXP(-MonteCarlo!$B$9*$A2)*_xlfn.NORM.S.DIST(((LN(MonteCarlo!$B$6/MonteCarlo!$B$5)+(MonteCarlo!$B$9+(D$1^2)/2)*$A2)/(D$1*SQRT($A2)))-(D$1*SQRT($A2)),TRUE),MonteCarlo!$B$5*EXP(-MonteCarlo!$B$9*$A2)*_xlfn.NORM.S.DIST(-(((LN(MonteCarlo!$B$6/MonteCarlo!$B$5)+(MonteCarlo!$B$9+(D$1^2)/2)*$A2)/(D$1*SQRT($A2)))-(D$1*SQRT($A2))),TRUE)-MonteCarlo!$B$6*_xlfn.NORM.S.DIST(-((LN(MonteCarlo!$B$6/MonteCarlo!$B$5)+(MonteCarlo!$B$9+(D$1^2)/2)*$A2)/(D$1*SQRT($A2))),TRUE)),"")</f>
        <v/>
      </c>
      <c r="E2" t="str">
        <f>IFERROR(IF(OR(MonteCarlo!$B$4="C",MonteCarlo!$B$4="c"),MonteCarlo!$B$6*_xlfn.NORM.S.DIST((LN(MonteCarlo!$B$6/MonteCarlo!$B$5)+(MonteCarlo!$B$9+(E$1^2)/2)*$A2)/(E$1*SQRT($A2)),TRUE)-MonteCarlo!$B$5*EXP(-MonteCarlo!$B$9*$A2)*_xlfn.NORM.S.DIST(((LN(MonteCarlo!$B$6/MonteCarlo!$B$5)+(MonteCarlo!$B$9+(E$1^2)/2)*$A2)/(E$1*SQRT($A2)))-(E$1*SQRT($A2)),TRUE),MonteCarlo!$B$5*EXP(-MonteCarlo!$B$9*$A2)*_xlfn.NORM.S.DIST(-(((LN(MonteCarlo!$B$6/MonteCarlo!$B$5)+(MonteCarlo!$B$9+(E$1^2)/2)*$A2)/(E$1*SQRT($A2)))-(E$1*SQRT($A2))),TRUE)-MonteCarlo!$B$6*_xlfn.NORM.S.DIST(-((LN(MonteCarlo!$B$6/MonteCarlo!$B$5)+(MonteCarlo!$B$9+(E$1^2)/2)*$A2)/(E$1*SQRT($A2))),TRUE)),"")</f>
        <v/>
      </c>
      <c r="F2" t="str">
        <f>IFERROR(IF(OR(MonteCarlo!$B$4="C",MonteCarlo!$B$4="c"),MonteCarlo!$B$6*_xlfn.NORM.S.DIST((LN(MonteCarlo!$B$6/MonteCarlo!$B$5)+(MonteCarlo!$B$9+(F$1^2)/2)*$A2)/(F$1*SQRT($A2)),TRUE)-MonteCarlo!$B$5*EXP(-MonteCarlo!$B$9*$A2)*_xlfn.NORM.S.DIST(((LN(MonteCarlo!$B$6/MonteCarlo!$B$5)+(MonteCarlo!$B$9+(F$1^2)/2)*$A2)/(F$1*SQRT($A2)))-(F$1*SQRT($A2)),TRUE),MonteCarlo!$B$5*EXP(-MonteCarlo!$B$9*$A2)*_xlfn.NORM.S.DIST(-(((LN(MonteCarlo!$B$6/MonteCarlo!$B$5)+(MonteCarlo!$B$9+(F$1^2)/2)*$A2)/(F$1*SQRT($A2)))-(F$1*SQRT($A2))),TRUE)-MonteCarlo!$B$6*_xlfn.NORM.S.DIST(-((LN(MonteCarlo!$B$6/MonteCarlo!$B$5)+(MonteCarlo!$B$9+(F$1^2)/2)*$A2)/(F$1*SQRT($A2))),TRUE)),"")</f>
        <v/>
      </c>
      <c r="G2" t="str">
        <f>IFERROR(IF(OR(MonteCarlo!$B$4="C",MonteCarlo!$B$4="c"),MonteCarlo!$B$6*_xlfn.NORM.S.DIST((LN(MonteCarlo!$B$6/MonteCarlo!$B$5)+(MonteCarlo!$B$9+(G$1^2)/2)*$A2)/(G$1*SQRT($A2)),TRUE)-MonteCarlo!$B$5*EXP(-MonteCarlo!$B$9*$A2)*_xlfn.NORM.S.DIST(((LN(MonteCarlo!$B$6/MonteCarlo!$B$5)+(MonteCarlo!$B$9+(G$1^2)/2)*$A2)/(G$1*SQRT($A2)))-(G$1*SQRT($A2)),TRUE),MonteCarlo!$B$5*EXP(-MonteCarlo!$B$9*$A2)*_xlfn.NORM.S.DIST(-(((LN(MonteCarlo!$B$6/MonteCarlo!$B$5)+(MonteCarlo!$B$9+(G$1^2)/2)*$A2)/(G$1*SQRT($A2)))-(G$1*SQRT($A2))),TRUE)-MonteCarlo!$B$6*_xlfn.NORM.S.DIST(-((LN(MonteCarlo!$B$6/MonteCarlo!$B$5)+(MonteCarlo!$B$9+(G$1^2)/2)*$A2)/(G$1*SQRT($A2))),TRUE)),"")</f>
        <v/>
      </c>
      <c r="H2" t="str">
        <f>IFERROR(IF(OR(MonteCarlo!$B$4="C",MonteCarlo!$B$4="c"),MonteCarlo!$B$6*_xlfn.NORM.S.DIST((LN(MonteCarlo!$B$6/MonteCarlo!$B$5)+(MonteCarlo!$B$9+(H$1^2)/2)*$A2)/(H$1*SQRT($A2)),TRUE)-MonteCarlo!$B$5*EXP(-MonteCarlo!$B$9*$A2)*_xlfn.NORM.S.DIST(((LN(MonteCarlo!$B$6/MonteCarlo!$B$5)+(MonteCarlo!$B$9+(H$1^2)/2)*$A2)/(H$1*SQRT($A2)))-(H$1*SQRT($A2)),TRUE),MonteCarlo!$B$5*EXP(-MonteCarlo!$B$9*$A2)*_xlfn.NORM.S.DIST(-(((LN(MonteCarlo!$B$6/MonteCarlo!$B$5)+(MonteCarlo!$B$9+(H$1^2)/2)*$A2)/(H$1*SQRT($A2)))-(H$1*SQRT($A2))),TRUE)-MonteCarlo!$B$6*_xlfn.NORM.S.DIST(-((LN(MonteCarlo!$B$6/MonteCarlo!$B$5)+(MonteCarlo!$B$9+(H$1^2)/2)*$A2)/(H$1*SQRT($A2))),TRUE)),"")</f>
        <v/>
      </c>
      <c r="I2" t="str">
        <f>IFERROR(IF(OR(MonteCarlo!$B$4="C",MonteCarlo!$B$4="c"),MonteCarlo!$B$6*_xlfn.NORM.S.DIST((LN(MonteCarlo!$B$6/MonteCarlo!$B$5)+(MonteCarlo!$B$9+(I$1^2)/2)*$A2)/(I$1*SQRT($A2)),TRUE)-MonteCarlo!$B$5*EXP(-MonteCarlo!$B$9*$A2)*_xlfn.NORM.S.DIST(((LN(MonteCarlo!$B$6/MonteCarlo!$B$5)+(MonteCarlo!$B$9+(I$1^2)/2)*$A2)/(I$1*SQRT($A2)))-(I$1*SQRT($A2)),TRUE),MonteCarlo!$B$5*EXP(-MonteCarlo!$B$9*$A2)*_xlfn.NORM.S.DIST(-(((LN(MonteCarlo!$B$6/MonteCarlo!$B$5)+(MonteCarlo!$B$9+(I$1^2)/2)*$A2)/(I$1*SQRT($A2)))-(I$1*SQRT($A2))),TRUE)-MonteCarlo!$B$6*_xlfn.NORM.S.DIST(-((LN(MonteCarlo!$B$6/MonteCarlo!$B$5)+(MonteCarlo!$B$9+(I$1^2)/2)*$A2)/(I$1*SQRT($A2))),TRUE)),"")</f>
        <v/>
      </c>
      <c r="J2" t="str">
        <f>IFERROR(IF(OR(MonteCarlo!$B$4="C",MonteCarlo!$B$4="c"),MonteCarlo!$B$6*_xlfn.NORM.S.DIST((LN(MonteCarlo!$B$6/MonteCarlo!$B$5)+(MonteCarlo!$B$9+(J$1^2)/2)*$A2)/(J$1*SQRT($A2)),TRUE)-MonteCarlo!$B$5*EXP(-MonteCarlo!$B$9*$A2)*_xlfn.NORM.S.DIST(((LN(MonteCarlo!$B$6/MonteCarlo!$B$5)+(MonteCarlo!$B$9+(J$1^2)/2)*$A2)/(J$1*SQRT($A2)))-(J$1*SQRT($A2)),TRUE),MonteCarlo!$B$5*EXP(-MonteCarlo!$B$9*$A2)*_xlfn.NORM.S.DIST(-(((LN(MonteCarlo!$B$6/MonteCarlo!$B$5)+(MonteCarlo!$B$9+(J$1^2)/2)*$A2)/(J$1*SQRT($A2)))-(J$1*SQRT($A2))),TRUE)-MonteCarlo!$B$6*_xlfn.NORM.S.DIST(-((LN(MonteCarlo!$B$6/MonteCarlo!$B$5)+(MonteCarlo!$B$9+(J$1^2)/2)*$A2)/(J$1*SQRT($A2))),TRUE)),"")</f>
        <v/>
      </c>
      <c r="K2" t="str">
        <f>IFERROR(IF(OR(MonteCarlo!$B$4="C",MonteCarlo!$B$4="c"),MonteCarlo!$B$6*_xlfn.NORM.S.DIST((LN(MonteCarlo!$B$6/MonteCarlo!$B$5)+(MonteCarlo!$B$9+(K$1^2)/2)*$A2)/(K$1*SQRT($A2)),TRUE)-MonteCarlo!$B$5*EXP(-MonteCarlo!$B$9*$A2)*_xlfn.NORM.S.DIST(((LN(MonteCarlo!$B$6/MonteCarlo!$B$5)+(MonteCarlo!$B$9+(K$1^2)/2)*$A2)/(K$1*SQRT($A2)))-(K$1*SQRT($A2)),TRUE),MonteCarlo!$B$5*EXP(-MonteCarlo!$B$9*$A2)*_xlfn.NORM.S.DIST(-(((LN(MonteCarlo!$B$6/MonteCarlo!$B$5)+(MonteCarlo!$B$9+(K$1^2)/2)*$A2)/(K$1*SQRT($A2)))-(K$1*SQRT($A2))),TRUE)-MonteCarlo!$B$6*_xlfn.NORM.S.DIST(-((LN(MonteCarlo!$B$6/MonteCarlo!$B$5)+(MonteCarlo!$B$9+(K$1^2)/2)*$A2)/(K$1*SQRT($A2))),TRUE)),"")</f>
        <v/>
      </c>
      <c r="L2" t="str">
        <f>IFERROR(IF(OR(MonteCarlo!$B$4="C",MonteCarlo!$B$4="c"),MonteCarlo!$B$6*_xlfn.NORM.S.DIST((LN(MonteCarlo!$B$6/MonteCarlo!$B$5)+(MonteCarlo!$B$9+(L$1^2)/2)*$A2)/(L$1*SQRT($A2)),TRUE)-MonteCarlo!$B$5*EXP(-MonteCarlo!$B$9*$A2)*_xlfn.NORM.S.DIST(((LN(MonteCarlo!$B$6/MonteCarlo!$B$5)+(MonteCarlo!$B$9+(L$1^2)/2)*$A2)/(L$1*SQRT($A2)))-(L$1*SQRT($A2)),TRUE),MonteCarlo!$B$5*EXP(-MonteCarlo!$B$9*$A2)*_xlfn.NORM.S.DIST(-(((LN(MonteCarlo!$B$6/MonteCarlo!$B$5)+(MonteCarlo!$B$9+(L$1^2)/2)*$A2)/(L$1*SQRT($A2)))-(L$1*SQRT($A2))),TRUE)-MonteCarlo!$B$6*_xlfn.NORM.S.DIST(-((LN(MonteCarlo!$B$6/MonteCarlo!$B$5)+(MonteCarlo!$B$9+(L$1^2)/2)*$A2)/(L$1*SQRT($A2))),TRUE)),"")</f>
        <v/>
      </c>
      <c r="M2" t="str">
        <f>IFERROR(IF(OR(MonteCarlo!$B$4="C",MonteCarlo!$B$4="c"),MonteCarlo!$B$6*_xlfn.NORM.S.DIST((LN(MonteCarlo!$B$6/MonteCarlo!$B$5)+(MonteCarlo!$B$9+(M$1^2)/2)*$A2)/(M$1*SQRT($A2)),TRUE)-MonteCarlo!$B$5*EXP(-MonteCarlo!$B$9*$A2)*_xlfn.NORM.S.DIST(((LN(MonteCarlo!$B$6/MonteCarlo!$B$5)+(MonteCarlo!$B$9+(M$1^2)/2)*$A2)/(M$1*SQRT($A2)))-(M$1*SQRT($A2)),TRUE),MonteCarlo!$B$5*EXP(-MonteCarlo!$B$9*$A2)*_xlfn.NORM.S.DIST(-(((LN(MonteCarlo!$B$6/MonteCarlo!$B$5)+(MonteCarlo!$B$9+(M$1^2)/2)*$A2)/(M$1*SQRT($A2)))-(M$1*SQRT($A2))),TRUE)-MonteCarlo!$B$6*_xlfn.NORM.S.DIST(-((LN(MonteCarlo!$B$6/MonteCarlo!$B$5)+(MonteCarlo!$B$9+(M$1^2)/2)*$A2)/(M$1*SQRT($A2))),TRUE)),"")</f>
        <v/>
      </c>
      <c r="N2" t="str">
        <f>IFERROR(IF(OR(MonteCarlo!$B$4="C",MonteCarlo!$B$4="c"),MonteCarlo!$B$6*_xlfn.NORM.S.DIST((LN(MonteCarlo!$B$6/MonteCarlo!$B$5)+(MonteCarlo!$B$9+(N$1^2)/2)*$A2)/(N$1*SQRT($A2)),TRUE)-MonteCarlo!$B$5*EXP(-MonteCarlo!$B$9*$A2)*_xlfn.NORM.S.DIST(((LN(MonteCarlo!$B$6/MonteCarlo!$B$5)+(MonteCarlo!$B$9+(N$1^2)/2)*$A2)/(N$1*SQRT($A2)))-(N$1*SQRT($A2)),TRUE),MonteCarlo!$B$5*EXP(-MonteCarlo!$B$9*$A2)*_xlfn.NORM.S.DIST(-(((LN(MonteCarlo!$B$6/MonteCarlo!$B$5)+(MonteCarlo!$B$9+(N$1^2)/2)*$A2)/(N$1*SQRT($A2)))-(N$1*SQRT($A2))),TRUE)-MonteCarlo!$B$6*_xlfn.NORM.S.DIST(-((LN(MonteCarlo!$B$6/MonteCarlo!$B$5)+(MonteCarlo!$B$9+(N$1^2)/2)*$A2)/(N$1*SQRT($A2))),TRUE)),"")</f>
        <v/>
      </c>
      <c r="O2" t="str">
        <f>IFERROR(IF(OR(MonteCarlo!$B$4="C",MonteCarlo!$B$4="c"),MonteCarlo!$B$6*_xlfn.NORM.S.DIST((LN(MonteCarlo!$B$6/MonteCarlo!$B$5)+(MonteCarlo!$B$9+(O$1^2)/2)*$A2)/(O$1*SQRT($A2)),TRUE)-MonteCarlo!$B$5*EXP(-MonteCarlo!$B$9*$A2)*_xlfn.NORM.S.DIST(((LN(MonteCarlo!$B$6/MonteCarlo!$B$5)+(MonteCarlo!$B$9+(O$1^2)/2)*$A2)/(O$1*SQRT($A2)))-(O$1*SQRT($A2)),TRUE),MonteCarlo!$B$5*EXP(-MonteCarlo!$B$9*$A2)*_xlfn.NORM.S.DIST(-(((LN(MonteCarlo!$B$6/MonteCarlo!$B$5)+(MonteCarlo!$B$9+(O$1^2)/2)*$A2)/(O$1*SQRT($A2)))-(O$1*SQRT($A2))),TRUE)-MonteCarlo!$B$6*_xlfn.NORM.S.DIST(-((LN(MonteCarlo!$B$6/MonteCarlo!$B$5)+(MonteCarlo!$B$9+(O$1^2)/2)*$A2)/(O$1*SQRT($A2))),TRUE)),"")</f>
        <v/>
      </c>
      <c r="P2" t="str">
        <f>IFERROR(IF(OR(MonteCarlo!$B$4="C",MonteCarlo!$B$4="c"),MonteCarlo!$B$6*_xlfn.NORM.S.DIST((LN(MonteCarlo!$B$6/MonteCarlo!$B$5)+(MonteCarlo!$B$9+(P$1^2)/2)*$A2)/(P$1*SQRT($A2)),TRUE)-MonteCarlo!$B$5*EXP(-MonteCarlo!$B$9*$A2)*_xlfn.NORM.S.DIST(((LN(MonteCarlo!$B$6/MonteCarlo!$B$5)+(MonteCarlo!$B$9+(P$1^2)/2)*$A2)/(P$1*SQRT($A2)))-(P$1*SQRT($A2)),TRUE),MonteCarlo!$B$5*EXP(-MonteCarlo!$B$9*$A2)*_xlfn.NORM.S.DIST(-(((LN(MonteCarlo!$B$6/MonteCarlo!$B$5)+(MonteCarlo!$B$9+(P$1^2)/2)*$A2)/(P$1*SQRT($A2)))-(P$1*SQRT($A2))),TRUE)-MonteCarlo!$B$6*_xlfn.NORM.S.DIST(-((LN(MonteCarlo!$B$6/MonteCarlo!$B$5)+(MonteCarlo!$B$9+(P$1^2)/2)*$A2)/(P$1*SQRT($A2))),TRUE)),"")</f>
        <v/>
      </c>
      <c r="Q2" t="str">
        <f>IFERROR(IF(OR(MonteCarlo!$B$4="C",MonteCarlo!$B$4="c"),MonteCarlo!$B$6*_xlfn.NORM.S.DIST((LN(MonteCarlo!$B$6/MonteCarlo!$B$5)+(MonteCarlo!$B$9+(Q$1^2)/2)*$A2)/(Q$1*SQRT($A2)),TRUE)-MonteCarlo!$B$5*EXP(-MonteCarlo!$B$9*$A2)*_xlfn.NORM.S.DIST(((LN(MonteCarlo!$B$6/MonteCarlo!$B$5)+(MonteCarlo!$B$9+(Q$1^2)/2)*$A2)/(Q$1*SQRT($A2)))-(Q$1*SQRT($A2)),TRUE),MonteCarlo!$B$5*EXP(-MonteCarlo!$B$9*$A2)*_xlfn.NORM.S.DIST(-(((LN(MonteCarlo!$B$6/MonteCarlo!$B$5)+(MonteCarlo!$B$9+(Q$1^2)/2)*$A2)/(Q$1*SQRT($A2)))-(Q$1*SQRT($A2))),TRUE)-MonteCarlo!$B$6*_xlfn.NORM.S.DIST(-((LN(MonteCarlo!$B$6/MonteCarlo!$B$5)+(MonteCarlo!$B$9+(Q$1^2)/2)*$A2)/(Q$1*SQRT($A2))),TRUE)),"")</f>
        <v/>
      </c>
      <c r="R2" t="str">
        <f>IFERROR(IF(OR(MonteCarlo!$B$4="C",MonteCarlo!$B$4="c"),MonteCarlo!$B$6*_xlfn.NORM.S.DIST((LN(MonteCarlo!$B$6/MonteCarlo!$B$5)+(MonteCarlo!$B$9+(R$1^2)/2)*$A2)/(R$1*SQRT($A2)),TRUE)-MonteCarlo!$B$5*EXP(-MonteCarlo!$B$9*$A2)*_xlfn.NORM.S.DIST(((LN(MonteCarlo!$B$6/MonteCarlo!$B$5)+(MonteCarlo!$B$9+(R$1^2)/2)*$A2)/(R$1*SQRT($A2)))-(R$1*SQRT($A2)),TRUE),MonteCarlo!$B$5*EXP(-MonteCarlo!$B$9*$A2)*_xlfn.NORM.S.DIST(-(((LN(MonteCarlo!$B$6/MonteCarlo!$B$5)+(MonteCarlo!$B$9+(R$1^2)/2)*$A2)/(R$1*SQRT($A2)))-(R$1*SQRT($A2))),TRUE)-MonteCarlo!$B$6*_xlfn.NORM.S.DIST(-((LN(MonteCarlo!$B$6/MonteCarlo!$B$5)+(MonteCarlo!$B$9+(R$1^2)/2)*$A2)/(R$1*SQRT($A2))),TRUE)),"")</f>
        <v/>
      </c>
      <c r="S2" t="str">
        <f>IFERROR(IF(OR(MonteCarlo!$B$4="C",MonteCarlo!$B$4="c"),MonteCarlo!$B$6*_xlfn.NORM.S.DIST((LN(MonteCarlo!$B$6/MonteCarlo!$B$5)+(MonteCarlo!$B$9+(S$1^2)/2)*$A2)/(S$1*SQRT($A2)),TRUE)-MonteCarlo!$B$5*EXP(-MonteCarlo!$B$9*$A2)*_xlfn.NORM.S.DIST(((LN(MonteCarlo!$B$6/MonteCarlo!$B$5)+(MonteCarlo!$B$9+(S$1^2)/2)*$A2)/(S$1*SQRT($A2)))-(S$1*SQRT($A2)),TRUE),MonteCarlo!$B$5*EXP(-MonteCarlo!$B$9*$A2)*_xlfn.NORM.S.DIST(-(((LN(MonteCarlo!$B$6/MonteCarlo!$B$5)+(MonteCarlo!$B$9+(S$1^2)/2)*$A2)/(S$1*SQRT($A2)))-(S$1*SQRT($A2))),TRUE)-MonteCarlo!$B$6*_xlfn.NORM.S.DIST(-((LN(MonteCarlo!$B$6/MonteCarlo!$B$5)+(MonteCarlo!$B$9+(S$1^2)/2)*$A2)/(S$1*SQRT($A2))),TRUE)),"")</f>
        <v/>
      </c>
      <c r="T2" t="str">
        <f>IFERROR(IF(OR(MonteCarlo!$B$4="C",MonteCarlo!$B$4="c"),MonteCarlo!$B$6*_xlfn.NORM.S.DIST((LN(MonteCarlo!$B$6/MonteCarlo!$B$5)+(MonteCarlo!$B$9+(T$1^2)/2)*$A2)/(T$1*SQRT($A2)),TRUE)-MonteCarlo!$B$5*EXP(-MonteCarlo!$B$9*$A2)*_xlfn.NORM.S.DIST(((LN(MonteCarlo!$B$6/MonteCarlo!$B$5)+(MonteCarlo!$B$9+(T$1^2)/2)*$A2)/(T$1*SQRT($A2)))-(T$1*SQRT($A2)),TRUE),MonteCarlo!$B$5*EXP(-MonteCarlo!$B$9*$A2)*_xlfn.NORM.S.DIST(-(((LN(MonteCarlo!$B$6/MonteCarlo!$B$5)+(MonteCarlo!$B$9+(T$1^2)/2)*$A2)/(T$1*SQRT($A2)))-(T$1*SQRT($A2))),TRUE)-MonteCarlo!$B$6*_xlfn.NORM.S.DIST(-((LN(MonteCarlo!$B$6/MonteCarlo!$B$5)+(MonteCarlo!$B$9+(T$1^2)/2)*$A2)/(T$1*SQRT($A2))),TRUE)),"")</f>
        <v/>
      </c>
      <c r="U2" t="str">
        <f>IFERROR(IF(OR(MonteCarlo!$B$4="C",MonteCarlo!$B$4="c"),MonteCarlo!$B$6*_xlfn.NORM.S.DIST((LN(MonteCarlo!$B$6/MonteCarlo!$B$5)+(MonteCarlo!$B$9+(U$1^2)/2)*$A2)/(U$1*SQRT($A2)),TRUE)-MonteCarlo!$B$5*EXP(-MonteCarlo!$B$9*$A2)*_xlfn.NORM.S.DIST(((LN(MonteCarlo!$B$6/MonteCarlo!$B$5)+(MonteCarlo!$B$9+(U$1^2)/2)*$A2)/(U$1*SQRT($A2)))-(U$1*SQRT($A2)),TRUE),MonteCarlo!$B$5*EXP(-MonteCarlo!$B$9*$A2)*_xlfn.NORM.S.DIST(-(((LN(MonteCarlo!$B$6/MonteCarlo!$B$5)+(MonteCarlo!$B$9+(U$1^2)/2)*$A2)/(U$1*SQRT($A2)))-(U$1*SQRT($A2))),TRUE)-MonteCarlo!$B$6*_xlfn.NORM.S.DIST(-((LN(MonteCarlo!$B$6/MonteCarlo!$B$5)+(MonteCarlo!$B$9+(U$1^2)/2)*$A2)/(U$1*SQRT($A2))),TRUE)),"")</f>
        <v/>
      </c>
      <c r="V2" t="str">
        <f>IFERROR(IF(OR(MonteCarlo!$B$4="C",MonteCarlo!$B$4="c"),MonteCarlo!$B$6*_xlfn.NORM.S.DIST((LN(MonteCarlo!$B$6/MonteCarlo!$B$5)+(MonteCarlo!$B$9+(V$1^2)/2)*$A2)/(V$1*SQRT($A2)),TRUE)-MonteCarlo!$B$5*EXP(-MonteCarlo!$B$9*$A2)*_xlfn.NORM.S.DIST(((LN(MonteCarlo!$B$6/MonteCarlo!$B$5)+(MonteCarlo!$B$9+(V$1^2)/2)*$A2)/(V$1*SQRT($A2)))-(V$1*SQRT($A2)),TRUE),MonteCarlo!$B$5*EXP(-MonteCarlo!$B$9*$A2)*_xlfn.NORM.S.DIST(-(((LN(MonteCarlo!$B$6/MonteCarlo!$B$5)+(MonteCarlo!$B$9+(V$1^2)/2)*$A2)/(V$1*SQRT($A2)))-(V$1*SQRT($A2))),TRUE)-MonteCarlo!$B$6*_xlfn.NORM.S.DIST(-((LN(MonteCarlo!$B$6/MonteCarlo!$B$5)+(MonteCarlo!$B$9+(V$1^2)/2)*$A2)/(V$1*SQRT($A2))),TRUE)),"")</f>
        <v/>
      </c>
      <c r="W2" t="str">
        <f>IFERROR(IF(OR(MonteCarlo!$B$4="C",MonteCarlo!$B$4="c"),MonteCarlo!$B$6*_xlfn.NORM.S.DIST((LN(MonteCarlo!$B$6/MonteCarlo!$B$5)+(MonteCarlo!$B$9+(W$1^2)/2)*$A2)/(W$1*SQRT($A2)),TRUE)-MonteCarlo!$B$5*EXP(-MonteCarlo!$B$9*$A2)*_xlfn.NORM.S.DIST(((LN(MonteCarlo!$B$6/MonteCarlo!$B$5)+(MonteCarlo!$B$9+(W$1^2)/2)*$A2)/(W$1*SQRT($A2)))-(W$1*SQRT($A2)),TRUE),MonteCarlo!$B$5*EXP(-MonteCarlo!$B$9*$A2)*_xlfn.NORM.S.DIST(-(((LN(MonteCarlo!$B$6/MonteCarlo!$B$5)+(MonteCarlo!$B$9+(W$1^2)/2)*$A2)/(W$1*SQRT($A2)))-(W$1*SQRT($A2))),TRUE)-MonteCarlo!$B$6*_xlfn.NORM.S.DIST(-((LN(MonteCarlo!$B$6/MonteCarlo!$B$5)+(MonteCarlo!$B$9+(W$1^2)/2)*$A2)/(W$1*SQRT($A2))),TRUE)),"")</f>
        <v/>
      </c>
      <c r="X2" t="str">
        <f>IFERROR(IF(OR(MonteCarlo!$B$4="C",MonteCarlo!$B$4="c"),MonteCarlo!$B$6*_xlfn.NORM.S.DIST((LN(MonteCarlo!$B$6/MonteCarlo!$B$5)+(MonteCarlo!$B$9+(X$1^2)/2)*$A2)/(X$1*SQRT($A2)),TRUE)-MonteCarlo!$B$5*EXP(-MonteCarlo!$B$9*$A2)*_xlfn.NORM.S.DIST(((LN(MonteCarlo!$B$6/MonteCarlo!$B$5)+(MonteCarlo!$B$9+(X$1^2)/2)*$A2)/(X$1*SQRT($A2)))-(X$1*SQRT($A2)),TRUE),MonteCarlo!$B$5*EXP(-MonteCarlo!$B$9*$A2)*_xlfn.NORM.S.DIST(-(((LN(MonteCarlo!$B$6/MonteCarlo!$B$5)+(MonteCarlo!$B$9+(X$1^2)/2)*$A2)/(X$1*SQRT($A2)))-(X$1*SQRT($A2))),TRUE)-MonteCarlo!$B$6*_xlfn.NORM.S.DIST(-((LN(MonteCarlo!$B$6/MonteCarlo!$B$5)+(MonteCarlo!$B$9+(X$1^2)/2)*$A2)/(X$1*SQRT($A2))),TRUE)),"")</f>
        <v/>
      </c>
      <c r="Y2" t="str">
        <f>IFERROR(IF(OR(MonteCarlo!$B$4="C",MonteCarlo!$B$4="c"),MonteCarlo!$B$6*_xlfn.NORM.S.DIST((LN(MonteCarlo!$B$6/MonteCarlo!$B$5)+(MonteCarlo!$B$9+(Y$1^2)/2)*$A2)/(Y$1*SQRT($A2)),TRUE)-MonteCarlo!$B$5*EXP(-MonteCarlo!$B$9*$A2)*_xlfn.NORM.S.DIST(((LN(MonteCarlo!$B$6/MonteCarlo!$B$5)+(MonteCarlo!$B$9+(Y$1^2)/2)*$A2)/(Y$1*SQRT($A2)))-(Y$1*SQRT($A2)),TRUE),MonteCarlo!$B$5*EXP(-MonteCarlo!$B$9*$A2)*_xlfn.NORM.S.DIST(-(((LN(MonteCarlo!$B$6/MonteCarlo!$B$5)+(MonteCarlo!$B$9+(Y$1^2)/2)*$A2)/(Y$1*SQRT($A2)))-(Y$1*SQRT($A2))),TRUE)-MonteCarlo!$B$6*_xlfn.NORM.S.DIST(-((LN(MonteCarlo!$B$6/MonteCarlo!$B$5)+(MonteCarlo!$B$9+(Y$1^2)/2)*$A2)/(Y$1*SQRT($A2))),TRUE)),"")</f>
        <v/>
      </c>
      <c r="Z2" t="str">
        <f>IFERROR(IF(OR(MonteCarlo!$B$4="C",MonteCarlo!$B$4="c"),MonteCarlo!$B$6*_xlfn.NORM.S.DIST((LN(MonteCarlo!$B$6/MonteCarlo!$B$5)+(MonteCarlo!$B$9+(Z$1^2)/2)*$A2)/(Z$1*SQRT($A2)),TRUE)-MonteCarlo!$B$5*EXP(-MonteCarlo!$B$9*$A2)*_xlfn.NORM.S.DIST(((LN(MonteCarlo!$B$6/MonteCarlo!$B$5)+(MonteCarlo!$B$9+(Z$1^2)/2)*$A2)/(Z$1*SQRT($A2)))-(Z$1*SQRT($A2)),TRUE),MonteCarlo!$B$5*EXP(-MonteCarlo!$B$9*$A2)*_xlfn.NORM.S.DIST(-(((LN(MonteCarlo!$B$6/MonteCarlo!$B$5)+(MonteCarlo!$B$9+(Z$1^2)/2)*$A2)/(Z$1*SQRT($A2)))-(Z$1*SQRT($A2))),TRUE)-MonteCarlo!$B$6*_xlfn.NORM.S.DIST(-((LN(MonteCarlo!$B$6/MonteCarlo!$B$5)+(MonteCarlo!$B$9+(Z$1^2)/2)*$A2)/(Z$1*SQRT($A2))),TRUE)),"")</f>
        <v/>
      </c>
      <c r="AA2" t="str">
        <f>IFERROR(IF(OR(MonteCarlo!$B$4="C",MonteCarlo!$B$4="c"),MonteCarlo!$B$6*_xlfn.NORM.S.DIST((LN(MonteCarlo!$B$6/MonteCarlo!$B$5)+(MonteCarlo!$B$9+(AA$1^2)/2)*$A2)/(AA$1*SQRT($A2)),TRUE)-MonteCarlo!$B$5*EXP(-MonteCarlo!$B$9*$A2)*_xlfn.NORM.S.DIST(((LN(MonteCarlo!$B$6/MonteCarlo!$B$5)+(MonteCarlo!$B$9+(AA$1^2)/2)*$A2)/(AA$1*SQRT($A2)))-(AA$1*SQRT($A2)),TRUE),MonteCarlo!$B$5*EXP(-MonteCarlo!$B$9*$A2)*_xlfn.NORM.S.DIST(-(((LN(MonteCarlo!$B$6/MonteCarlo!$B$5)+(MonteCarlo!$B$9+(AA$1^2)/2)*$A2)/(AA$1*SQRT($A2)))-(AA$1*SQRT($A2))),TRUE)-MonteCarlo!$B$6*_xlfn.NORM.S.DIST(-((LN(MonteCarlo!$B$6/MonteCarlo!$B$5)+(MonteCarlo!$B$9+(AA$1^2)/2)*$A2)/(AA$1*SQRT($A2))),TRUE)),"")</f>
        <v/>
      </c>
      <c r="AB2" t="str">
        <f>IFERROR(IF(OR(MonteCarlo!$B$4="C",MonteCarlo!$B$4="c"),MonteCarlo!$B$6*_xlfn.NORM.S.DIST((LN(MonteCarlo!$B$6/MonteCarlo!$B$5)+(MonteCarlo!$B$9+(AB$1^2)/2)*$A2)/(AB$1*SQRT($A2)),TRUE)-MonteCarlo!$B$5*EXP(-MonteCarlo!$B$9*$A2)*_xlfn.NORM.S.DIST(((LN(MonteCarlo!$B$6/MonteCarlo!$B$5)+(MonteCarlo!$B$9+(AB$1^2)/2)*$A2)/(AB$1*SQRT($A2)))-(AB$1*SQRT($A2)),TRUE),MonteCarlo!$B$5*EXP(-MonteCarlo!$B$9*$A2)*_xlfn.NORM.S.DIST(-(((LN(MonteCarlo!$B$6/MonteCarlo!$B$5)+(MonteCarlo!$B$9+(AB$1^2)/2)*$A2)/(AB$1*SQRT($A2)))-(AB$1*SQRT($A2))),TRUE)-MonteCarlo!$B$6*_xlfn.NORM.S.DIST(-((LN(MonteCarlo!$B$6/MonteCarlo!$B$5)+(MonteCarlo!$B$9+(AB$1^2)/2)*$A2)/(AB$1*SQRT($A2))),TRUE)),"")</f>
        <v/>
      </c>
      <c r="AC2" t="str">
        <f>IFERROR(IF(OR(MonteCarlo!$B$4="C",MonteCarlo!$B$4="c"),MonteCarlo!$B$6*_xlfn.NORM.S.DIST((LN(MonteCarlo!$B$6/MonteCarlo!$B$5)+(MonteCarlo!$B$9+(AC$1^2)/2)*$A2)/(AC$1*SQRT($A2)),TRUE)-MonteCarlo!$B$5*EXP(-MonteCarlo!$B$9*$A2)*_xlfn.NORM.S.DIST(((LN(MonteCarlo!$B$6/MonteCarlo!$B$5)+(MonteCarlo!$B$9+(AC$1^2)/2)*$A2)/(AC$1*SQRT($A2)))-(AC$1*SQRT($A2)),TRUE),MonteCarlo!$B$5*EXP(-MonteCarlo!$B$9*$A2)*_xlfn.NORM.S.DIST(-(((LN(MonteCarlo!$B$6/MonteCarlo!$B$5)+(MonteCarlo!$B$9+(AC$1^2)/2)*$A2)/(AC$1*SQRT($A2)))-(AC$1*SQRT($A2))),TRUE)-MonteCarlo!$B$6*_xlfn.NORM.S.DIST(-((LN(MonteCarlo!$B$6/MonteCarlo!$B$5)+(MonteCarlo!$B$9+(AC$1^2)/2)*$A2)/(AC$1*SQRT($A2))),TRUE)),"")</f>
        <v/>
      </c>
      <c r="AD2" t="str">
        <f>IFERROR(IF(OR(MonteCarlo!$B$4="C",MonteCarlo!$B$4="c"),MonteCarlo!$B$6*_xlfn.NORM.S.DIST((LN(MonteCarlo!$B$6/MonteCarlo!$B$5)+(MonteCarlo!$B$9+(AD$1^2)/2)*$A2)/(AD$1*SQRT($A2)),TRUE)-MonteCarlo!$B$5*EXP(-MonteCarlo!$B$9*$A2)*_xlfn.NORM.S.DIST(((LN(MonteCarlo!$B$6/MonteCarlo!$B$5)+(MonteCarlo!$B$9+(AD$1^2)/2)*$A2)/(AD$1*SQRT($A2)))-(AD$1*SQRT($A2)),TRUE),MonteCarlo!$B$5*EXP(-MonteCarlo!$B$9*$A2)*_xlfn.NORM.S.DIST(-(((LN(MonteCarlo!$B$6/MonteCarlo!$B$5)+(MonteCarlo!$B$9+(AD$1^2)/2)*$A2)/(AD$1*SQRT($A2)))-(AD$1*SQRT($A2))),TRUE)-MonteCarlo!$B$6*_xlfn.NORM.S.DIST(-((LN(MonteCarlo!$B$6/MonteCarlo!$B$5)+(MonteCarlo!$B$9+(AD$1^2)/2)*$A2)/(AD$1*SQRT($A2))),TRUE)),"")</f>
        <v/>
      </c>
      <c r="AE2" t="str">
        <f>IFERROR(IF(OR(MonteCarlo!$B$4="C",MonteCarlo!$B$4="c"),MonteCarlo!$B$6*_xlfn.NORM.S.DIST((LN(MonteCarlo!$B$6/MonteCarlo!$B$5)+(MonteCarlo!$B$9+(AE$1^2)/2)*$A2)/(AE$1*SQRT($A2)),TRUE)-MonteCarlo!$B$5*EXP(-MonteCarlo!$B$9*$A2)*_xlfn.NORM.S.DIST(((LN(MonteCarlo!$B$6/MonteCarlo!$B$5)+(MonteCarlo!$B$9+(AE$1^2)/2)*$A2)/(AE$1*SQRT($A2)))-(AE$1*SQRT($A2)),TRUE),MonteCarlo!$B$5*EXP(-MonteCarlo!$B$9*$A2)*_xlfn.NORM.S.DIST(-(((LN(MonteCarlo!$B$6/MonteCarlo!$B$5)+(MonteCarlo!$B$9+(AE$1^2)/2)*$A2)/(AE$1*SQRT($A2)))-(AE$1*SQRT($A2))),TRUE)-MonteCarlo!$B$6*_xlfn.NORM.S.DIST(-((LN(MonteCarlo!$B$6/MonteCarlo!$B$5)+(MonteCarlo!$B$9+(AE$1^2)/2)*$A2)/(AE$1*SQRT($A2))),TRUE)),"")</f>
        <v/>
      </c>
      <c r="AF2" t="str">
        <f>IFERROR(IF(OR(MonteCarlo!$B$4="C",MonteCarlo!$B$4="c"),MonteCarlo!$B$6*_xlfn.NORM.S.DIST((LN(MonteCarlo!$B$6/MonteCarlo!$B$5)+(MonteCarlo!$B$9+(AF$1^2)/2)*$A2)/(AF$1*SQRT($A2)),TRUE)-MonteCarlo!$B$5*EXP(-MonteCarlo!$B$9*$A2)*_xlfn.NORM.S.DIST(((LN(MonteCarlo!$B$6/MonteCarlo!$B$5)+(MonteCarlo!$B$9+(AF$1^2)/2)*$A2)/(AF$1*SQRT($A2)))-(AF$1*SQRT($A2)),TRUE),MonteCarlo!$B$5*EXP(-MonteCarlo!$B$9*$A2)*_xlfn.NORM.S.DIST(-(((LN(MonteCarlo!$B$6/MonteCarlo!$B$5)+(MonteCarlo!$B$9+(AF$1^2)/2)*$A2)/(AF$1*SQRT($A2)))-(AF$1*SQRT($A2))),TRUE)-MonteCarlo!$B$6*_xlfn.NORM.S.DIST(-((LN(MonteCarlo!$B$6/MonteCarlo!$B$5)+(MonteCarlo!$B$9+(AF$1^2)/2)*$A2)/(AF$1*SQRT($A2))),TRUE)),"")</f>
        <v/>
      </c>
    </row>
    <row r="3" spans="2:32" x14ac:dyDescent="0.25">
      <c r="B3" t="str">
        <f>IFERROR(IF(OR(MonteCarlo!$B$4="C",MonteCarlo!$B$4="c"),MonteCarlo!$B$6*_xlfn.NORM.S.DIST((LN(MonteCarlo!$B$6/MonteCarlo!$B$5)+(MonteCarlo!$B$9+(B$1^2)/2)*$A3)/(B$1*SQRT($A3)),TRUE)-MonteCarlo!$B$5*EXP(-MonteCarlo!$B$9*$A3)*_xlfn.NORM.S.DIST(((LN(MonteCarlo!$B$6/MonteCarlo!$B$5)+(MonteCarlo!$B$9+(B$1^2)/2)*$A3)/(B$1*SQRT($A3)))-(B$1*SQRT($A3)),TRUE),MonteCarlo!$B$5*EXP(-MonteCarlo!$B$9*$A3)*_xlfn.NORM.S.DIST(-(((LN(MonteCarlo!$B$6/MonteCarlo!$B$5)+(MonteCarlo!$B$9+(B$1^2)/2)*$A3)/(B$1*SQRT($A3)))-(B$1*SQRT($A3))),TRUE)-MonteCarlo!$B$6*_xlfn.NORM.S.DIST(-((LN(MonteCarlo!$B$6/MonteCarlo!$B$5)+(MonteCarlo!$B$9+(B$1^2)/2)*$A3)/(B$1*SQRT($A3))),TRUE)),"")</f>
        <v/>
      </c>
      <c r="C3" t="str">
        <f>IFERROR(IF(OR(MonteCarlo!$B$4="C",MonteCarlo!$B$4="c"),MonteCarlo!$B$6*_xlfn.NORM.S.DIST((LN(MonteCarlo!$B$6/MonteCarlo!$B$5)+(MonteCarlo!$B$9+(C$1^2)/2)*$A3)/(C$1*SQRT($A3)),TRUE)-MonteCarlo!$B$5*EXP(-MonteCarlo!$B$9*$A3)*_xlfn.NORM.S.DIST(((LN(MonteCarlo!$B$6/MonteCarlo!$B$5)+(MonteCarlo!$B$9+(C$1^2)/2)*$A3)/(C$1*SQRT($A3)))-(C$1*SQRT($A3)),TRUE),MonteCarlo!$B$5*EXP(-MonteCarlo!$B$9*$A3)*_xlfn.NORM.S.DIST(-(((LN(MonteCarlo!$B$6/MonteCarlo!$B$5)+(MonteCarlo!$B$9+(C$1^2)/2)*$A3)/(C$1*SQRT($A3)))-(C$1*SQRT($A3))),TRUE)-MonteCarlo!$B$6*_xlfn.NORM.S.DIST(-((LN(MonteCarlo!$B$6/MonteCarlo!$B$5)+(MonteCarlo!$B$9+(C$1^2)/2)*$A3)/(C$1*SQRT($A3))),TRUE)),"")</f>
        <v/>
      </c>
      <c r="D3" t="str">
        <f>IFERROR(IF(OR(MonteCarlo!$B$4="C",MonteCarlo!$B$4="c"),MonteCarlo!$B$6*_xlfn.NORM.S.DIST((LN(MonteCarlo!$B$6/MonteCarlo!$B$5)+(MonteCarlo!$B$9+(D$1^2)/2)*$A3)/(D$1*SQRT($A3)),TRUE)-MonteCarlo!$B$5*EXP(-MonteCarlo!$B$9*$A3)*_xlfn.NORM.S.DIST(((LN(MonteCarlo!$B$6/MonteCarlo!$B$5)+(MonteCarlo!$B$9+(D$1^2)/2)*$A3)/(D$1*SQRT($A3)))-(D$1*SQRT($A3)),TRUE),MonteCarlo!$B$5*EXP(-MonteCarlo!$B$9*$A3)*_xlfn.NORM.S.DIST(-(((LN(MonteCarlo!$B$6/MonteCarlo!$B$5)+(MonteCarlo!$B$9+(D$1^2)/2)*$A3)/(D$1*SQRT($A3)))-(D$1*SQRT($A3))),TRUE)-MonteCarlo!$B$6*_xlfn.NORM.S.DIST(-((LN(MonteCarlo!$B$6/MonteCarlo!$B$5)+(MonteCarlo!$B$9+(D$1^2)/2)*$A3)/(D$1*SQRT($A3))),TRUE)),"")</f>
        <v/>
      </c>
      <c r="E3" t="str">
        <f>IFERROR(IF(OR(MonteCarlo!$B$4="C",MonteCarlo!$B$4="c"),MonteCarlo!$B$6*_xlfn.NORM.S.DIST((LN(MonteCarlo!$B$6/MonteCarlo!$B$5)+(MonteCarlo!$B$9+(E$1^2)/2)*$A3)/(E$1*SQRT($A3)),TRUE)-MonteCarlo!$B$5*EXP(-MonteCarlo!$B$9*$A3)*_xlfn.NORM.S.DIST(((LN(MonteCarlo!$B$6/MonteCarlo!$B$5)+(MonteCarlo!$B$9+(E$1^2)/2)*$A3)/(E$1*SQRT($A3)))-(E$1*SQRT($A3)),TRUE),MonteCarlo!$B$5*EXP(-MonteCarlo!$B$9*$A3)*_xlfn.NORM.S.DIST(-(((LN(MonteCarlo!$B$6/MonteCarlo!$B$5)+(MonteCarlo!$B$9+(E$1^2)/2)*$A3)/(E$1*SQRT($A3)))-(E$1*SQRT($A3))),TRUE)-MonteCarlo!$B$6*_xlfn.NORM.S.DIST(-((LN(MonteCarlo!$B$6/MonteCarlo!$B$5)+(MonteCarlo!$B$9+(E$1^2)/2)*$A3)/(E$1*SQRT($A3))),TRUE)),"")</f>
        <v/>
      </c>
      <c r="F3" t="str">
        <f>IFERROR(IF(OR(MonteCarlo!$B$4="C",MonteCarlo!$B$4="c"),MonteCarlo!$B$6*_xlfn.NORM.S.DIST((LN(MonteCarlo!$B$6/MonteCarlo!$B$5)+(MonteCarlo!$B$9+(F$1^2)/2)*$A3)/(F$1*SQRT($A3)),TRUE)-MonteCarlo!$B$5*EXP(-MonteCarlo!$B$9*$A3)*_xlfn.NORM.S.DIST(((LN(MonteCarlo!$B$6/MonteCarlo!$B$5)+(MonteCarlo!$B$9+(F$1^2)/2)*$A3)/(F$1*SQRT($A3)))-(F$1*SQRT($A3)),TRUE),MonteCarlo!$B$5*EXP(-MonteCarlo!$B$9*$A3)*_xlfn.NORM.S.DIST(-(((LN(MonteCarlo!$B$6/MonteCarlo!$B$5)+(MonteCarlo!$B$9+(F$1^2)/2)*$A3)/(F$1*SQRT($A3)))-(F$1*SQRT($A3))),TRUE)-MonteCarlo!$B$6*_xlfn.NORM.S.DIST(-((LN(MonteCarlo!$B$6/MonteCarlo!$B$5)+(MonteCarlo!$B$9+(F$1^2)/2)*$A3)/(F$1*SQRT($A3))),TRUE)),"")</f>
        <v/>
      </c>
      <c r="G3" t="str">
        <f>IFERROR(IF(OR(MonteCarlo!$B$4="C",MonteCarlo!$B$4="c"),MonteCarlo!$B$6*_xlfn.NORM.S.DIST((LN(MonteCarlo!$B$6/MonteCarlo!$B$5)+(MonteCarlo!$B$9+(G$1^2)/2)*$A3)/(G$1*SQRT($A3)),TRUE)-MonteCarlo!$B$5*EXP(-MonteCarlo!$B$9*$A3)*_xlfn.NORM.S.DIST(((LN(MonteCarlo!$B$6/MonteCarlo!$B$5)+(MonteCarlo!$B$9+(G$1^2)/2)*$A3)/(G$1*SQRT($A3)))-(G$1*SQRT($A3)),TRUE),MonteCarlo!$B$5*EXP(-MonteCarlo!$B$9*$A3)*_xlfn.NORM.S.DIST(-(((LN(MonteCarlo!$B$6/MonteCarlo!$B$5)+(MonteCarlo!$B$9+(G$1^2)/2)*$A3)/(G$1*SQRT($A3)))-(G$1*SQRT($A3))),TRUE)-MonteCarlo!$B$6*_xlfn.NORM.S.DIST(-((LN(MonteCarlo!$B$6/MonteCarlo!$B$5)+(MonteCarlo!$B$9+(G$1^2)/2)*$A3)/(G$1*SQRT($A3))),TRUE)),"")</f>
        <v/>
      </c>
      <c r="H3" t="str">
        <f>IFERROR(IF(OR(MonteCarlo!$B$4="C",MonteCarlo!$B$4="c"),MonteCarlo!$B$6*_xlfn.NORM.S.DIST((LN(MonteCarlo!$B$6/MonteCarlo!$B$5)+(MonteCarlo!$B$9+(H$1^2)/2)*$A3)/(H$1*SQRT($A3)),TRUE)-MonteCarlo!$B$5*EXP(-MonteCarlo!$B$9*$A3)*_xlfn.NORM.S.DIST(((LN(MonteCarlo!$B$6/MonteCarlo!$B$5)+(MonteCarlo!$B$9+(H$1^2)/2)*$A3)/(H$1*SQRT($A3)))-(H$1*SQRT($A3)),TRUE),MonteCarlo!$B$5*EXP(-MonteCarlo!$B$9*$A3)*_xlfn.NORM.S.DIST(-(((LN(MonteCarlo!$B$6/MonteCarlo!$B$5)+(MonteCarlo!$B$9+(H$1^2)/2)*$A3)/(H$1*SQRT($A3)))-(H$1*SQRT($A3))),TRUE)-MonteCarlo!$B$6*_xlfn.NORM.S.DIST(-((LN(MonteCarlo!$B$6/MonteCarlo!$B$5)+(MonteCarlo!$B$9+(H$1^2)/2)*$A3)/(H$1*SQRT($A3))),TRUE)),"")</f>
        <v/>
      </c>
      <c r="I3" t="str">
        <f>IFERROR(IF(OR(MonteCarlo!$B$4="C",MonteCarlo!$B$4="c"),MonteCarlo!$B$6*_xlfn.NORM.S.DIST((LN(MonteCarlo!$B$6/MonteCarlo!$B$5)+(MonteCarlo!$B$9+(I$1^2)/2)*$A3)/(I$1*SQRT($A3)),TRUE)-MonteCarlo!$B$5*EXP(-MonteCarlo!$B$9*$A3)*_xlfn.NORM.S.DIST(((LN(MonteCarlo!$B$6/MonteCarlo!$B$5)+(MonteCarlo!$B$9+(I$1^2)/2)*$A3)/(I$1*SQRT($A3)))-(I$1*SQRT($A3)),TRUE),MonteCarlo!$B$5*EXP(-MonteCarlo!$B$9*$A3)*_xlfn.NORM.S.DIST(-(((LN(MonteCarlo!$B$6/MonteCarlo!$B$5)+(MonteCarlo!$B$9+(I$1^2)/2)*$A3)/(I$1*SQRT($A3)))-(I$1*SQRT($A3))),TRUE)-MonteCarlo!$B$6*_xlfn.NORM.S.DIST(-((LN(MonteCarlo!$B$6/MonteCarlo!$B$5)+(MonteCarlo!$B$9+(I$1^2)/2)*$A3)/(I$1*SQRT($A3))),TRUE)),"")</f>
        <v/>
      </c>
      <c r="J3" t="str">
        <f>IFERROR(IF(OR(MonteCarlo!$B$4="C",MonteCarlo!$B$4="c"),MonteCarlo!$B$6*_xlfn.NORM.S.DIST((LN(MonteCarlo!$B$6/MonteCarlo!$B$5)+(MonteCarlo!$B$9+(J$1^2)/2)*$A3)/(J$1*SQRT($A3)),TRUE)-MonteCarlo!$B$5*EXP(-MonteCarlo!$B$9*$A3)*_xlfn.NORM.S.DIST(((LN(MonteCarlo!$B$6/MonteCarlo!$B$5)+(MonteCarlo!$B$9+(J$1^2)/2)*$A3)/(J$1*SQRT($A3)))-(J$1*SQRT($A3)),TRUE),MonteCarlo!$B$5*EXP(-MonteCarlo!$B$9*$A3)*_xlfn.NORM.S.DIST(-(((LN(MonteCarlo!$B$6/MonteCarlo!$B$5)+(MonteCarlo!$B$9+(J$1^2)/2)*$A3)/(J$1*SQRT($A3)))-(J$1*SQRT($A3))),TRUE)-MonteCarlo!$B$6*_xlfn.NORM.S.DIST(-((LN(MonteCarlo!$B$6/MonteCarlo!$B$5)+(MonteCarlo!$B$9+(J$1^2)/2)*$A3)/(J$1*SQRT($A3))),TRUE)),"")</f>
        <v/>
      </c>
      <c r="K3" t="str">
        <f>IFERROR(IF(OR(MonteCarlo!$B$4="C",MonteCarlo!$B$4="c"),MonteCarlo!$B$6*_xlfn.NORM.S.DIST((LN(MonteCarlo!$B$6/MonteCarlo!$B$5)+(MonteCarlo!$B$9+(K$1^2)/2)*$A3)/(K$1*SQRT($A3)),TRUE)-MonteCarlo!$B$5*EXP(-MonteCarlo!$B$9*$A3)*_xlfn.NORM.S.DIST(((LN(MonteCarlo!$B$6/MonteCarlo!$B$5)+(MonteCarlo!$B$9+(K$1^2)/2)*$A3)/(K$1*SQRT($A3)))-(K$1*SQRT($A3)),TRUE),MonteCarlo!$B$5*EXP(-MonteCarlo!$B$9*$A3)*_xlfn.NORM.S.DIST(-(((LN(MonteCarlo!$B$6/MonteCarlo!$B$5)+(MonteCarlo!$B$9+(K$1^2)/2)*$A3)/(K$1*SQRT($A3)))-(K$1*SQRT($A3))),TRUE)-MonteCarlo!$B$6*_xlfn.NORM.S.DIST(-((LN(MonteCarlo!$B$6/MonteCarlo!$B$5)+(MonteCarlo!$B$9+(K$1^2)/2)*$A3)/(K$1*SQRT($A3))),TRUE)),"")</f>
        <v/>
      </c>
      <c r="L3" t="str">
        <f>IFERROR(IF(OR(MonteCarlo!$B$4="C",MonteCarlo!$B$4="c"),MonteCarlo!$B$6*_xlfn.NORM.S.DIST((LN(MonteCarlo!$B$6/MonteCarlo!$B$5)+(MonteCarlo!$B$9+(L$1^2)/2)*$A3)/(L$1*SQRT($A3)),TRUE)-MonteCarlo!$B$5*EXP(-MonteCarlo!$B$9*$A3)*_xlfn.NORM.S.DIST(((LN(MonteCarlo!$B$6/MonteCarlo!$B$5)+(MonteCarlo!$B$9+(L$1^2)/2)*$A3)/(L$1*SQRT($A3)))-(L$1*SQRT($A3)),TRUE),MonteCarlo!$B$5*EXP(-MonteCarlo!$B$9*$A3)*_xlfn.NORM.S.DIST(-(((LN(MonteCarlo!$B$6/MonteCarlo!$B$5)+(MonteCarlo!$B$9+(L$1^2)/2)*$A3)/(L$1*SQRT($A3)))-(L$1*SQRT($A3))),TRUE)-MonteCarlo!$B$6*_xlfn.NORM.S.DIST(-((LN(MonteCarlo!$B$6/MonteCarlo!$B$5)+(MonteCarlo!$B$9+(L$1^2)/2)*$A3)/(L$1*SQRT($A3))),TRUE)),"")</f>
        <v/>
      </c>
      <c r="M3" t="str">
        <f>IFERROR(IF(OR(MonteCarlo!$B$4="C",MonteCarlo!$B$4="c"),MonteCarlo!$B$6*_xlfn.NORM.S.DIST((LN(MonteCarlo!$B$6/MonteCarlo!$B$5)+(MonteCarlo!$B$9+(M$1^2)/2)*$A3)/(M$1*SQRT($A3)),TRUE)-MonteCarlo!$B$5*EXP(-MonteCarlo!$B$9*$A3)*_xlfn.NORM.S.DIST(((LN(MonteCarlo!$B$6/MonteCarlo!$B$5)+(MonteCarlo!$B$9+(M$1^2)/2)*$A3)/(M$1*SQRT($A3)))-(M$1*SQRT($A3)),TRUE),MonteCarlo!$B$5*EXP(-MonteCarlo!$B$9*$A3)*_xlfn.NORM.S.DIST(-(((LN(MonteCarlo!$B$6/MonteCarlo!$B$5)+(MonteCarlo!$B$9+(M$1^2)/2)*$A3)/(M$1*SQRT($A3)))-(M$1*SQRT($A3))),TRUE)-MonteCarlo!$B$6*_xlfn.NORM.S.DIST(-((LN(MonteCarlo!$B$6/MonteCarlo!$B$5)+(MonteCarlo!$B$9+(M$1^2)/2)*$A3)/(M$1*SQRT($A3))),TRUE)),"")</f>
        <v/>
      </c>
      <c r="N3" t="str">
        <f>IFERROR(IF(OR(MonteCarlo!$B$4="C",MonteCarlo!$B$4="c"),MonteCarlo!$B$6*_xlfn.NORM.S.DIST((LN(MonteCarlo!$B$6/MonteCarlo!$B$5)+(MonteCarlo!$B$9+(N$1^2)/2)*$A3)/(N$1*SQRT($A3)),TRUE)-MonteCarlo!$B$5*EXP(-MonteCarlo!$B$9*$A3)*_xlfn.NORM.S.DIST(((LN(MonteCarlo!$B$6/MonteCarlo!$B$5)+(MonteCarlo!$B$9+(N$1^2)/2)*$A3)/(N$1*SQRT($A3)))-(N$1*SQRT($A3)),TRUE),MonteCarlo!$B$5*EXP(-MonteCarlo!$B$9*$A3)*_xlfn.NORM.S.DIST(-(((LN(MonteCarlo!$B$6/MonteCarlo!$B$5)+(MonteCarlo!$B$9+(N$1^2)/2)*$A3)/(N$1*SQRT($A3)))-(N$1*SQRT($A3))),TRUE)-MonteCarlo!$B$6*_xlfn.NORM.S.DIST(-((LN(MonteCarlo!$B$6/MonteCarlo!$B$5)+(MonteCarlo!$B$9+(N$1^2)/2)*$A3)/(N$1*SQRT($A3))),TRUE)),"")</f>
        <v/>
      </c>
      <c r="O3" t="str">
        <f>IFERROR(IF(OR(MonteCarlo!$B$4="C",MonteCarlo!$B$4="c"),MonteCarlo!$B$6*_xlfn.NORM.S.DIST((LN(MonteCarlo!$B$6/MonteCarlo!$B$5)+(MonteCarlo!$B$9+(O$1^2)/2)*$A3)/(O$1*SQRT($A3)),TRUE)-MonteCarlo!$B$5*EXP(-MonteCarlo!$B$9*$A3)*_xlfn.NORM.S.DIST(((LN(MonteCarlo!$B$6/MonteCarlo!$B$5)+(MonteCarlo!$B$9+(O$1^2)/2)*$A3)/(O$1*SQRT($A3)))-(O$1*SQRT($A3)),TRUE),MonteCarlo!$B$5*EXP(-MonteCarlo!$B$9*$A3)*_xlfn.NORM.S.DIST(-(((LN(MonteCarlo!$B$6/MonteCarlo!$B$5)+(MonteCarlo!$B$9+(O$1^2)/2)*$A3)/(O$1*SQRT($A3)))-(O$1*SQRT($A3))),TRUE)-MonteCarlo!$B$6*_xlfn.NORM.S.DIST(-((LN(MonteCarlo!$B$6/MonteCarlo!$B$5)+(MonteCarlo!$B$9+(O$1^2)/2)*$A3)/(O$1*SQRT($A3))),TRUE)),"")</f>
        <v/>
      </c>
      <c r="P3" t="str">
        <f>IFERROR(IF(OR(MonteCarlo!$B$4="C",MonteCarlo!$B$4="c"),MonteCarlo!$B$6*_xlfn.NORM.S.DIST((LN(MonteCarlo!$B$6/MonteCarlo!$B$5)+(MonteCarlo!$B$9+(P$1^2)/2)*$A3)/(P$1*SQRT($A3)),TRUE)-MonteCarlo!$B$5*EXP(-MonteCarlo!$B$9*$A3)*_xlfn.NORM.S.DIST(((LN(MonteCarlo!$B$6/MonteCarlo!$B$5)+(MonteCarlo!$B$9+(P$1^2)/2)*$A3)/(P$1*SQRT($A3)))-(P$1*SQRT($A3)),TRUE),MonteCarlo!$B$5*EXP(-MonteCarlo!$B$9*$A3)*_xlfn.NORM.S.DIST(-(((LN(MonteCarlo!$B$6/MonteCarlo!$B$5)+(MonteCarlo!$B$9+(P$1^2)/2)*$A3)/(P$1*SQRT($A3)))-(P$1*SQRT($A3))),TRUE)-MonteCarlo!$B$6*_xlfn.NORM.S.DIST(-((LN(MonteCarlo!$B$6/MonteCarlo!$B$5)+(MonteCarlo!$B$9+(P$1^2)/2)*$A3)/(P$1*SQRT($A3))),TRUE)),"")</f>
        <v/>
      </c>
      <c r="Q3" t="str">
        <f>IFERROR(IF(OR(MonteCarlo!$B$4="C",MonteCarlo!$B$4="c"),MonteCarlo!$B$6*_xlfn.NORM.S.DIST((LN(MonteCarlo!$B$6/MonteCarlo!$B$5)+(MonteCarlo!$B$9+(Q$1^2)/2)*$A3)/(Q$1*SQRT($A3)),TRUE)-MonteCarlo!$B$5*EXP(-MonteCarlo!$B$9*$A3)*_xlfn.NORM.S.DIST(((LN(MonteCarlo!$B$6/MonteCarlo!$B$5)+(MonteCarlo!$B$9+(Q$1^2)/2)*$A3)/(Q$1*SQRT($A3)))-(Q$1*SQRT($A3)),TRUE),MonteCarlo!$B$5*EXP(-MonteCarlo!$B$9*$A3)*_xlfn.NORM.S.DIST(-(((LN(MonteCarlo!$B$6/MonteCarlo!$B$5)+(MonteCarlo!$B$9+(Q$1^2)/2)*$A3)/(Q$1*SQRT($A3)))-(Q$1*SQRT($A3))),TRUE)-MonteCarlo!$B$6*_xlfn.NORM.S.DIST(-((LN(MonteCarlo!$B$6/MonteCarlo!$B$5)+(MonteCarlo!$B$9+(Q$1^2)/2)*$A3)/(Q$1*SQRT($A3))),TRUE)),"")</f>
        <v/>
      </c>
      <c r="R3" t="str">
        <f>IFERROR(IF(OR(MonteCarlo!$B$4="C",MonteCarlo!$B$4="c"),MonteCarlo!$B$6*_xlfn.NORM.S.DIST((LN(MonteCarlo!$B$6/MonteCarlo!$B$5)+(MonteCarlo!$B$9+(R$1^2)/2)*$A3)/(R$1*SQRT($A3)),TRUE)-MonteCarlo!$B$5*EXP(-MonteCarlo!$B$9*$A3)*_xlfn.NORM.S.DIST(((LN(MonteCarlo!$B$6/MonteCarlo!$B$5)+(MonteCarlo!$B$9+(R$1^2)/2)*$A3)/(R$1*SQRT($A3)))-(R$1*SQRT($A3)),TRUE),MonteCarlo!$B$5*EXP(-MonteCarlo!$B$9*$A3)*_xlfn.NORM.S.DIST(-(((LN(MonteCarlo!$B$6/MonteCarlo!$B$5)+(MonteCarlo!$B$9+(R$1^2)/2)*$A3)/(R$1*SQRT($A3)))-(R$1*SQRT($A3))),TRUE)-MonteCarlo!$B$6*_xlfn.NORM.S.DIST(-((LN(MonteCarlo!$B$6/MonteCarlo!$B$5)+(MonteCarlo!$B$9+(R$1^2)/2)*$A3)/(R$1*SQRT($A3))),TRUE)),"")</f>
        <v/>
      </c>
      <c r="S3" t="str">
        <f>IFERROR(IF(OR(MonteCarlo!$B$4="C",MonteCarlo!$B$4="c"),MonteCarlo!$B$6*_xlfn.NORM.S.DIST((LN(MonteCarlo!$B$6/MonteCarlo!$B$5)+(MonteCarlo!$B$9+(S$1^2)/2)*$A3)/(S$1*SQRT($A3)),TRUE)-MonteCarlo!$B$5*EXP(-MonteCarlo!$B$9*$A3)*_xlfn.NORM.S.DIST(((LN(MonteCarlo!$B$6/MonteCarlo!$B$5)+(MonteCarlo!$B$9+(S$1^2)/2)*$A3)/(S$1*SQRT($A3)))-(S$1*SQRT($A3)),TRUE),MonteCarlo!$B$5*EXP(-MonteCarlo!$B$9*$A3)*_xlfn.NORM.S.DIST(-(((LN(MonteCarlo!$B$6/MonteCarlo!$B$5)+(MonteCarlo!$B$9+(S$1^2)/2)*$A3)/(S$1*SQRT($A3)))-(S$1*SQRT($A3))),TRUE)-MonteCarlo!$B$6*_xlfn.NORM.S.DIST(-((LN(MonteCarlo!$B$6/MonteCarlo!$B$5)+(MonteCarlo!$B$9+(S$1^2)/2)*$A3)/(S$1*SQRT($A3))),TRUE)),"")</f>
        <v/>
      </c>
      <c r="T3" t="str">
        <f>IFERROR(IF(OR(MonteCarlo!$B$4="C",MonteCarlo!$B$4="c"),MonteCarlo!$B$6*_xlfn.NORM.S.DIST((LN(MonteCarlo!$B$6/MonteCarlo!$B$5)+(MonteCarlo!$B$9+(T$1^2)/2)*$A3)/(T$1*SQRT($A3)),TRUE)-MonteCarlo!$B$5*EXP(-MonteCarlo!$B$9*$A3)*_xlfn.NORM.S.DIST(((LN(MonteCarlo!$B$6/MonteCarlo!$B$5)+(MonteCarlo!$B$9+(T$1^2)/2)*$A3)/(T$1*SQRT($A3)))-(T$1*SQRT($A3)),TRUE),MonteCarlo!$B$5*EXP(-MonteCarlo!$B$9*$A3)*_xlfn.NORM.S.DIST(-(((LN(MonteCarlo!$B$6/MonteCarlo!$B$5)+(MonteCarlo!$B$9+(T$1^2)/2)*$A3)/(T$1*SQRT($A3)))-(T$1*SQRT($A3))),TRUE)-MonteCarlo!$B$6*_xlfn.NORM.S.DIST(-((LN(MonteCarlo!$B$6/MonteCarlo!$B$5)+(MonteCarlo!$B$9+(T$1^2)/2)*$A3)/(T$1*SQRT($A3))),TRUE)),"")</f>
        <v/>
      </c>
      <c r="U3" t="str">
        <f>IFERROR(IF(OR(MonteCarlo!$B$4="C",MonteCarlo!$B$4="c"),MonteCarlo!$B$6*_xlfn.NORM.S.DIST((LN(MonteCarlo!$B$6/MonteCarlo!$B$5)+(MonteCarlo!$B$9+(U$1^2)/2)*$A3)/(U$1*SQRT($A3)),TRUE)-MonteCarlo!$B$5*EXP(-MonteCarlo!$B$9*$A3)*_xlfn.NORM.S.DIST(((LN(MonteCarlo!$B$6/MonteCarlo!$B$5)+(MonteCarlo!$B$9+(U$1^2)/2)*$A3)/(U$1*SQRT($A3)))-(U$1*SQRT($A3)),TRUE),MonteCarlo!$B$5*EXP(-MonteCarlo!$B$9*$A3)*_xlfn.NORM.S.DIST(-(((LN(MonteCarlo!$B$6/MonteCarlo!$B$5)+(MonteCarlo!$B$9+(U$1^2)/2)*$A3)/(U$1*SQRT($A3)))-(U$1*SQRT($A3))),TRUE)-MonteCarlo!$B$6*_xlfn.NORM.S.DIST(-((LN(MonteCarlo!$B$6/MonteCarlo!$B$5)+(MonteCarlo!$B$9+(U$1^2)/2)*$A3)/(U$1*SQRT($A3))),TRUE)),"")</f>
        <v/>
      </c>
      <c r="V3" t="str">
        <f>IFERROR(IF(OR(MonteCarlo!$B$4="C",MonteCarlo!$B$4="c"),MonteCarlo!$B$6*_xlfn.NORM.S.DIST((LN(MonteCarlo!$B$6/MonteCarlo!$B$5)+(MonteCarlo!$B$9+(V$1^2)/2)*$A3)/(V$1*SQRT($A3)),TRUE)-MonteCarlo!$B$5*EXP(-MonteCarlo!$B$9*$A3)*_xlfn.NORM.S.DIST(((LN(MonteCarlo!$B$6/MonteCarlo!$B$5)+(MonteCarlo!$B$9+(V$1^2)/2)*$A3)/(V$1*SQRT($A3)))-(V$1*SQRT($A3)),TRUE),MonteCarlo!$B$5*EXP(-MonteCarlo!$B$9*$A3)*_xlfn.NORM.S.DIST(-(((LN(MonteCarlo!$B$6/MonteCarlo!$B$5)+(MonteCarlo!$B$9+(V$1^2)/2)*$A3)/(V$1*SQRT($A3)))-(V$1*SQRT($A3))),TRUE)-MonteCarlo!$B$6*_xlfn.NORM.S.DIST(-((LN(MonteCarlo!$B$6/MonteCarlo!$B$5)+(MonteCarlo!$B$9+(V$1^2)/2)*$A3)/(V$1*SQRT($A3))),TRUE)),"")</f>
        <v/>
      </c>
      <c r="W3" t="str">
        <f>IFERROR(IF(OR(MonteCarlo!$B$4="C",MonteCarlo!$B$4="c"),MonteCarlo!$B$6*_xlfn.NORM.S.DIST((LN(MonteCarlo!$B$6/MonteCarlo!$B$5)+(MonteCarlo!$B$9+(W$1^2)/2)*$A3)/(W$1*SQRT($A3)),TRUE)-MonteCarlo!$B$5*EXP(-MonteCarlo!$B$9*$A3)*_xlfn.NORM.S.DIST(((LN(MonteCarlo!$B$6/MonteCarlo!$B$5)+(MonteCarlo!$B$9+(W$1^2)/2)*$A3)/(W$1*SQRT($A3)))-(W$1*SQRT($A3)),TRUE),MonteCarlo!$B$5*EXP(-MonteCarlo!$B$9*$A3)*_xlfn.NORM.S.DIST(-(((LN(MonteCarlo!$B$6/MonteCarlo!$B$5)+(MonteCarlo!$B$9+(W$1^2)/2)*$A3)/(W$1*SQRT($A3)))-(W$1*SQRT($A3))),TRUE)-MonteCarlo!$B$6*_xlfn.NORM.S.DIST(-((LN(MonteCarlo!$B$6/MonteCarlo!$B$5)+(MonteCarlo!$B$9+(W$1^2)/2)*$A3)/(W$1*SQRT($A3))),TRUE)),"")</f>
        <v/>
      </c>
      <c r="X3" t="str">
        <f>IFERROR(IF(OR(MonteCarlo!$B$4="C",MonteCarlo!$B$4="c"),MonteCarlo!$B$6*_xlfn.NORM.S.DIST((LN(MonteCarlo!$B$6/MonteCarlo!$B$5)+(MonteCarlo!$B$9+(X$1^2)/2)*$A3)/(X$1*SQRT($A3)),TRUE)-MonteCarlo!$B$5*EXP(-MonteCarlo!$B$9*$A3)*_xlfn.NORM.S.DIST(((LN(MonteCarlo!$B$6/MonteCarlo!$B$5)+(MonteCarlo!$B$9+(X$1^2)/2)*$A3)/(X$1*SQRT($A3)))-(X$1*SQRT($A3)),TRUE),MonteCarlo!$B$5*EXP(-MonteCarlo!$B$9*$A3)*_xlfn.NORM.S.DIST(-(((LN(MonteCarlo!$B$6/MonteCarlo!$B$5)+(MonteCarlo!$B$9+(X$1^2)/2)*$A3)/(X$1*SQRT($A3)))-(X$1*SQRT($A3))),TRUE)-MonteCarlo!$B$6*_xlfn.NORM.S.DIST(-((LN(MonteCarlo!$B$6/MonteCarlo!$B$5)+(MonteCarlo!$B$9+(X$1^2)/2)*$A3)/(X$1*SQRT($A3))),TRUE)),"")</f>
        <v/>
      </c>
      <c r="Y3" t="str">
        <f>IFERROR(IF(OR(MonteCarlo!$B$4="C",MonteCarlo!$B$4="c"),MonteCarlo!$B$6*_xlfn.NORM.S.DIST((LN(MonteCarlo!$B$6/MonteCarlo!$B$5)+(MonteCarlo!$B$9+(Y$1^2)/2)*$A3)/(Y$1*SQRT($A3)),TRUE)-MonteCarlo!$B$5*EXP(-MonteCarlo!$B$9*$A3)*_xlfn.NORM.S.DIST(((LN(MonteCarlo!$B$6/MonteCarlo!$B$5)+(MonteCarlo!$B$9+(Y$1^2)/2)*$A3)/(Y$1*SQRT($A3)))-(Y$1*SQRT($A3)),TRUE),MonteCarlo!$B$5*EXP(-MonteCarlo!$B$9*$A3)*_xlfn.NORM.S.DIST(-(((LN(MonteCarlo!$B$6/MonteCarlo!$B$5)+(MonteCarlo!$B$9+(Y$1^2)/2)*$A3)/(Y$1*SQRT($A3)))-(Y$1*SQRT($A3))),TRUE)-MonteCarlo!$B$6*_xlfn.NORM.S.DIST(-((LN(MonteCarlo!$B$6/MonteCarlo!$B$5)+(MonteCarlo!$B$9+(Y$1^2)/2)*$A3)/(Y$1*SQRT($A3))),TRUE)),"")</f>
        <v/>
      </c>
      <c r="Z3" t="str">
        <f>IFERROR(IF(OR(MonteCarlo!$B$4="C",MonteCarlo!$B$4="c"),MonteCarlo!$B$6*_xlfn.NORM.S.DIST((LN(MonteCarlo!$B$6/MonteCarlo!$B$5)+(MonteCarlo!$B$9+(Z$1^2)/2)*$A3)/(Z$1*SQRT($A3)),TRUE)-MonteCarlo!$B$5*EXP(-MonteCarlo!$B$9*$A3)*_xlfn.NORM.S.DIST(((LN(MonteCarlo!$B$6/MonteCarlo!$B$5)+(MonteCarlo!$B$9+(Z$1^2)/2)*$A3)/(Z$1*SQRT($A3)))-(Z$1*SQRT($A3)),TRUE),MonteCarlo!$B$5*EXP(-MonteCarlo!$B$9*$A3)*_xlfn.NORM.S.DIST(-(((LN(MonteCarlo!$B$6/MonteCarlo!$B$5)+(MonteCarlo!$B$9+(Z$1^2)/2)*$A3)/(Z$1*SQRT($A3)))-(Z$1*SQRT($A3))),TRUE)-MonteCarlo!$B$6*_xlfn.NORM.S.DIST(-((LN(MonteCarlo!$B$6/MonteCarlo!$B$5)+(MonteCarlo!$B$9+(Z$1^2)/2)*$A3)/(Z$1*SQRT($A3))),TRUE)),"")</f>
        <v/>
      </c>
      <c r="AA3" t="str">
        <f>IFERROR(IF(OR(MonteCarlo!$B$4="C",MonteCarlo!$B$4="c"),MonteCarlo!$B$6*_xlfn.NORM.S.DIST((LN(MonteCarlo!$B$6/MonteCarlo!$B$5)+(MonteCarlo!$B$9+(AA$1^2)/2)*$A3)/(AA$1*SQRT($A3)),TRUE)-MonteCarlo!$B$5*EXP(-MonteCarlo!$B$9*$A3)*_xlfn.NORM.S.DIST(((LN(MonteCarlo!$B$6/MonteCarlo!$B$5)+(MonteCarlo!$B$9+(AA$1^2)/2)*$A3)/(AA$1*SQRT($A3)))-(AA$1*SQRT($A3)),TRUE),MonteCarlo!$B$5*EXP(-MonteCarlo!$B$9*$A3)*_xlfn.NORM.S.DIST(-(((LN(MonteCarlo!$B$6/MonteCarlo!$B$5)+(MonteCarlo!$B$9+(AA$1^2)/2)*$A3)/(AA$1*SQRT($A3)))-(AA$1*SQRT($A3))),TRUE)-MonteCarlo!$B$6*_xlfn.NORM.S.DIST(-((LN(MonteCarlo!$B$6/MonteCarlo!$B$5)+(MonteCarlo!$B$9+(AA$1^2)/2)*$A3)/(AA$1*SQRT($A3))),TRUE)),"")</f>
        <v/>
      </c>
      <c r="AB3" t="str">
        <f>IFERROR(IF(OR(MonteCarlo!$B$4="C",MonteCarlo!$B$4="c"),MonteCarlo!$B$6*_xlfn.NORM.S.DIST((LN(MonteCarlo!$B$6/MonteCarlo!$B$5)+(MonteCarlo!$B$9+(AB$1^2)/2)*$A3)/(AB$1*SQRT($A3)),TRUE)-MonteCarlo!$B$5*EXP(-MonteCarlo!$B$9*$A3)*_xlfn.NORM.S.DIST(((LN(MonteCarlo!$B$6/MonteCarlo!$B$5)+(MonteCarlo!$B$9+(AB$1^2)/2)*$A3)/(AB$1*SQRT($A3)))-(AB$1*SQRT($A3)),TRUE),MonteCarlo!$B$5*EXP(-MonteCarlo!$B$9*$A3)*_xlfn.NORM.S.DIST(-(((LN(MonteCarlo!$B$6/MonteCarlo!$B$5)+(MonteCarlo!$B$9+(AB$1^2)/2)*$A3)/(AB$1*SQRT($A3)))-(AB$1*SQRT($A3))),TRUE)-MonteCarlo!$B$6*_xlfn.NORM.S.DIST(-((LN(MonteCarlo!$B$6/MonteCarlo!$B$5)+(MonteCarlo!$B$9+(AB$1^2)/2)*$A3)/(AB$1*SQRT($A3))),TRUE)),"")</f>
        <v/>
      </c>
      <c r="AC3" t="str">
        <f>IFERROR(IF(OR(MonteCarlo!$B$4="C",MonteCarlo!$B$4="c"),MonteCarlo!$B$6*_xlfn.NORM.S.DIST((LN(MonteCarlo!$B$6/MonteCarlo!$B$5)+(MonteCarlo!$B$9+(AC$1^2)/2)*$A3)/(AC$1*SQRT($A3)),TRUE)-MonteCarlo!$B$5*EXP(-MonteCarlo!$B$9*$A3)*_xlfn.NORM.S.DIST(((LN(MonteCarlo!$B$6/MonteCarlo!$B$5)+(MonteCarlo!$B$9+(AC$1^2)/2)*$A3)/(AC$1*SQRT($A3)))-(AC$1*SQRT($A3)),TRUE),MonteCarlo!$B$5*EXP(-MonteCarlo!$B$9*$A3)*_xlfn.NORM.S.DIST(-(((LN(MonteCarlo!$B$6/MonteCarlo!$B$5)+(MonteCarlo!$B$9+(AC$1^2)/2)*$A3)/(AC$1*SQRT($A3)))-(AC$1*SQRT($A3))),TRUE)-MonteCarlo!$B$6*_xlfn.NORM.S.DIST(-((LN(MonteCarlo!$B$6/MonteCarlo!$B$5)+(MonteCarlo!$B$9+(AC$1^2)/2)*$A3)/(AC$1*SQRT($A3))),TRUE)),"")</f>
        <v/>
      </c>
      <c r="AD3" t="str">
        <f>IFERROR(IF(OR(MonteCarlo!$B$4="C",MonteCarlo!$B$4="c"),MonteCarlo!$B$6*_xlfn.NORM.S.DIST((LN(MonteCarlo!$B$6/MonteCarlo!$B$5)+(MonteCarlo!$B$9+(AD$1^2)/2)*$A3)/(AD$1*SQRT($A3)),TRUE)-MonteCarlo!$B$5*EXP(-MonteCarlo!$B$9*$A3)*_xlfn.NORM.S.DIST(((LN(MonteCarlo!$B$6/MonteCarlo!$B$5)+(MonteCarlo!$B$9+(AD$1^2)/2)*$A3)/(AD$1*SQRT($A3)))-(AD$1*SQRT($A3)),TRUE),MonteCarlo!$B$5*EXP(-MonteCarlo!$B$9*$A3)*_xlfn.NORM.S.DIST(-(((LN(MonteCarlo!$B$6/MonteCarlo!$B$5)+(MonteCarlo!$B$9+(AD$1^2)/2)*$A3)/(AD$1*SQRT($A3)))-(AD$1*SQRT($A3))),TRUE)-MonteCarlo!$B$6*_xlfn.NORM.S.DIST(-((LN(MonteCarlo!$B$6/MonteCarlo!$B$5)+(MonteCarlo!$B$9+(AD$1^2)/2)*$A3)/(AD$1*SQRT($A3))),TRUE)),"")</f>
        <v/>
      </c>
      <c r="AE3" t="str">
        <f>IFERROR(IF(OR(MonteCarlo!$B$4="C",MonteCarlo!$B$4="c"),MonteCarlo!$B$6*_xlfn.NORM.S.DIST((LN(MonteCarlo!$B$6/MonteCarlo!$B$5)+(MonteCarlo!$B$9+(AE$1^2)/2)*$A3)/(AE$1*SQRT($A3)),TRUE)-MonteCarlo!$B$5*EXP(-MonteCarlo!$B$9*$A3)*_xlfn.NORM.S.DIST(((LN(MonteCarlo!$B$6/MonteCarlo!$B$5)+(MonteCarlo!$B$9+(AE$1^2)/2)*$A3)/(AE$1*SQRT($A3)))-(AE$1*SQRT($A3)),TRUE),MonteCarlo!$B$5*EXP(-MonteCarlo!$B$9*$A3)*_xlfn.NORM.S.DIST(-(((LN(MonteCarlo!$B$6/MonteCarlo!$B$5)+(MonteCarlo!$B$9+(AE$1^2)/2)*$A3)/(AE$1*SQRT($A3)))-(AE$1*SQRT($A3))),TRUE)-MonteCarlo!$B$6*_xlfn.NORM.S.DIST(-((LN(MonteCarlo!$B$6/MonteCarlo!$B$5)+(MonteCarlo!$B$9+(AE$1^2)/2)*$A3)/(AE$1*SQRT($A3))),TRUE)),"")</f>
        <v/>
      </c>
      <c r="AF3" t="str">
        <f>IFERROR(IF(OR(MonteCarlo!$B$4="C",MonteCarlo!$B$4="c"),MonteCarlo!$B$6*_xlfn.NORM.S.DIST((LN(MonteCarlo!$B$6/MonteCarlo!$B$5)+(MonteCarlo!$B$9+(AF$1^2)/2)*$A3)/(AF$1*SQRT($A3)),TRUE)-MonteCarlo!$B$5*EXP(-MonteCarlo!$B$9*$A3)*_xlfn.NORM.S.DIST(((LN(MonteCarlo!$B$6/MonteCarlo!$B$5)+(MonteCarlo!$B$9+(AF$1^2)/2)*$A3)/(AF$1*SQRT($A3)))-(AF$1*SQRT($A3)),TRUE),MonteCarlo!$B$5*EXP(-MonteCarlo!$B$9*$A3)*_xlfn.NORM.S.DIST(-(((LN(MonteCarlo!$B$6/MonteCarlo!$B$5)+(MonteCarlo!$B$9+(AF$1^2)/2)*$A3)/(AF$1*SQRT($A3)))-(AF$1*SQRT($A3))),TRUE)-MonteCarlo!$B$6*_xlfn.NORM.S.DIST(-((LN(MonteCarlo!$B$6/MonteCarlo!$B$5)+(MonteCarlo!$B$9+(AF$1^2)/2)*$A3)/(AF$1*SQRT($A3))),TRUE)),"")</f>
        <v/>
      </c>
    </row>
    <row r="4" spans="2:32" x14ac:dyDescent="0.25">
      <c r="B4" t="str">
        <f>IFERROR(IF(OR(MonteCarlo!$B$4="C",MonteCarlo!$B$4="c"),MonteCarlo!$B$6*_xlfn.NORM.S.DIST((LN(MonteCarlo!$B$6/MonteCarlo!$B$5)+(MonteCarlo!$B$9+(B$1^2)/2)*$A4)/(B$1*SQRT($A4)),TRUE)-MonteCarlo!$B$5*EXP(-MonteCarlo!$B$9*$A4)*_xlfn.NORM.S.DIST(((LN(MonteCarlo!$B$6/MonteCarlo!$B$5)+(MonteCarlo!$B$9+(B$1^2)/2)*$A4)/(B$1*SQRT($A4)))-(B$1*SQRT($A4)),TRUE),MonteCarlo!$B$5*EXP(-MonteCarlo!$B$9*$A4)*_xlfn.NORM.S.DIST(-(((LN(MonteCarlo!$B$6/MonteCarlo!$B$5)+(MonteCarlo!$B$9+(B$1^2)/2)*$A4)/(B$1*SQRT($A4)))-(B$1*SQRT($A4))),TRUE)-MonteCarlo!$B$6*_xlfn.NORM.S.DIST(-((LN(MonteCarlo!$B$6/MonteCarlo!$B$5)+(MonteCarlo!$B$9+(B$1^2)/2)*$A4)/(B$1*SQRT($A4))),TRUE)),"")</f>
        <v/>
      </c>
      <c r="C4" t="str">
        <f>IFERROR(IF(OR(MonteCarlo!$B$4="C",MonteCarlo!$B$4="c"),MonteCarlo!$B$6*_xlfn.NORM.S.DIST((LN(MonteCarlo!$B$6/MonteCarlo!$B$5)+(MonteCarlo!$B$9+(C$1^2)/2)*$A4)/(C$1*SQRT($A4)),TRUE)-MonteCarlo!$B$5*EXP(-MonteCarlo!$B$9*$A4)*_xlfn.NORM.S.DIST(((LN(MonteCarlo!$B$6/MonteCarlo!$B$5)+(MonteCarlo!$B$9+(C$1^2)/2)*$A4)/(C$1*SQRT($A4)))-(C$1*SQRT($A4)),TRUE),MonteCarlo!$B$5*EXP(-MonteCarlo!$B$9*$A4)*_xlfn.NORM.S.DIST(-(((LN(MonteCarlo!$B$6/MonteCarlo!$B$5)+(MonteCarlo!$B$9+(C$1^2)/2)*$A4)/(C$1*SQRT($A4)))-(C$1*SQRT($A4))),TRUE)-MonteCarlo!$B$6*_xlfn.NORM.S.DIST(-((LN(MonteCarlo!$B$6/MonteCarlo!$B$5)+(MonteCarlo!$B$9+(C$1^2)/2)*$A4)/(C$1*SQRT($A4))),TRUE)),"")</f>
        <v/>
      </c>
      <c r="D4" t="str">
        <f>IFERROR(IF(OR(MonteCarlo!$B$4="C",MonteCarlo!$B$4="c"),MonteCarlo!$B$6*_xlfn.NORM.S.DIST((LN(MonteCarlo!$B$6/MonteCarlo!$B$5)+(MonteCarlo!$B$9+(D$1^2)/2)*$A4)/(D$1*SQRT($A4)),TRUE)-MonteCarlo!$B$5*EXP(-MonteCarlo!$B$9*$A4)*_xlfn.NORM.S.DIST(((LN(MonteCarlo!$B$6/MonteCarlo!$B$5)+(MonteCarlo!$B$9+(D$1^2)/2)*$A4)/(D$1*SQRT($A4)))-(D$1*SQRT($A4)),TRUE),MonteCarlo!$B$5*EXP(-MonteCarlo!$B$9*$A4)*_xlfn.NORM.S.DIST(-(((LN(MonteCarlo!$B$6/MonteCarlo!$B$5)+(MonteCarlo!$B$9+(D$1^2)/2)*$A4)/(D$1*SQRT($A4)))-(D$1*SQRT($A4))),TRUE)-MonteCarlo!$B$6*_xlfn.NORM.S.DIST(-((LN(MonteCarlo!$B$6/MonteCarlo!$B$5)+(MonteCarlo!$B$9+(D$1^2)/2)*$A4)/(D$1*SQRT($A4))),TRUE)),"")</f>
        <v/>
      </c>
      <c r="E4" t="str">
        <f>IFERROR(IF(OR(MonteCarlo!$B$4="C",MonteCarlo!$B$4="c"),MonteCarlo!$B$6*_xlfn.NORM.S.DIST((LN(MonteCarlo!$B$6/MonteCarlo!$B$5)+(MonteCarlo!$B$9+(E$1^2)/2)*$A4)/(E$1*SQRT($A4)),TRUE)-MonteCarlo!$B$5*EXP(-MonteCarlo!$B$9*$A4)*_xlfn.NORM.S.DIST(((LN(MonteCarlo!$B$6/MonteCarlo!$B$5)+(MonteCarlo!$B$9+(E$1^2)/2)*$A4)/(E$1*SQRT($A4)))-(E$1*SQRT($A4)),TRUE),MonteCarlo!$B$5*EXP(-MonteCarlo!$B$9*$A4)*_xlfn.NORM.S.DIST(-(((LN(MonteCarlo!$B$6/MonteCarlo!$B$5)+(MonteCarlo!$B$9+(E$1^2)/2)*$A4)/(E$1*SQRT($A4)))-(E$1*SQRT($A4))),TRUE)-MonteCarlo!$B$6*_xlfn.NORM.S.DIST(-((LN(MonteCarlo!$B$6/MonteCarlo!$B$5)+(MonteCarlo!$B$9+(E$1^2)/2)*$A4)/(E$1*SQRT($A4))),TRUE)),"")</f>
        <v/>
      </c>
      <c r="F4" t="str">
        <f>IFERROR(IF(OR(MonteCarlo!$B$4="C",MonteCarlo!$B$4="c"),MonteCarlo!$B$6*_xlfn.NORM.S.DIST((LN(MonteCarlo!$B$6/MonteCarlo!$B$5)+(MonteCarlo!$B$9+(F$1^2)/2)*$A4)/(F$1*SQRT($A4)),TRUE)-MonteCarlo!$B$5*EXP(-MonteCarlo!$B$9*$A4)*_xlfn.NORM.S.DIST(((LN(MonteCarlo!$B$6/MonteCarlo!$B$5)+(MonteCarlo!$B$9+(F$1^2)/2)*$A4)/(F$1*SQRT($A4)))-(F$1*SQRT($A4)),TRUE),MonteCarlo!$B$5*EXP(-MonteCarlo!$B$9*$A4)*_xlfn.NORM.S.DIST(-(((LN(MonteCarlo!$B$6/MonteCarlo!$B$5)+(MonteCarlo!$B$9+(F$1^2)/2)*$A4)/(F$1*SQRT($A4)))-(F$1*SQRT($A4))),TRUE)-MonteCarlo!$B$6*_xlfn.NORM.S.DIST(-((LN(MonteCarlo!$B$6/MonteCarlo!$B$5)+(MonteCarlo!$B$9+(F$1^2)/2)*$A4)/(F$1*SQRT($A4))),TRUE)),"")</f>
        <v/>
      </c>
      <c r="G4" t="str">
        <f>IFERROR(IF(OR(MonteCarlo!$B$4="C",MonteCarlo!$B$4="c"),MonteCarlo!$B$6*_xlfn.NORM.S.DIST((LN(MonteCarlo!$B$6/MonteCarlo!$B$5)+(MonteCarlo!$B$9+(G$1^2)/2)*$A4)/(G$1*SQRT($A4)),TRUE)-MonteCarlo!$B$5*EXP(-MonteCarlo!$B$9*$A4)*_xlfn.NORM.S.DIST(((LN(MonteCarlo!$B$6/MonteCarlo!$B$5)+(MonteCarlo!$B$9+(G$1^2)/2)*$A4)/(G$1*SQRT($A4)))-(G$1*SQRT($A4)),TRUE),MonteCarlo!$B$5*EXP(-MonteCarlo!$B$9*$A4)*_xlfn.NORM.S.DIST(-(((LN(MonteCarlo!$B$6/MonteCarlo!$B$5)+(MonteCarlo!$B$9+(G$1^2)/2)*$A4)/(G$1*SQRT($A4)))-(G$1*SQRT($A4))),TRUE)-MonteCarlo!$B$6*_xlfn.NORM.S.DIST(-((LN(MonteCarlo!$B$6/MonteCarlo!$B$5)+(MonteCarlo!$B$9+(G$1^2)/2)*$A4)/(G$1*SQRT($A4))),TRUE)),"")</f>
        <v/>
      </c>
      <c r="H4" t="str">
        <f>IFERROR(IF(OR(MonteCarlo!$B$4="C",MonteCarlo!$B$4="c"),MonteCarlo!$B$6*_xlfn.NORM.S.DIST((LN(MonteCarlo!$B$6/MonteCarlo!$B$5)+(MonteCarlo!$B$9+(H$1^2)/2)*$A4)/(H$1*SQRT($A4)),TRUE)-MonteCarlo!$B$5*EXP(-MonteCarlo!$B$9*$A4)*_xlfn.NORM.S.DIST(((LN(MonteCarlo!$B$6/MonteCarlo!$B$5)+(MonteCarlo!$B$9+(H$1^2)/2)*$A4)/(H$1*SQRT($A4)))-(H$1*SQRT($A4)),TRUE),MonteCarlo!$B$5*EXP(-MonteCarlo!$B$9*$A4)*_xlfn.NORM.S.DIST(-(((LN(MonteCarlo!$B$6/MonteCarlo!$B$5)+(MonteCarlo!$B$9+(H$1^2)/2)*$A4)/(H$1*SQRT($A4)))-(H$1*SQRT($A4))),TRUE)-MonteCarlo!$B$6*_xlfn.NORM.S.DIST(-((LN(MonteCarlo!$B$6/MonteCarlo!$B$5)+(MonteCarlo!$B$9+(H$1^2)/2)*$A4)/(H$1*SQRT($A4))),TRUE)),"")</f>
        <v/>
      </c>
      <c r="I4" t="str">
        <f>IFERROR(IF(OR(MonteCarlo!$B$4="C",MonteCarlo!$B$4="c"),MonteCarlo!$B$6*_xlfn.NORM.S.DIST((LN(MonteCarlo!$B$6/MonteCarlo!$B$5)+(MonteCarlo!$B$9+(I$1^2)/2)*$A4)/(I$1*SQRT($A4)),TRUE)-MonteCarlo!$B$5*EXP(-MonteCarlo!$B$9*$A4)*_xlfn.NORM.S.DIST(((LN(MonteCarlo!$B$6/MonteCarlo!$B$5)+(MonteCarlo!$B$9+(I$1^2)/2)*$A4)/(I$1*SQRT($A4)))-(I$1*SQRT($A4)),TRUE),MonteCarlo!$B$5*EXP(-MonteCarlo!$B$9*$A4)*_xlfn.NORM.S.DIST(-(((LN(MonteCarlo!$B$6/MonteCarlo!$B$5)+(MonteCarlo!$B$9+(I$1^2)/2)*$A4)/(I$1*SQRT($A4)))-(I$1*SQRT($A4))),TRUE)-MonteCarlo!$B$6*_xlfn.NORM.S.DIST(-((LN(MonteCarlo!$B$6/MonteCarlo!$B$5)+(MonteCarlo!$B$9+(I$1^2)/2)*$A4)/(I$1*SQRT($A4))),TRUE)),"")</f>
        <v/>
      </c>
      <c r="J4" t="str">
        <f>IFERROR(IF(OR(MonteCarlo!$B$4="C",MonteCarlo!$B$4="c"),MonteCarlo!$B$6*_xlfn.NORM.S.DIST((LN(MonteCarlo!$B$6/MonteCarlo!$B$5)+(MonteCarlo!$B$9+(J$1^2)/2)*$A4)/(J$1*SQRT($A4)),TRUE)-MonteCarlo!$B$5*EXP(-MonteCarlo!$B$9*$A4)*_xlfn.NORM.S.DIST(((LN(MonteCarlo!$B$6/MonteCarlo!$B$5)+(MonteCarlo!$B$9+(J$1^2)/2)*$A4)/(J$1*SQRT($A4)))-(J$1*SQRT($A4)),TRUE),MonteCarlo!$B$5*EXP(-MonteCarlo!$B$9*$A4)*_xlfn.NORM.S.DIST(-(((LN(MonteCarlo!$B$6/MonteCarlo!$B$5)+(MonteCarlo!$B$9+(J$1^2)/2)*$A4)/(J$1*SQRT($A4)))-(J$1*SQRT($A4))),TRUE)-MonteCarlo!$B$6*_xlfn.NORM.S.DIST(-((LN(MonteCarlo!$B$6/MonteCarlo!$B$5)+(MonteCarlo!$B$9+(J$1^2)/2)*$A4)/(J$1*SQRT($A4))),TRUE)),"")</f>
        <v/>
      </c>
      <c r="K4" t="str">
        <f>IFERROR(IF(OR(MonteCarlo!$B$4="C",MonteCarlo!$B$4="c"),MonteCarlo!$B$6*_xlfn.NORM.S.DIST((LN(MonteCarlo!$B$6/MonteCarlo!$B$5)+(MonteCarlo!$B$9+(K$1^2)/2)*$A4)/(K$1*SQRT($A4)),TRUE)-MonteCarlo!$B$5*EXP(-MonteCarlo!$B$9*$A4)*_xlfn.NORM.S.DIST(((LN(MonteCarlo!$B$6/MonteCarlo!$B$5)+(MonteCarlo!$B$9+(K$1^2)/2)*$A4)/(K$1*SQRT($A4)))-(K$1*SQRT($A4)),TRUE),MonteCarlo!$B$5*EXP(-MonteCarlo!$B$9*$A4)*_xlfn.NORM.S.DIST(-(((LN(MonteCarlo!$B$6/MonteCarlo!$B$5)+(MonteCarlo!$B$9+(K$1^2)/2)*$A4)/(K$1*SQRT($A4)))-(K$1*SQRT($A4))),TRUE)-MonteCarlo!$B$6*_xlfn.NORM.S.DIST(-((LN(MonteCarlo!$B$6/MonteCarlo!$B$5)+(MonteCarlo!$B$9+(K$1^2)/2)*$A4)/(K$1*SQRT($A4))),TRUE)),"")</f>
        <v/>
      </c>
      <c r="L4" t="str">
        <f>IFERROR(IF(OR(MonteCarlo!$B$4="C",MonteCarlo!$B$4="c"),MonteCarlo!$B$6*_xlfn.NORM.S.DIST((LN(MonteCarlo!$B$6/MonteCarlo!$B$5)+(MonteCarlo!$B$9+(L$1^2)/2)*$A4)/(L$1*SQRT($A4)),TRUE)-MonteCarlo!$B$5*EXP(-MonteCarlo!$B$9*$A4)*_xlfn.NORM.S.DIST(((LN(MonteCarlo!$B$6/MonteCarlo!$B$5)+(MonteCarlo!$B$9+(L$1^2)/2)*$A4)/(L$1*SQRT($A4)))-(L$1*SQRT($A4)),TRUE),MonteCarlo!$B$5*EXP(-MonteCarlo!$B$9*$A4)*_xlfn.NORM.S.DIST(-(((LN(MonteCarlo!$B$6/MonteCarlo!$B$5)+(MonteCarlo!$B$9+(L$1^2)/2)*$A4)/(L$1*SQRT($A4)))-(L$1*SQRT($A4))),TRUE)-MonteCarlo!$B$6*_xlfn.NORM.S.DIST(-((LN(MonteCarlo!$B$6/MonteCarlo!$B$5)+(MonteCarlo!$B$9+(L$1^2)/2)*$A4)/(L$1*SQRT($A4))),TRUE)),"")</f>
        <v/>
      </c>
      <c r="M4" t="str">
        <f>IFERROR(IF(OR(MonteCarlo!$B$4="C",MonteCarlo!$B$4="c"),MonteCarlo!$B$6*_xlfn.NORM.S.DIST((LN(MonteCarlo!$B$6/MonteCarlo!$B$5)+(MonteCarlo!$B$9+(M$1^2)/2)*$A4)/(M$1*SQRT($A4)),TRUE)-MonteCarlo!$B$5*EXP(-MonteCarlo!$B$9*$A4)*_xlfn.NORM.S.DIST(((LN(MonteCarlo!$B$6/MonteCarlo!$B$5)+(MonteCarlo!$B$9+(M$1^2)/2)*$A4)/(M$1*SQRT($A4)))-(M$1*SQRT($A4)),TRUE),MonteCarlo!$B$5*EXP(-MonteCarlo!$B$9*$A4)*_xlfn.NORM.S.DIST(-(((LN(MonteCarlo!$B$6/MonteCarlo!$B$5)+(MonteCarlo!$B$9+(M$1^2)/2)*$A4)/(M$1*SQRT($A4)))-(M$1*SQRT($A4))),TRUE)-MonteCarlo!$B$6*_xlfn.NORM.S.DIST(-((LN(MonteCarlo!$B$6/MonteCarlo!$B$5)+(MonteCarlo!$B$9+(M$1^2)/2)*$A4)/(M$1*SQRT($A4))),TRUE)),"")</f>
        <v/>
      </c>
      <c r="N4" t="str">
        <f>IFERROR(IF(OR(MonteCarlo!$B$4="C",MonteCarlo!$B$4="c"),MonteCarlo!$B$6*_xlfn.NORM.S.DIST((LN(MonteCarlo!$B$6/MonteCarlo!$B$5)+(MonteCarlo!$B$9+(N$1^2)/2)*$A4)/(N$1*SQRT($A4)),TRUE)-MonteCarlo!$B$5*EXP(-MonteCarlo!$B$9*$A4)*_xlfn.NORM.S.DIST(((LN(MonteCarlo!$B$6/MonteCarlo!$B$5)+(MonteCarlo!$B$9+(N$1^2)/2)*$A4)/(N$1*SQRT($A4)))-(N$1*SQRT($A4)),TRUE),MonteCarlo!$B$5*EXP(-MonteCarlo!$B$9*$A4)*_xlfn.NORM.S.DIST(-(((LN(MonteCarlo!$B$6/MonteCarlo!$B$5)+(MonteCarlo!$B$9+(N$1^2)/2)*$A4)/(N$1*SQRT($A4)))-(N$1*SQRT($A4))),TRUE)-MonteCarlo!$B$6*_xlfn.NORM.S.DIST(-((LN(MonteCarlo!$B$6/MonteCarlo!$B$5)+(MonteCarlo!$B$9+(N$1^2)/2)*$A4)/(N$1*SQRT($A4))),TRUE)),"")</f>
        <v/>
      </c>
      <c r="O4" t="str">
        <f>IFERROR(IF(OR(MonteCarlo!$B$4="C",MonteCarlo!$B$4="c"),MonteCarlo!$B$6*_xlfn.NORM.S.DIST((LN(MonteCarlo!$B$6/MonteCarlo!$B$5)+(MonteCarlo!$B$9+(O$1^2)/2)*$A4)/(O$1*SQRT($A4)),TRUE)-MonteCarlo!$B$5*EXP(-MonteCarlo!$B$9*$A4)*_xlfn.NORM.S.DIST(((LN(MonteCarlo!$B$6/MonteCarlo!$B$5)+(MonteCarlo!$B$9+(O$1^2)/2)*$A4)/(O$1*SQRT($A4)))-(O$1*SQRT($A4)),TRUE),MonteCarlo!$B$5*EXP(-MonteCarlo!$B$9*$A4)*_xlfn.NORM.S.DIST(-(((LN(MonteCarlo!$B$6/MonteCarlo!$B$5)+(MonteCarlo!$B$9+(O$1^2)/2)*$A4)/(O$1*SQRT($A4)))-(O$1*SQRT($A4))),TRUE)-MonteCarlo!$B$6*_xlfn.NORM.S.DIST(-((LN(MonteCarlo!$B$6/MonteCarlo!$B$5)+(MonteCarlo!$B$9+(O$1^2)/2)*$A4)/(O$1*SQRT($A4))),TRUE)),"")</f>
        <v/>
      </c>
      <c r="P4" t="str">
        <f>IFERROR(IF(OR(MonteCarlo!$B$4="C",MonteCarlo!$B$4="c"),MonteCarlo!$B$6*_xlfn.NORM.S.DIST((LN(MonteCarlo!$B$6/MonteCarlo!$B$5)+(MonteCarlo!$B$9+(P$1^2)/2)*$A4)/(P$1*SQRT($A4)),TRUE)-MonteCarlo!$B$5*EXP(-MonteCarlo!$B$9*$A4)*_xlfn.NORM.S.DIST(((LN(MonteCarlo!$B$6/MonteCarlo!$B$5)+(MonteCarlo!$B$9+(P$1^2)/2)*$A4)/(P$1*SQRT($A4)))-(P$1*SQRT($A4)),TRUE),MonteCarlo!$B$5*EXP(-MonteCarlo!$B$9*$A4)*_xlfn.NORM.S.DIST(-(((LN(MonteCarlo!$B$6/MonteCarlo!$B$5)+(MonteCarlo!$B$9+(P$1^2)/2)*$A4)/(P$1*SQRT($A4)))-(P$1*SQRT($A4))),TRUE)-MonteCarlo!$B$6*_xlfn.NORM.S.DIST(-((LN(MonteCarlo!$B$6/MonteCarlo!$B$5)+(MonteCarlo!$B$9+(P$1^2)/2)*$A4)/(P$1*SQRT($A4))),TRUE)),"")</f>
        <v/>
      </c>
      <c r="Q4" t="str">
        <f>IFERROR(IF(OR(MonteCarlo!$B$4="C",MonteCarlo!$B$4="c"),MonteCarlo!$B$6*_xlfn.NORM.S.DIST((LN(MonteCarlo!$B$6/MonteCarlo!$B$5)+(MonteCarlo!$B$9+(Q$1^2)/2)*$A4)/(Q$1*SQRT($A4)),TRUE)-MonteCarlo!$B$5*EXP(-MonteCarlo!$B$9*$A4)*_xlfn.NORM.S.DIST(((LN(MonteCarlo!$B$6/MonteCarlo!$B$5)+(MonteCarlo!$B$9+(Q$1^2)/2)*$A4)/(Q$1*SQRT($A4)))-(Q$1*SQRT($A4)),TRUE),MonteCarlo!$B$5*EXP(-MonteCarlo!$B$9*$A4)*_xlfn.NORM.S.DIST(-(((LN(MonteCarlo!$B$6/MonteCarlo!$B$5)+(MonteCarlo!$B$9+(Q$1^2)/2)*$A4)/(Q$1*SQRT($A4)))-(Q$1*SQRT($A4))),TRUE)-MonteCarlo!$B$6*_xlfn.NORM.S.DIST(-((LN(MonteCarlo!$B$6/MonteCarlo!$B$5)+(MonteCarlo!$B$9+(Q$1^2)/2)*$A4)/(Q$1*SQRT($A4))),TRUE)),"")</f>
        <v/>
      </c>
      <c r="R4" t="str">
        <f>IFERROR(IF(OR(MonteCarlo!$B$4="C",MonteCarlo!$B$4="c"),MonteCarlo!$B$6*_xlfn.NORM.S.DIST((LN(MonteCarlo!$B$6/MonteCarlo!$B$5)+(MonteCarlo!$B$9+(R$1^2)/2)*$A4)/(R$1*SQRT($A4)),TRUE)-MonteCarlo!$B$5*EXP(-MonteCarlo!$B$9*$A4)*_xlfn.NORM.S.DIST(((LN(MonteCarlo!$B$6/MonteCarlo!$B$5)+(MonteCarlo!$B$9+(R$1^2)/2)*$A4)/(R$1*SQRT($A4)))-(R$1*SQRT($A4)),TRUE),MonteCarlo!$B$5*EXP(-MonteCarlo!$B$9*$A4)*_xlfn.NORM.S.DIST(-(((LN(MonteCarlo!$B$6/MonteCarlo!$B$5)+(MonteCarlo!$B$9+(R$1^2)/2)*$A4)/(R$1*SQRT($A4)))-(R$1*SQRT($A4))),TRUE)-MonteCarlo!$B$6*_xlfn.NORM.S.DIST(-((LN(MonteCarlo!$B$6/MonteCarlo!$B$5)+(MonteCarlo!$B$9+(R$1^2)/2)*$A4)/(R$1*SQRT($A4))),TRUE)),"")</f>
        <v/>
      </c>
      <c r="S4" t="str">
        <f>IFERROR(IF(OR(MonteCarlo!$B$4="C",MonteCarlo!$B$4="c"),MonteCarlo!$B$6*_xlfn.NORM.S.DIST((LN(MonteCarlo!$B$6/MonteCarlo!$B$5)+(MonteCarlo!$B$9+(S$1^2)/2)*$A4)/(S$1*SQRT($A4)),TRUE)-MonteCarlo!$B$5*EXP(-MonteCarlo!$B$9*$A4)*_xlfn.NORM.S.DIST(((LN(MonteCarlo!$B$6/MonteCarlo!$B$5)+(MonteCarlo!$B$9+(S$1^2)/2)*$A4)/(S$1*SQRT($A4)))-(S$1*SQRT($A4)),TRUE),MonteCarlo!$B$5*EXP(-MonteCarlo!$B$9*$A4)*_xlfn.NORM.S.DIST(-(((LN(MonteCarlo!$B$6/MonteCarlo!$B$5)+(MonteCarlo!$B$9+(S$1^2)/2)*$A4)/(S$1*SQRT($A4)))-(S$1*SQRT($A4))),TRUE)-MonteCarlo!$B$6*_xlfn.NORM.S.DIST(-((LN(MonteCarlo!$B$6/MonteCarlo!$B$5)+(MonteCarlo!$B$9+(S$1^2)/2)*$A4)/(S$1*SQRT($A4))),TRUE)),"")</f>
        <v/>
      </c>
      <c r="T4" t="str">
        <f>IFERROR(IF(OR(MonteCarlo!$B$4="C",MonteCarlo!$B$4="c"),MonteCarlo!$B$6*_xlfn.NORM.S.DIST((LN(MonteCarlo!$B$6/MonteCarlo!$B$5)+(MonteCarlo!$B$9+(T$1^2)/2)*$A4)/(T$1*SQRT($A4)),TRUE)-MonteCarlo!$B$5*EXP(-MonteCarlo!$B$9*$A4)*_xlfn.NORM.S.DIST(((LN(MonteCarlo!$B$6/MonteCarlo!$B$5)+(MonteCarlo!$B$9+(T$1^2)/2)*$A4)/(T$1*SQRT($A4)))-(T$1*SQRT($A4)),TRUE),MonteCarlo!$B$5*EXP(-MonteCarlo!$B$9*$A4)*_xlfn.NORM.S.DIST(-(((LN(MonteCarlo!$B$6/MonteCarlo!$B$5)+(MonteCarlo!$B$9+(T$1^2)/2)*$A4)/(T$1*SQRT($A4)))-(T$1*SQRT($A4))),TRUE)-MonteCarlo!$B$6*_xlfn.NORM.S.DIST(-((LN(MonteCarlo!$B$6/MonteCarlo!$B$5)+(MonteCarlo!$B$9+(T$1^2)/2)*$A4)/(T$1*SQRT($A4))),TRUE)),"")</f>
        <v/>
      </c>
      <c r="U4" t="str">
        <f>IFERROR(IF(OR(MonteCarlo!$B$4="C",MonteCarlo!$B$4="c"),MonteCarlo!$B$6*_xlfn.NORM.S.DIST((LN(MonteCarlo!$B$6/MonteCarlo!$B$5)+(MonteCarlo!$B$9+(U$1^2)/2)*$A4)/(U$1*SQRT($A4)),TRUE)-MonteCarlo!$B$5*EXP(-MonteCarlo!$B$9*$A4)*_xlfn.NORM.S.DIST(((LN(MonteCarlo!$B$6/MonteCarlo!$B$5)+(MonteCarlo!$B$9+(U$1^2)/2)*$A4)/(U$1*SQRT($A4)))-(U$1*SQRT($A4)),TRUE),MonteCarlo!$B$5*EXP(-MonteCarlo!$B$9*$A4)*_xlfn.NORM.S.DIST(-(((LN(MonteCarlo!$B$6/MonteCarlo!$B$5)+(MonteCarlo!$B$9+(U$1^2)/2)*$A4)/(U$1*SQRT($A4)))-(U$1*SQRT($A4))),TRUE)-MonteCarlo!$B$6*_xlfn.NORM.S.DIST(-((LN(MonteCarlo!$B$6/MonteCarlo!$B$5)+(MonteCarlo!$B$9+(U$1^2)/2)*$A4)/(U$1*SQRT($A4))),TRUE)),"")</f>
        <v/>
      </c>
      <c r="V4" t="str">
        <f>IFERROR(IF(OR(MonteCarlo!$B$4="C",MonteCarlo!$B$4="c"),MonteCarlo!$B$6*_xlfn.NORM.S.DIST((LN(MonteCarlo!$B$6/MonteCarlo!$B$5)+(MonteCarlo!$B$9+(V$1^2)/2)*$A4)/(V$1*SQRT($A4)),TRUE)-MonteCarlo!$B$5*EXP(-MonteCarlo!$B$9*$A4)*_xlfn.NORM.S.DIST(((LN(MonteCarlo!$B$6/MonteCarlo!$B$5)+(MonteCarlo!$B$9+(V$1^2)/2)*$A4)/(V$1*SQRT($A4)))-(V$1*SQRT($A4)),TRUE),MonteCarlo!$B$5*EXP(-MonteCarlo!$B$9*$A4)*_xlfn.NORM.S.DIST(-(((LN(MonteCarlo!$B$6/MonteCarlo!$B$5)+(MonteCarlo!$B$9+(V$1^2)/2)*$A4)/(V$1*SQRT($A4)))-(V$1*SQRT($A4))),TRUE)-MonteCarlo!$B$6*_xlfn.NORM.S.DIST(-((LN(MonteCarlo!$B$6/MonteCarlo!$B$5)+(MonteCarlo!$B$9+(V$1^2)/2)*$A4)/(V$1*SQRT($A4))),TRUE)),"")</f>
        <v/>
      </c>
      <c r="W4" t="str">
        <f>IFERROR(IF(OR(MonteCarlo!$B$4="C",MonteCarlo!$B$4="c"),MonteCarlo!$B$6*_xlfn.NORM.S.DIST((LN(MonteCarlo!$B$6/MonteCarlo!$B$5)+(MonteCarlo!$B$9+(W$1^2)/2)*$A4)/(W$1*SQRT($A4)),TRUE)-MonteCarlo!$B$5*EXP(-MonteCarlo!$B$9*$A4)*_xlfn.NORM.S.DIST(((LN(MonteCarlo!$B$6/MonteCarlo!$B$5)+(MonteCarlo!$B$9+(W$1^2)/2)*$A4)/(W$1*SQRT($A4)))-(W$1*SQRT($A4)),TRUE),MonteCarlo!$B$5*EXP(-MonteCarlo!$B$9*$A4)*_xlfn.NORM.S.DIST(-(((LN(MonteCarlo!$B$6/MonteCarlo!$B$5)+(MonteCarlo!$B$9+(W$1^2)/2)*$A4)/(W$1*SQRT($A4)))-(W$1*SQRT($A4))),TRUE)-MonteCarlo!$B$6*_xlfn.NORM.S.DIST(-((LN(MonteCarlo!$B$6/MonteCarlo!$B$5)+(MonteCarlo!$B$9+(W$1^2)/2)*$A4)/(W$1*SQRT($A4))),TRUE)),"")</f>
        <v/>
      </c>
      <c r="X4" t="str">
        <f>IFERROR(IF(OR(MonteCarlo!$B$4="C",MonteCarlo!$B$4="c"),MonteCarlo!$B$6*_xlfn.NORM.S.DIST((LN(MonteCarlo!$B$6/MonteCarlo!$B$5)+(MonteCarlo!$B$9+(X$1^2)/2)*$A4)/(X$1*SQRT($A4)),TRUE)-MonteCarlo!$B$5*EXP(-MonteCarlo!$B$9*$A4)*_xlfn.NORM.S.DIST(((LN(MonteCarlo!$B$6/MonteCarlo!$B$5)+(MonteCarlo!$B$9+(X$1^2)/2)*$A4)/(X$1*SQRT($A4)))-(X$1*SQRT($A4)),TRUE),MonteCarlo!$B$5*EXP(-MonteCarlo!$B$9*$A4)*_xlfn.NORM.S.DIST(-(((LN(MonteCarlo!$B$6/MonteCarlo!$B$5)+(MonteCarlo!$B$9+(X$1^2)/2)*$A4)/(X$1*SQRT($A4)))-(X$1*SQRT($A4))),TRUE)-MonteCarlo!$B$6*_xlfn.NORM.S.DIST(-((LN(MonteCarlo!$B$6/MonteCarlo!$B$5)+(MonteCarlo!$B$9+(X$1^2)/2)*$A4)/(X$1*SQRT($A4))),TRUE)),"")</f>
        <v/>
      </c>
      <c r="Y4" t="str">
        <f>IFERROR(IF(OR(MonteCarlo!$B$4="C",MonteCarlo!$B$4="c"),MonteCarlo!$B$6*_xlfn.NORM.S.DIST((LN(MonteCarlo!$B$6/MonteCarlo!$B$5)+(MonteCarlo!$B$9+(Y$1^2)/2)*$A4)/(Y$1*SQRT($A4)),TRUE)-MonteCarlo!$B$5*EXP(-MonteCarlo!$B$9*$A4)*_xlfn.NORM.S.DIST(((LN(MonteCarlo!$B$6/MonteCarlo!$B$5)+(MonteCarlo!$B$9+(Y$1^2)/2)*$A4)/(Y$1*SQRT($A4)))-(Y$1*SQRT($A4)),TRUE),MonteCarlo!$B$5*EXP(-MonteCarlo!$B$9*$A4)*_xlfn.NORM.S.DIST(-(((LN(MonteCarlo!$B$6/MonteCarlo!$B$5)+(MonteCarlo!$B$9+(Y$1^2)/2)*$A4)/(Y$1*SQRT($A4)))-(Y$1*SQRT($A4))),TRUE)-MonteCarlo!$B$6*_xlfn.NORM.S.DIST(-((LN(MonteCarlo!$B$6/MonteCarlo!$B$5)+(MonteCarlo!$B$9+(Y$1^2)/2)*$A4)/(Y$1*SQRT($A4))),TRUE)),"")</f>
        <v/>
      </c>
      <c r="Z4" t="str">
        <f>IFERROR(IF(OR(MonteCarlo!$B$4="C",MonteCarlo!$B$4="c"),MonteCarlo!$B$6*_xlfn.NORM.S.DIST((LN(MonteCarlo!$B$6/MonteCarlo!$B$5)+(MonteCarlo!$B$9+(Z$1^2)/2)*$A4)/(Z$1*SQRT($A4)),TRUE)-MonteCarlo!$B$5*EXP(-MonteCarlo!$B$9*$A4)*_xlfn.NORM.S.DIST(((LN(MonteCarlo!$B$6/MonteCarlo!$B$5)+(MonteCarlo!$B$9+(Z$1^2)/2)*$A4)/(Z$1*SQRT($A4)))-(Z$1*SQRT($A4)),TRUE),MonteCarlo!$B$5*EXP(-MonteCarlo!$B$9*$A4)*_xlfn.NORM.S.DIST(-(((LN(MonteCarlo!$B$6/MonteCarlo!$B$5)+(MonteCarlo!$B$9+(Z$1^2)/2)*$A4)/(Z$1*SQRT($A4)))-(Z$1*SQRT($A4))),TRUE)-MonteCarlo!$B$6*_xlfn.NORM.S.DIST(-((LN(MonteCarlo!$B$6/MonteCarlo!$B$5)+(MonteCarlo!$B$9+(Z$1^2)/2)*$A4)/(Z$1*SQRT($A4))),TRUE)),"")</f>
        <v/>
      </c>
      <c r="AA4" t="str">
        <f>IFERROR(IF(OR(MonteCarlo!$B$4="C",MonteCarlo!$B$4="c"),MonteCarlo!$B$6*_xlfn.NORM.S.DIST((LN(MonteCarlo!$B$6/MonteCarlo!$B$5)+(MonteCarlo!$B$9+(AA$1^2)/2)*$A4)/(AA$1*SQRT($A4)),TRUE)-MonteCarlo!$B$5*EXP(-MonteCarlo!$B$9*$A4)*_xlfn.NORM.S.DIST(((LN(MonteCarlo!$B$6/MonteCarlo!$B$5)+(MonteCarlo!$B$9+(AA$1^2)/2)*$A4)/(AA$1*SQRT($A4)))-(AA$1*SQRT($A4)),TRUE),MonteCarlo!$B$5*EXP(-MonteCarlo!$B$9*$A4)*_xlfn.NORM.S.DIST(-(((LN(MonteCarlo!$B$6/MonteCarlo!$B$5)+(MonteCarlo!$B$9+(AA$1^2)/2)*$A4)/(AA$1*SQRT($A4)))-(AA$1*SQRT($A4))),TRUE)-MonteCarlo!$B$6*_xlfn.NORM.S.DIST(-((LN(MonteCarlo!$B$6/MonteCarlo!$B$5)+(MonteCarlo!$B$9+(AA$1^2)/2)*$A4)/(AA$1*SQRT($A4))),TRUE)),"")</f>
        <v/>
      </c>
      <c r="AB4" t="str">
        <f>IFERROR(IF(OR(MonteCarlo!$B$4="C",MonteCarlo!$B$4="c"),MonteCarlo!$B$6*_xlfn.NORM.S.DIST((LN(MonteCarlo!$B$6/MonteCarlo!$B$5)+(MonteCarlo!$B$9+(AB$1^2)/2)*$A4)/(AB$1*SQRT($A4)),TRUE)-MonteCarlo!$B$5*EXP(-MonteCarlo!$B$9*$A4)*_xlfn.NORM.S.DIST(((LN(MonteCarlo!$B$6/MonteCarlo!$B$5)+(MonteCarlo!$B$9+(AB$1^2)/2)*$A4)/(AB$1*SQRT($A4)))-(AB$1*SQRT($A4)),TRUE),MonteCarlo!$B$5*EXP(-MonteCarlo!$B$9*$A4)*_xlfn.NORM.S.DIST(-(((LN(MonteCarlo!$B$6/MonteCarlo!$B$5)+(MonteCarlo!$B$9+(AB$1^2)/2)*$A4)/(AB$1*SQRT($A4)))-(AB$1*SQRT($A4))),TRUE)-MonteCarlo!$B$6*_xlfn.NORM.S.DIST(-((LN(MonteCarlo!$B$6/MonteCarlo!$B$5)+(MonteCarlo!$B$9+(AB$1^2)/2)*$A4)/(AB$1*SQRT($A4))),TRUE)),"")</f>
        <v/>
      </c>
      <c r="AC4" t="str">
        <f>IFERROR(IF(OR(MonteCarlo!$B$4="C",MonteCarlo!$B$4="c"),MonteCarlo!$B$6*_xlfn.NORM.S.DIST((LN(MonteCarlo!$B$6/MonteCarlo!$B$5)+(MonteCarlo!$B$9+(AC$1^2)/2)*$A4)/(AC$1*SQRT($A4)),TRUE)-MonteCarlo!$B$5*EXP(-MonteCarlo!$B$9*$A4)*_xlfn.NORM.S.DIST(((LN(MonteCarlo!$B$6/MonteCarlo!$B$5)+(MonteCarlo!$B$9+(AC$1^2)/2)*$A4)/(AC$1*SQRT($A4)))-(AC$1*SQRT($A4)),TRUE),MonteCarlo!$B$5*EXP(-MonteCarlo!$B$9*$A4)*_xlfn.NORM.S.DIST(-(((LN(MonteCarlo!$B$6/MonteCarlo!$B$5)+(MonteCarlo!$B$9+(AC$1^2)/2)*$A4)/(AC$1*SQRT($A4)))-(AC$1*SQRT($A4))),TRUE)-MonteCarlo!$B$6*_xlfn.NORM.S.DIST(-((LN(MonteCarlo!$B$6/MonteCarlo!$B$5)+(MonteCarlo!$B$9+(AC$1^2)/2)*$A4)/(AC$1*SQRT($A4))),TRUE)),"")</f>
        <v/>
      </c>
      <c r="AD4" t="str">
        <f>IFERROR(IF(OR(MonteCarlo!$B$4="C",MonteCarlo!$B$4="c"),MonteCarlo!$B$6*_xlfn.NORM.S.DIST((LN(MonteCarlo!$B$6/MonteCarlo!$B$5)+(MonteCarlo!$B$9+(AD$1^2)/2)*$A4)/(AD$1*SQRT($A4)),TRUE)-MonteCarlo!$B$5*EXP(-MonteCarlo!$B$9*$A4)*_xlfn.NORM.S.DIST(((LN(MonteCarlo!$B$6/MonteCarlo!$B$5)+(MonteCarlo!$B$9+(AD$1^2)/2)*$A4)/(AD$1*SQRT($A4)))-(AD$1*SQRT($A4)),TRUE),MonteCarlo!$B$5*EXP(-MonteCarlo!$B$9*$A4)*_xlfn.NORM.S.DIST(-(((LN(MonteCarlo!$B$6/MonteCarlo!$B$5)+(MonteCarlo!$B$9+(AD$1^2)/2)*$A4)/(AD$1*SQRT($A4)))-(AD$1*SQRT($A4))),TRUE)-MonteCarlo!$B$6*_xlfn.NORM.S.DIST(-((LN(MonteCarlo!$B$6/MonteCarlo!$B$5)+(MonteCarlo!$B$9+(AD$1^2)/2)*$A4)/(AD$1*SQRT($A4))),TRUE)),"")</f>
        <v/>
      </c>
      <c r="AE4" t="str">
        <f>IFERROR(IF(OR(MonteCarlo!$B$4="C",MonteCarlo!$B$4="c"),MonteCarlo!$B$6*_xlfn.NORM.S.DIST((LN(MonteCarlo!$B$6/MonteCarlo!$B$5)+(MonteCarlo!$B$9+(AE$1^2)/2)*$A4)/(AE$1*SQRT($A4)),TRUE)-MonteCarlo!$B$5*EXP(-MonteCarlo!$B$9*$A4)*_xlfn.NORM.S.DIST(((LN(MonteCarlo!$B$6/MonteCarlo!$B$5)+(MonteCarlo!$B$9+(AE$1^2)/2)*$A4)/(AE$1*SQRT($A4)))-(AE$1*SQRT($A4)),TRUE),MonteCarlo!$B$5*EXP(-MonteCarlo!$B$9*$A4)*_xlfn.NORM.S.DIST(-(((LN(MonteCarlo!$B$6/MonteCarlo!$B$5)+(MonteCarlo!$B$9+(AE$1^2)/2)*$A4)/(AE$1*SQRT($A4)))-(AE$1*SQRT($A4))),TRUE)-MonteCarlo!$B$6*_xlfn.NORM.S.DIST(-((LN(MonteCarlo!$B$6/MonteCarlo!$B$5)+(MonteCarlo!$B$9+(AE$1^2)/2)*$A4)/(AE$1*SQRT($A4))),TRUE)),"")</f>
        <v/>
      </c>
      <c r="AF4" t="str">
        <f>IFERROR(IF(OR(MonteCarlo!$B$4="C",MonteCarlo!$B$4="c"),MonteCarlo!$B$6*_xlfn.NORM.S.DIST((LN(MonteCarlo!$B$6/MonteCarlo!$B$5)+(MonteCarlo!$B$9+(AF$1^2)/2)*$A4)/(AF$1*SQRT($A4)),TRUE)-MonteCarlo!$B$5*EXP(-MonteCarlo!$B$9*$A4)*_xlfn.NORM.S.DIST(((LN(MonteCarlo!$B$6/MonteCarlo!$B$5)+(MonteCarlo!$B$9+(AF$1^2)/2)*$A4)/(AF$1*SQRT($A4)))-(AF$1*SQRT($A4)),TRUE),MonteCarlo!$B$5*EXP(-MonteCarlo!$B$9*$A4)*_xlfn.NORM.S.DIST(-(((LN(MonteCarlo!$B$6/MonteCarlo!$B$5)+(MonteCarlo!$B$9+(AF$1^2)/2)*$A4)/(AF$1*SQRT($A4)))-(AF$1*SQRT($A4))),TRUE)-MonteCarlo!$B$6*_xlfn.NORM.S.DIST(-((LN(MonteCarlo!$B$6/MonteCarlo!$B$5)+(MonteCarlo!$B$9+(AF$1^2)/2)*$A4)/(AF$1*SQRT($A4))),TRUE)),"")</f>
        <v/>
      </c>
    </row>
    <row r="5" spans="2:32" x14ac:dyDescent="0.25">
      <c r="B5" t="str">
        <f>IFERROR(IF(OR(MonteCarlo!$B$4="C",MonteCarlo!$B$4="c"),MonteCarlo!$B$6*_xlfn.NORM.S.DIST((LN(MonteCarlo!$B$6/MonteCarlo!$B$5)+(MonteCarlo!$B$9+(B$1^2)/2)*$A5)/(B$1*SQRT($A5)),TRUE)-MonteCarlo!$B$5*EXP(-MonteCarlo!$B$9*$A5)*_xlfn.NORM.S.DIST(((LN(MonteCarlo!$B$6/MonteCarlo!$B$5)+(MonteCarlo!$B$9+(B$1^2)/2)*$A5)/(B$1*SQRT($A5)))-(B$1*SQRT($A5)),TRUE),MonteCarlo!$B$5*EXP(-MonteCarlo!$B$9*$A5)*_xlfn.NORM.S.DIST(-(((LN(MonteCarlo!$B$6/MonteCarlo!$B$5)+(MonteCarlo!$B$9+(B$1^2)/2)*$A5)/(B$1*SQRT($A5)))-(B$1*SQRT($A5))),TRUE)-MonteCarlo!$B$6*_xlfn.NORM.S.DIST(-((LN(MonteCarlo!$B$6/MonteCarlo!$B$5)+(MonteCarlo!$B$9+(B$1^2)/2)*$A5)/(B$1*SQRT($A5))),TRUE)),"")</f>
        <v/>
      </c>
      <c r="C5" t="str">
        <f>IFERROR(IF(OR(MonteCarlo!$B$4="C",MonteCarlo!$B$4="c"),MonteCarlo!$B$6*_xlfn.NORM.S.DIST((LN(MonteCarlo!$B$6/MonteCarlo!$B$5)+(MonteCarlo!$B$9+(C$1^2)/2)*$A5)/(C$1*SQRT($A5)),TRUE)-MonteCarlo!$B$5*EXP(-MonteCarlo!$B$9*$A5)*_xlfn.NORM.S.DIST(((LN(MonteCarlo!$B$6/MonteCarlo!$B$5)+(MonteCarlo!$B$9+(C$1^2)/2)*$A5)/(C$1*SQRT($A5)))-(C$1*SQRT($A5)),TRUE),MonteCarlo!$B$5*EXP(-MonteCarlo!$B$9*$A5)*_xlfn.NORM.S.DIST(-(((LN(MonteCarlo!$B$6/MonteCarlo!$B$5)+(MonteCarlo!$B$9+(C$1^2)/2)*$A5)/(C$1*SQRT($A5)))-(C$1*SQRT($A5))),TRUE)-MonteCarlo!$B$6*_xlfn.NORM.S.DIST(-((LN(MonteCarlo!$B$6/MonteCarlo!$B$5)+(MonteCarlo!$B$9+(C$1^2)/2)*$A5)/(C$1*SQRT($A5))),TRUE)),"")</f>
        <v/>
      </c>
      <c r="D5" t="str">
        <f>IFERROR(IF(OR(MonteCarlo!$B$4="C",MonteCarlo!$B$4="c"),MonteCarlo!$B$6*_xlfn.NORM.S.DIST((LN(MonteCarlo!$B$6/MonteCarlo!$B$5)+(MonteCarlo!$B$9+(D$1^2)/2)*$A5)/(D$1*SQRT($A5)),TRUE)-MonteCarlo!$B$5*EXP(-MonteCarlo!$B$9*$A5)*_xlfn.NORM.S.DIST(((LN(MonteCarlo!$B$6/MonteCarlo!$B$5)+(MonteCarlo!$B$9+(D$1^2)/2)*$A5)/(D$1*SQRT($A5)))-(D$1*SQRT($A5)),TRUE),MonteCarlo!$B$5*EXP(-MonteCarlo!$B$9*$A5)*_xlfn.NORM.S.DIST(-(((LN(MonteCarlo!$B$6/MonteCarlo!$B$5)+(MonteCarlo!$B$9+(D$1^2)/2)*$A5)/(D$1*SQRT($A5)))-(D$1*SQRT($A5))),TRUE)-MonteCarlo!$B$6*_xlfn.NORM.S.DIST(-((LN(MonteCarlo!$B$6/MonteCarlo!$B$5)+(MonteCarlo!$B$9+(D$1^2)/2)*$A5)/(D$1*SQRT($A5))),TRUE)),"")</f>
        <v/>
      </c>
      <c r="E5" t="str">
        <f>IFERROR(IF(OR(MonteCarlo!$B$4="C",MonteCarlo!$B$4="c"),MonteCarlo!$B$6*_xlfn.NORM.S.DIST((LN(MonteCarlo!$B$6/MonteCarlo!$B$5)+(MonteCarlo!$B$9+(E$1^2)/2)*$A5)/(E$1*SQRT($A5)),TRUE)-MonteCarlo!$B$5*EXP(-MonteCarlo!$B$9*$A5)*_xlfn.NORM.S.DIST(((LN(MonteCarlo!$B$6/MonteCarlo!$B$5)+(MonteCarlo!$B$9+(E$1^2)/2)*$A5)/(E$1*SQRT($A5)))-(E$1*SQRT($A5)),TRUE),MonteCarlo!$B$5*EXP(-MonteCarlo!$B$9*$A5)*_xlfn.NORM.S.DIST(-(((LN(MonteCarlo!$B$6/MonteCarlo!$B$5)+(MonteCarlo!$B$9+(E$1^2)/2)*$A5)/(E$1*SQRT($A5)))-(E$1*SQRT($A5))),TRUE)-MonteCarlo!$B$6*_xlfn.NORM.S.DIST(-((LN(MonteCarlo!$B$6/MonteCarlo!$B$5)+(MonteCarlo!$B$9+(E$1^2)/2)*$A5)/(E$1*SQRT($A5))),TRUE)),"")</f>
        <v/>
      </c>
      <c r="F5" t="str">
        <f>IFERROR(IF(OR(MonteCarlo!$B$4="C",MonteCarlo!$B$4="c"),MonteCarlo!$B$6*_xlfn.NORM.S.DIST((LN(MonteCarlo!$B$6/MonteCarlo!$B$5)+(MonteCarlo!$B$9+(F$1^2)/2)*$A5)/(F$1*SQRT($A5)),TRUE)-MonteCarlo!$B$5*EXP(-MonteCarlo!$B$9*$A5)*_xlfn.NORM.S.DIST(((LN(MonteCarlo!$B$6/MonteCarlo!$B$5)+(MonteCarlo!$B$9+(F$1^2)/2)*$A5)/(F$1*SQRT($A5)))-(F$1*SQRT($A5)),TRUE),MonteCarlo!$B$5*EXP(-MonteCarlo!$B$9*$A5)*_xlfn.NORM.S.DIST(-(((LN(MonteCarlo!$B$6/MonteCarlo!$B$5)+(MonteCarlo!$B$9+(F$1^2)/2)*$A5)/(F$1*SQRT($A5)))-(F$1*SQRT($A5))),TRUE)-MonteCarlo!$B$6*_xlfn.NORM.S.DIST(-((LN(MonteCarlo!$B$6/MonteCarlo!$B$5)+(MonteCarlo!$B$9+(F$1^2)/2)*$A5)/(F$1*SQRT($A5))),TRUE)),"")</f>
        <v/>
      </c>
      <c r="G5" t="str">
        <f>IFERROR(IF(OR(MonteCarlo!$B$4="C",MonteCarlo!$B$4="c"),MonteCarlo!$B$6*_xlfn.NORM.S.DIST((LN(MonteCarlo!$B$6/MonteCarlo!$B$5)+(MonteCarlo!$B$9+(G$1^2)/2)*$A5)/(G$1*SQRT($A5)),TRUE)-MonteCarlo!$B$5*EXP(-MonteCarlo!$B$9*$A5)*_xlfn.NORM.S.DIST(((LN(MonteCarlo!$B$6/MonteCarlo!$B$5)+(MonteCarlo!$B$9+(G$1^2)/2)*$A5)/(G$1*SQRT($A5)))-(G$1*SQRT($A5)),TRUE),MonteCarlo!$B$5*EXP(-MonteCarlo!$B$9*$A5)*_xlfn.NORM.S.DIST(-(((LN(MonteCarlo!$B$6/MonteCarlo!$B$5)+(MonteCarlo!$B$9+(G$1^2)/2)*$A5)/(G$1*SQRT($A5)))-(G$1*SQRT($A5))),TRUE)-MonteCarlo!$B$6*_xlfn.NORM.S.DIST(-((LN(MonteCarlo!$B$6/MonteCarlo!$B$5)+(MonteCarlo!$B$9+(G$1^2)/2)*$A5)/(G$1*SQRT($A5))),TRUE)),"")</f>
        <v/>
      </c>
      <c r="H5" t="str">
        <f>IFERROR(IF(OR(MonteCarlo!$B$4="C",MonteCarlo!$B$4="c"),MonteCarlo!$B$6*_xlfn.NORM.S.DIST((LN(MonteCarlo!$B$6/MonteCarlo!$B$5)+(MonteCarlo!$B$9+(H$1^2)/2)*$A5)/(H$1*SQRT($A5)),TRUE)-MonteCarlo!$B$5*EXP(-MonteCarlo!$B$9*$A5)*_xlfn.NORM.S.DIST(((LN(MonteCarlo!$B$6/MonteCarlo!$B$5)+(MonteCarlo!$B$9+(H$1^2)/2)*$A5)/(H$1*SQRT($A5)))-(H$1*SQRT($A5)),TRUE),MonteCarlo!$B$5*EXP(-MonteCarlo!$B$9*$A5)*_xlfn.NORM.S.DIST(-(((LN(MonteCarlo!$B$6/MonteCarlo!$B$5)+(MonteCarlo!$B$9+(H$1^2)/2)*$A5)/(H$1*SQRT($A5)))-(H$1*SQRT($A5))),TRUE)-MonteCarlo!$B$6*_xlfn.NORM.S.DIST(-((LN(MonteCarlo!$B$6/MonteCarlo!$B$5)+(MonteCarlo!$B$9+(H$1^2)/2)*$A5)/(H$1*SQRT($A5))),TRUE)),"")</f>
        <v/>
      </c>
      <c r="I5" t="str">
        <f>IFERROR(IF(OR(MonteCarlo!$B$4="C",MonteCarlo!$B$4="c"),MonteCarlo!$B$6*_xlfn.NORM.S.DIST((LN(MonteCarlo!$B$6/MonteCarlo!$B$5)+(MonteCarlo!$B$9+(I$1^2)/2)*$A5)/(I$1*SQRT($A5)),TRUE)-MonteCarlo!$B$5*EXP(-MonteCarlo!$B$9*$A5)*_xlfn.NORM.S.DIST(((LN(MonteCarlo!$B$6/MonteCarlo!$B$5)+(MonteCarlo!$B$9+(I$1^2)/2)*$A5)/(I$1*SQRT($A5)))-(I$1*SQRT($A5)),TRUE),MonteCarlo!$B$5*EXP(-MonteCarlo!$B$9*$A5)*_xlfn.NORM.S.DIST(-(((LN(MonteCarlo!$B$6/MonteCarlo!$B$5)+(MonteCarlo!$B$9+(I$1^2)/2)*$A5)/(I$1*SQRT($A5)))-(I$1*SQRT($A5))),TRUE)-MonteCarlo!$B$6*_xlfn.NORM.S.DIST(-((LN(MonteCarlo!$B$6/MonteCarlo!$B$5)+(MonteCarlo!$B$9+(I$1^2)/2)*$A5)/(I$1*SQRT($A5))),TRUE)),"")</f>
        <v/>
      </c>
      <c r="J5" t="str">
        <f>IFERROR(IF(OR(MonteCarlo!$B$4="C",MonteCarlo!$B$4="c"),MonteCarlo!$B$6*_xlfn.NORM.S.DIST((LN(MonteCarlo!$B$6/MonteCarlo!$B$5)+(MonteCarlo!$B$9+(J$1^2)/2)*$A5)/(J$1*SQRT($A5)),TRUE)-MonteCarlo!$B$5*EXP(-MonteCarlo!$B$9*$A5)*_xlfn.NORM.S.DIST(((LN(MonteCarlo!$B$6/MonteCarlo!$B$5)+(MonteCarlo!$B$9+(J$1^2)/2)*$A5)/(J$1*SQRT($A5)))-(J$1*SQRT($A5)),TRUE),MonteCarlo!$B$5*EXP(-MonteCarlo!$B$9*$A5)*_xlfn.NORM.S.DIST(-(((LN(MonteCarlo!$B$6/MonteCarlo!$B$5)+(MonteCarlo!$B$9+(J$1^2)/2)*$A5)/(J$1*SQRT($A5)))-(J$1*SQRT($A5))),TRUE)-MonteCarlo!$B$6*_xlfn.NORM.S.DIST(-((LN(MonteCarlo!$B$6/MonteCarlo!$B$5)+(MonteCarlo!$B$9+(J$1^2)/2)*$A5)/(J$1*SQRT($A5))),TRUE)),"")</f>
        <v/>
      </c>
      <c r="K5" t="str">
        <f>IFERROR(IF(OR(MonteCarlo!$B$4="C",MonteCarlo!$B$4="c"),MonteCarlo!$B$6*_xlfn.NORM.S.DIST((LN(MonteCarlo!$B$6/MonteCarlo!$B$5)+(MonteCarlo!$B$9+(K$1^2)/2)*$A5)/(K$1*SQRT($A5)),TRUE)-MonteCarlo!$B$5*EXP(-MonteCarlo!$B$9*$A5)*_xlfn.NORM.S.DIST(((LN(MonteCarlo!$B$6/MonteCarlo!$B$5)+(MonteCarlo!$B$9+(K$1^2)/2)*$A5)/(K$1*SQRT($A5)))-(K$1*SQRT($A5)),TRUE),MonteCarlo!$B$5*EXP(-MonteCarlo!$B$9*$A5)*_xlfn.NORM.S.DIST(-(((LN(MonteCarlo!$B$6/MonteCarlo!$B$5)+(MonteCarlo!$B$9+(K$1^2)/2)*$A5)/(K$1*SQRT($A5)))-(K$1*SQRT($A5))),TRUE)-MonteCarlo!$B$6*_xlfn.NORM.S.DIST(-((LN(MonteCarlo!$B$6/MonteCarlo!$B$5)+(MonteCarlo!$B$9+(K$1^2)/2)*$A5)/(K$1*SQRT($A5))),TRUE)),"")</f>
        <v/>
      </c>
      <c r="L5" t="str">
        <f>IFERROR(IF(OR(MonteCarlo!$B$4="C",MonteCarlo!$B$4="c"),MonteCarlo!$B$6*_xlfn.NORM.S.DIST((LN(MonteCarlo!$B$6/MonteCarlo!$B$5)+(MonteCarlo!$B$9+(L$1^2)/2)*$A5)/(L$1*SQRT($A5)),TRUE)-MonteCarlo!$B$5*EXP(-MonteCarlo!$B$9*$A5)*_xlfn.NORM.S.DIST(((LN(MonteCarlo!$B$6/MonteCarlo!$B$5)+(MonteCarlo!$B$9+(L$1^2)/2)*$A5)/(L$1*SQRT($A5)))-(L$1*SQRT($A5)),TRUE),MonteCarlo!$B$5*EXP(-MonteCarlo!$B$9*$A5)*_xlfn.NORM.S.DIST(-(((LN(MonteCarlo!$B$6/MonteCarlo!$B$5)+(MonteCarlo!$B$9+(L$1^2)/2)*$A5)/(L$1*SQRT($A5)))-(L$1*SQRT($A5))),TRUE)-MonteCarlo!$B$6*_xlfn.NORM.S.DIST(-((LN(MonteCarlo!$B$6/MonteCarlo!$B$5)+(MonteCarlo!$B$9+(L$1^2)/2)*$A5)/(L$1*SQRT($A5))),TRUE)),"")</f>
        <v/>
      </c>
      <c r="M5" t="str">
        <f>IFERROR(IF(OR(MonteCarlo!$B$4="C",MonteCarlo!$B$4="c"),MonteCarlo!$B$6*_xlfn.NORM.S.DIST((LN(MonteCarlo!$B$6/MonteCarlo!$B$5)+(MonteCarlo!$B$9+(M$1^2)/2)*$A5)/(M$1*SQRT($A5)),TRUE)-MonteCarlo!$B$5*EXP(-MonteCarlo!$B$9*$A5)*_xlfn.NORM.S.DIST(((LN(MonteCarlo!$B$6/MonteCarlo!$B$5)+(MonteCarlo!$B$9+(M$1^2)/2)*$A5)/(M$1*SQRT($A5)))-(M$1*SQRT($A5)),TRUE),MonteCarlo!$B$5*EXP(-MonteCarlo!$B$9*$A5)*_xlfn.NORM.S.DIST(-(((LN(MonteCarlo!$B$6/MonteCarlo!$B$5)+(MonteCarlo!$B$9+(M$1^2)/2)*$A5)/(M$1*SQRT($A5)))-(M$1*SQRT($A5))),TRUE)-MonteCarlo!$B$6*_xlfn.NORM.S.DIST(-((LN(MonteCarlo!$B$6/MonteCarlo!$B$5)+(MonteCarlo!$B$9+(M$1^2)/2)*$A5)/(M$1*SQRT($A5))),TRUE)),"")</f>
        <v/>
      </c>
      <c r="N5" t="str">
        <f>IFERROR(IF(OR(MonteCarlo!$B$4="C",MonteCarlo!$B$4="c"),MonteCarlo!$B$6*_xlfn.NORM.S.DIST((LN(MonteCarlo!$B$6/MonteCarlo!$B$5)+(MonteCarlo!$B$9+(N$1^2)/2)*$A5)/(N$1*SQRT($A5)),TRUE)-MonteCarlo!$B$5*EXP(-MonteCarlo!$B$9*$A5)*_xlfn.NORM.S.DIST(((LN(MonteCarlo!$B$6/MonteCarlo!$B$5)+(MonteCarlo!$B$9+(N$1^2)/2)*$A5)/(N$1*SQRT($A5)))-(N$1*SQRT($A5)),TRUE),MonteCarlo!$B$5*EXP(-MonteCarlo!$B$9*$A5)*_xlfn.NORM.S.DIST(-(((LN(MonteCarlo!$B$6/MonteCarlo!$B$5)+(MonteCarlo!$B$9+(N$1^2)/2)*$A5)/(N$1*SQRT($A5)))-(N$1*SQRT($A5))),TRUE)-MonteCarlo!$B$6*_xlfn.NORM.S.DIST(-((LN(MonteCarlo!$B$6/MonteCarlo!$B$5)+(MonteCarlo!$B$9+(N$1^2)/2)*$A5)/(N$1*SQRT($A5))),TRUE)),"")</f>
        <v/>
      </c>
      <c r="O5" t="str">
        <f>IFERROR(IF(OR(MonteCarlo!$B$4="C",MonteCarlo!$B$4="c"),MonteCarlo!$B$6*_xlfn.NORM.S.DIST((LN(MonteCarlo!$B$6/MonteCarlo!$B$5)+(MonteCarlo!$B$9+(O$1^2)/2)*$A5)/(O$1*SQRT($A5)),TRUE)-MonteCarlo!$B$5*EXP(-MonteCarlo!$B$9*$A5)*_xlfn.NORM.S.DIST(((LN(MonteCarlo!$B$6/MonteCarlo!$B$5)+(MonteCarlo!$B$9+(O$1^2)/2)*$A5)/(O$1*SQRT($A5)))-(O$1*SQRT($A5)),TRUE),MonteCarlo!$B$5*EXP(-MonteCarlo!$B$9*$A5)*_xlfn.NORM.S.DIST(-(((LN(MonteCarlo!$B$6/MonteCarlo!$B$5)+(MonteCarlo!$B$9+(O$1^2)/2)*$A5)/(O$1*SQRT($A5)))-(O$1*SQRT($A5))),TRUE)-MonteCarlo!$B$6*_xlfn.NORM.S.DIST(-((LN(MonteCarlo!$B$6/MonteCarlo!$B$5)+(MonteCarlo!$B$9+(O$1^2)/2)*$A5)/(O$1*SQRT($A5))),TRUE)),"")</f>
        <v/>
      </c>
      <c r="P5" t="str">
        <f>IFERROR(IF(OR(MonteCarlo!$B$4="C",MonteCarlo!$B$4="c"),MonteCarlo!$B$6*_xlfn.NORM.S.DIST((LN(MonteCarlo!$B$6/MonteCarlo!$B$5)+(MonteCarlo!$B$9+(P$1^2)/2)*$A5)/(P$1*SQRT($A5)),TRUE)-MonteCarlo!$B$5*EXP(-MonteCarlo!$B$9*$A5)*_xlfn.NORM.S.DIST(((LN(MonteCarlo!$B$6/MonteCarlo!$B$5)+(MonteCarlo!$B$9+(P$1^2)/2)*$A5)/(P$1*SQRT($A5)))-(P$1*SQRT($A5)),TRUE),MonteCarlo!$B$5*EXP(-MonteCarlo!$B$9*$A5)*_xlfn.NORM.S.DIST(-(((LN(MonteCarlo!$B$6/MonteCarlo!$B$5)+(MonteCarlo!$B$9+(P$1^2)/2)*$A5)/(P$1*SQRT($A5)))-(P$1*SQRT($A5))),TRUE)-MonteCarlo!$B$6*_xlfn.NORM.S.DIST(-((LN(MonteCarlo!$B$6/MonteCarlo!$B$5)+(MonteCarlo!$B$9+(P$1^2)/2)*$A5)/(P$1*SQRT($A5))),TRUE)),"")</f>
        <v/>
      </c>
      <c r="Q5" t="str">
        <f>IFERROR(IF(OR(MonteCarlo!$B$4="C",MonteCarlo!$B$4="c"),MonteCarlo!$B$6*_xlfn.NORM.S.DIST((LN(MonteCarlo!$B$6/MonteCarlo!$B$5)+(MonteCarlo!$B$9+(Q$1^2)/2)*$A5)/(Q$1*SQRT($A5)),TRUE)-MonteCarlo!$B$5*EXP(-MonteCarlo!$B$9*$A5)*_xlfn.NORM.S.DIST(((LN(MonteCarlo!$B$6/MonteCarlo!$B$5)+(MonteCarlo!$B$9+(Q$1^2)/2)*$A5)/(Q$1*SQRT($A5)))-(Q$1*SQRT($A5)),TRUE),MonteCarlo!$B$5*EXP(-MonteCarlo!$B$9*$A5)*_xlfn.NORM.S.DIST(-(((LN(MonteCarlo!$B$6/MonteCarlo!$B$5)+(MonteCarlo!$B$9+(Q$1^2)/2)*$A5)/(Q$1*SQRT($A5)))-(Q$1*SQRT($A5))),TRUE)-MonteCarlo!$B$6*_xlfn.NORM.S.DIST(-((LN(MonteCarlo!$B$6/MonteCarlo!$B$5)+(MonteCarlo!$B$9+(Q$1^2)/2)*$A5)/(Q$1*SQRT($A5))),TRUE)),"")</f>
        <v/>
      </c>
      <c r="R5" t="str">
        <f>IFERROR(IF(OR(MonteCarlo!$B$4="C",MonteCarlo!$B$4="c"),MonteCarlo!$B$6*_xlfn.NORM.S.DIST((LN(MonteCarlo!$B$6/MonteCarlo!$B$5)+(MonteCarlo!$B$9+(R$1^2)/2)*$A5)/(R$1*SQRT($A5)),TRUE)-MonteCarlo!$B$5*EXP(-MonteCarlo!$B$9*$A5)*_xlfn.NORM.S.DIST(((LN(MonteCarlo!$B$6/MonteCarlo!$B$5)+(MonteCarlo!$B$9+(R$1^2)/2)*$A5)/(R$1*SQRT($A5)))-(R$1*SQRT($A5)),TRUE),MonteCarlo!$B$5*EXP(-MonteCarlo!$B$9*$A5)*_xlfn.NORM.S.DIST(-(((LN(MonteCarlo!$B$6/MonteCarlo!$B$5)+(MonteCarlo!$B$9+(R$1^2)/2)*$A5)/(R$1*SQRT($A5)))-(R$1*SQRT($A5))),TRUE)-MonteCarlo!$B$6*_xlfn.NORM.S.DIST(-((LN(MonteCarlo!$B$6/MonteCarlo!$B$5)+(MonteCarlo!$B$9+(R$1^2)/2)*$A5)/(R$1*SQRT($A5))),TRUE)),"")</f>
        <v/>
      </c>
      <c r="S5" t="str">
        <f>IFERROR(IF(OR(MonteCarlo!$B$4="C",MonteCarlo!$B$4="c"),MonteCarlo!$B$6*_xlfn.NORM.S.DIST((LN(MonteCarlo!$B$6/MonteCarlo!$B$5)+(MonteCarlo!$B$9+(S$1^2)/2)*$A5)/(S$1*SQRT($A5)),TRUE)-MonteCarlo!$B$5*EXP(-MonteCarlo!$B$9*$A5)*_xlfn.NORM.S.DIST(((LN(MonteCarlo!$B$6/MonteCarlo!$B$5)+(MonteCarlo!$B$9+(S$1^2)/2)*$A5)/(S$1*SQRT($A5)))-(S$1*SQRT($A5)),TRUE),MonteCarlo!$B$5*EXP(-MonteCarlo!$B$9*$A5)*_xlfn.NORM.S.DIST(-(((LN(MonteCarlo!$B$6/MonteCarlo!$B$5)+(MonteCarlo!$B$9+(S$1^2)/2)*$A5)/(S$1*SQRT($A5)))-(S$1*SQRT($A5))),TRUE)-MonteCarlo!$B$6*_xlfn.NORM.S.DIST(-((LN(MonteCarlo!$B$6/MonteCarlo!$B$5)+(MonteCarlo!$B$9+(S$1^2)/2)*$A5)/(S$1*SQRT($A5))),TRUE)),"")</f>
        <v/>
      </c>
      <c r="T5" t="str">
        <f>IFERROR(IF(OR(MonteCarlo!$B$4="C",MonteCarlo!$B$4="c"),MonteCarlo!$B$6*_xlfn.NORM.S.DIST((LN(MonteCarlo!$B$6/MonteCarlo!$B$5)+(MonteCarlo!$B$9+(T$1^2)/2)*$A5)/(T$1*SQRT($A5)),TRUE)-MonteCarlo!$B$5*EXP(-MonteCarlo!$B$9*$A5)*_xlfn.NORM.S.DIST(((LN(MonteCarlo!$B$6/MonteCarlo!$B$5)+(MonteCarlo!$B$9+(T$1^2)/2)*$A5)/(T$1*SQRT($A5)))-(T$1*SQRT($A5)),TRUE),MonteCarlo!$B$5*EXP(-MonteCarlo!$B$9*$A5)*_xlfn.NORM.S.DIST(-(((LN(MonteCarlo!$B$6/MonteCarlo!$B$5)+(MonteCarlo!$B$9+(T$1^2)/2)*$A5)/(T$1*SQRT($A5)))-(T$1*SQRT($A5))),TRUE)-MonteCarlo!$B$6*_xlfn.NORM.S.DIST(-((LN(MonteCarlo!$B$6/MonteCarlo!$B$5)+(MonteCarlo!$B$9+(T$1^2)/2)*$A5)/(T$1*SQRT($A5))),TRUE)),"")</f>
        <v/>
      </c>
      <c r="U5" t="str">
        <f>IFERROR(IF(OR(MonteCarlo!$B$4="C",MonteCarlo!$B$4="c"),MonteCarlo!$B$6*_xlfn.NORM.S.DIST((LN(MonteCarlo!$B$6/MonteCarlo!$B$5)+(MonteCarlo!$B$9+(U$1^2)/2)*$A5)/(U$1*SQRT($A5)),TRUE)-MonteCarlo!$B$5*EXP(-MonteCarlo!$B$9*$A5)*_xlfn.NORM.S.DIST(((LN(MonteCarlo!$B$6/MonteCarlo!$B$5)+(MonteCarlo!$B$9+(U$1^2)/2)*$A5)/(U$1*SQRT($A5)))-(U$1*SQRT($A5)),TRUE),MonteCarlo!$B$5*EXP(-MonteCarlo!$B$9*$A5)*_xlfn.NORM.S.DIST(-(((LN(MonteCarlo!$B$6/MonteCarlo!$B$5)+(MonteCarlo!$B$9+(U$1^2)/2)*$A5)/(U$1*SQRT($A5)))-(U$1*SQRT($A5))),TRUE)-MonteCarlo!$B$6*_xlfn.NORM.S.DIST(-((LN(MonteCarlo!$B$6/MonteCarlo!$B$5)+(MonteCarlo!$B$9+(U$1^2)/2)*$A5)/(U$1*SQRT($A5))),TRUE)),"")</f>
        <v/>
      </c>
      <c r="V5" t="str">
        <f>IFERROR(IF(OR(MonteCarlo!$B$4="C",MonteCarlo!$B$4="c"),MonteCarlo!$B$6*_xlfn.NORM.S.DIST((LN(MonteCarlo!$B$6/MonteCarlo!$B$5)+(MonteCarlo!$B$9+(V$1^2)/2)*$A5)/(V$1*SQRT($A5)),TRUE)-MonteCarlo!$B$5*EXP(-MonteCarlo!$B$9*$A5)*_xlfn.NORM.S.DIST(((LN(MonteCarlo!$B$6/MonteCarlo!$B$5)+(MonteCarlo!$B$9+(V$1^2)/2)*$A5)/(V$1*SQRT($A5)))-(V$1*SQRT($A5)),TRUE),MonteCarlo!$B$5*EXP(-MonteCarlo!$B$9*$A5)*_xlfn.NORM.S.DIST(-(((LN(MonteCarlo!$B$6/MonteCarlo!$B$5)+(MonteCarlo!$B$9+(V$1^2)/2)*$A5)/(V$1*SQRT($A5)))-(V$1*SQRT($A5))),TRUE)-MonteCarlo!$B$6*_xlfn.NORM.S.DIST(-((LN(MonteCarlo!$B$6/MonteCarlo!$B$5)+(MonteCarlo!$B$9+(V$1^2)/2)*$A5)/(V$1*SQRT($A5))),TRUE)),"")</f>
        <v/>
      </c>
      <c r="W5" t="str">
        <f>IFERROR(IF(OR(MonteCarlo!$B$4="C",MonteCarlo!$B$4="c"),MonteCarlo!$B$6*_xlfn.NORM.S.DIST((LN(MonteCarlo!$B$6/MonteCarlo!$B$5)+(MonteCarlo!$B$9+(W$1^2)/2)*$A5)/(W$1*SQRT($A5)),TRUE)-MonteCarlo!$B$5*EXP(-MonteCarlo!$B$9*$A5)*_xlfn.NORM.S.DIST(((LN(MonteCarlo!$B$6/MonteCarlo!$B$5)+(MonteCarlo!$B$9+(W$1^2)/2)*$A5)/(W$1*SQRT($A5)))-(W$1*SQRT($A5)),TRUE),MonteCarlo!$B$5*EXP(-MonteCarlo!$B$9*$A5)*_xlfn.NORM.S.DIST(-(((LN(MonteCarlo!$B$6/MonteCarlo!$B$5)+(MonteCarlo!$B$9+(W$1^2)/2)*$A5)/(W$1*SQRT($A5)))-(W$1*SQRT($A5))),TRUE)-MonteCarlo!$B$6*_xlfn.NORM.S.DIST(-((LN(MonteCarlo!$B$6/MonteCarlo!$B$5)+(MonteCarlo!$B$9+(W$1^2)/2)*$A5)/(W$1*SQRT($A5))),TRUE)),"")</f>
        <v/>
      </c>
      <c r="X5" t="str">
        <f>IFERROR(IF(OR(MonteCarlo!$B$4="C",MonteCarlo!$B$4="c"),MonteCarlo!$B$6*_xlfn.NORM.S.DIST((LN(MonteCarlo!$B$6/MonteCarlo!$B$5)+(MonteCarlo!$B$9+(X$1^2)/2)*$A5)/(X$1*SQRT($A5)),TRUE)-MonteCarlo!$B$5*EXP(-MonteCarlo!$B$9*$A5)*_xlfn.NORM.S.DIST(((LN(MonteCarlo!$B$6/MonteCarlo!$B$5)+(MonteCarlo!$B$9+(X$1^2)/2)*$A5)/(X$1*SQRT($A5)))-(X$1*SQRT($A5)),TRUE),MonteCarlo!$B$5*EXP(-MonteCarlo!$B$9*$A5)*_xlfn.NORM.S.DIST(-(((LN(MonteCarlo!$B$6/MonteCarlo!$B$5)+(MonteCarlo!$B$9+(X$1^2)/2)*$A5)/(X$1*SQRT($A5)))-(X$1*SQRT($A5))),TRUE)-MonteCarlo!$B$6*_xlfn.NORM.S.DIST(-((LN(MonteCarlo!$B$6/MonteCarlo!$B$5)+(MonteCarlo!$B$9+(X$1^2)/2)*$A5)/(X$1*SQRT($A5))),TRUE)),"")</f>
        <v/>
      </c>
      <c r="Y5" t="str">
        <f>IFERROR(IF(OR(MonteCarlo!$B$4="C",MonteCarlo!$B$4="c"),MonteCarlo!$B$6*_xlfn.NORM.S.DIST((LN(MonteCarlo!$B$6/MonteCarlo!$B$5)+(MonteCarlo!$B$9+(Y$1^2)/2)*$A5)/(Y$1*SQRT($A5)),TRUE)-MonteCarlo!$B$5*EXP(-MonteCarlo!$B$9*$A5)*_xlfn.NORM.S.DIST(((LN(MonteCarlo!$B$6/MonteCarlo!$B$5)+(MonteCarlo!$B$9+(Y$1^2)/2)*$A5)/(Y$1*SQRT($A5)))-(Y$1*SQRT($A5)),TRUE),MonteCarlo!$B$5*EXP(-MonteCarlo!$B$9*$A5)*_xlfn.NORM.S.DIST(-(((LN(MonteCarlo!$B$6/MonteCarlo!$B$5)+(MonteCarlo!$B$9+(Y$1^2)/2)*$A5)/(Y$1*SQRT($A5)))-(Y$1*SQRT($A5))),TRUE)-MonteCarlo!$B$6*_xlfn.NORM.S.DIST(-((LN(MonteCarlo!$B$6/MonteCarlo!$B$5)+(MonteCarlo!$B$9+(Y$1^2)/2)*$A5)/(Y$1*SQRT($A5))),TRUE)),"")</f>
        <v/>
      </c>
      <c r="Z5" t="str">
        <f>IFERROR(IF(OR(MonteCarlo!$B$4="C",MonteCarlo!$B$4="c"),MonteCarlo!$B$6*_xlfn.NORM.S.DIST((LN(MonteCarlo!$B$6/MonteCarlo!$B$5)+(MonteCarlo!$B$9+(Z$1^2)/2)*$A5)/(Z$1*SQRT($A5)),TRUE)-MonteCarlo!$B$5*EXP(-MonteCarlo!$B$9*$A5)*_xlfn.NORM.S.DIST(((LN(MonteCarlo!$B$6/MonteCarlo!$B$5)+(MonteCarlo!$B$9+(Z$1^2)/2)*$A5)/(Z$1*SQRT($A5)))-(Z$1*SQRT($A5)),TRUE),MonteCarlo!$B$5*EXP(-MonteCarlo!$B$9*$A5)*_xlfn.NORM.S.DIST(-(((LN(MonteCarlo!$B$6/MonteCarlo!$B$5)+(MonteCarlo!$B$9+(Z$1^2)/2)*$A5)/(Z$1*SQRT($A5)))-(Z$1*SQRT($A5))),TRUE)-MonteCarlo!$B$6*_xlfn.NORM.S.DIST(-((LN(MonteCarlo!$B$6/MonteCarlo!$B$5)+(MonteCarlo!$B$9+(Z$1^2)/2)*$A5)/(Z$1*SQRT($A5))),TRUE)),"")</f>
        <v/>
      </c>
      <c r="AA5" t="str">
        <f>IFERROR(IF(OR(MonteCarlo!$B$4="C",MonteCarlo!$B$4="c"),MonteCarlo!$B$6*_xlfn.NORM.S.DIST((LN(MonteCarlo!$B$6/MonteCarlo!$B$5)+(MonteCarlo!$B$9+(AA$1^2)/2)*$A5)/(AA$1*SQRT($A5)),TRUE)-MonteCarlo!$B$5*EXP(-MonteCarlo!$B$9*$A5)*_xlfn.NORM.S.DIST(((LN(MonteCarlo!$B$6/MonteCarlo!$B$5)+(MonteCarlo!$B$9+(AA$1^2)/2)*$A5)/(AA$1*SQRT($A5)))-(AA$1*SQRT($A5)),TRUE),MonteCarlo!$B$5*EXP(-MonteCarlo!$B$9*$A5)*_xlfn.NORM.S.DIST(-(((LN(MonteCarlo!$B$6/MonteCarlo!$B$5)+(MonteCarlo!$B$9+(AA$1^2)/2)*$A5)/(AA$1*SQRT($A5)))-(AA$1*SQRT($A5))),TRUE)-MonteCarlo!$B$6*_xlfn.NORM.S.DIST(-((LN(MonteCarlo!$B$6/MonteCarlo!$B$5)+(MonteCarlo!$B$9+(AA$1^2)/2)*$A5)/(AA$1*SQRT($A5))),TRUE)),"")</f>
        <v/>
      </c>
      <c r="AB5" t="str">
        <f>IFERROR(IF(OR(MonteCarlo!$B$4="C",MonteCarlo!$B$4="c"),MonteCarlo!$B$6*_xlfn.NORM.S.DIST((LN(MonteCarlo!$B$6/MonteCarlo!$B$5)+(MonteCarlo!$B$9+(AB$1^2)/2)*$A5)/(AB$1*SQRT($A5)),TRUE)-MonteCarlo!$B$5*EXP(-MonteCarlo!$B$9*$A5)*_xlfn.NORM.S.DIST(((LN(MonteCarlo!$B$6/MonteCarlo!$B$5)+(MonteCarlo!$B$9+(AB$1^2)/2)*$A5)/(AB$1*SQRT($A5)))-(AB$1*SQRT($A5)),TRUE),MonteCarlo!$B$5*EXP(-MonteCarlo!$B$9*$A5)*_xlfn.NORM.S.DIST(-(((LN(MonteCarlo!$B$6/MonteCarlo!$B$5)+(MonteCarlo!$B$9+(AB$1^2)/2)*$A5)/(AB$1*SQRT($A5)))-(AB$1*SQRT($A5))),TRUE)-MonteCarlo!$B$6*_xlfn.NORM.S.DIST(-((LN(MonteCarlo!$B$6/MonteCarlo!$B$5)+(MonteCarlo!$B$9+(AB$1^2)/2)*$A5)/(AB$1*SQRT($A5))),TRUE)),"")</f>
        <v/>
      </c>
      <c r="AC5" t="str">
        <f>IFERROR(IF(OR(MonteCarlo!$B$4="C",MonteCarlo!$B$4="c"),MonteCarlo!$B$6*_xlfn.NORM.S.DIST((LN(MonteCarlo!$B$6/MonteCarlo!$B$5)+(MonteCarlo!$B$9+(AC$1^2)/2)*$A5)/(AC$1*SQRT($A5)),TRUE)-MonteCarlo!$B$5*EXP(-MonteCarlo!$B$9*$A5)*_xlfn.NORM.S.DIST(((LN(MonteCarlo!$B$6/MonteCarlo!$B$5)+(MonteCarlo!$B$9+(AC$1^2)/2)*$A5)/(AC$1*SQRT($A5)))-(AC$1*SQRT($A5)),TRUE),MonteCarlo!$B$5*EXP(-MonteCarlo!$B$9*$A5)*_xlfn.NORM.S.DIST(-(((LN(MonteCarlo!$B$6/MonteCarlo!$B$5)+(MonteCarlo!$B$9+(AC$1^2)/2)*$A5)/(AC$1*SQRT($A5)))-(AC$1*SQRT($A5))),TRUE)-MonteCarlo!$B$6*_xlfn.NORM.S.DIST(-((LN(MonteCarlo!$B$6/MonteCarlo!$B$5)+(MonteCarlo!$B$9+(AC$1^2)/2)*$A5)/(AC$1*SQRT($A5))),TRUE)),"")</f>
        <v/>
      </c>
      <c r="AD5" t="str">
        <f>IFERROR(IF(OR(MonteCarlo!$B$4="C",MonteCarlo!$B$4="c"),MonteCarlo!$B$6*_xlfn.NORM.S.DIST((LN(MonteCarlo!$B$6/MonteCarlo!$B$5)+(MonteCarlo!$B$9+(AD$1^2)/2)*$A5)/(AD$1*SQRT($A5)),TRUE)-MonteCarlo!$B$5*EXP(-MonteCarlo!$B$9*$A5)*_xlfn.NORM.S.DIST(((LN(MonteCarlo!$B$6/MonteCarlo!$B$5)+(MonteCarlo!$B$9+(AD$1^2)/2)*$A5)/(AD$1*SQRT($A5)))-(AD$1*SQRT($A5)),TRUE),MonteCarlo!$B$5*EXP(-MonteCarlo!$B$9*$A5)*_xlfn.NORM.S.DIST(-(((LN(MonteCarlo!$B$6/MonteCarlo!$B$5)+(MonteCarlo!$B$9+(AD$1^2)/2)*$A5)/(AD$1*SQRT($A5)))-(AD$1*SQRT($A5))),TRUE)-MonteCarlo!$B$6*_xlfn.NORM.S.DIST(-((LN(MonteCarlo!$B$6/MonteCarlo!$B$5)+(MonteCarlo!$B$9+(AD$1^2)/2)*$A5)/(AD$1*SQRT($A5))),TRUE)),"")</f>
        <v/>
      </c>
      <c r="AE5" t="str">
        <f>IFERROR(IF(OR(MonteCarlo!$B$4="C",MonteCarlo!$B$4="c"),MonteCarlo!$B$6*_xlfn.NORM.S.DIST((LN(MonteCarlo!$B$6/MonteCarlo!$B$5)+(MonteCarlo!$B$9+(AE$1^2)/2)*$A5)/(AE$1*SQRT($A5)),TRUE)-MonteCarlo!$B$5*EXP(-MonteCarlo!$B$9*$A5)*_xlfn.NORM.S.DIST(((LN(MonteCarlo!$B$6/MonteCarlo!$B$5)+(MonteCarlo!$B$9+(AE$1^2)/2)*$A5)/(AE$1*SQRT($A5)))-(AE$1*SQRT($A5)),TRUE),MonteCarlo!$B$5*EXP(-MonteCarlo!$B$9*$A5)*_xlfn.NORM.S.DIST(-(((LN(MonteCarlo!$B$6/MonteCarlo!$B$5)+(MonteCarlo!$B$9+(AE$1^2)/2)*$A5)/(AE$1*SQRT($A5)))-(AE$1*SQRT($A5))),TRUE)-MonteCarlo!$B$6*_xlfn.NORM.S.DIST(-((LN(MonteCarlo!$B$6/MonteCarlo!$B$5)+(MonteCarlo!$B$9+(AE$1^2)/2)*$A5)/(AE$1*SQRT($A5))),TRUE)),"")</f>
        <v/>
      </c>
      <c r="AF5" t="str">
        <f>IFERROR(IF(OR(MonteCarlo!$B$4="C",MonteCarlo!$B$4="c"),MonteCarlo!$B$6*_xlfn.NORM.S.DIST((LN(MonteCarlo!$B$6/MonteCarlo!$B$5)+(MonteCarlo!$B$9+(AF$1^2)/2)*$A5)/(AF$1*SQRT($A5)),TRUE)-MonteCarlo!$B$5*EXP(-MonteCarlo!$B$9*$A5)*_xlfn.NORM.S.DIST(((LN(MonteCarlo!$B$6/MonteCarlo!$B$5)+(MonteCarlo!$B$9+(AF$1^2)/2)*$A5)/(AF$1*SQRT($A5)))-(AF$1*SQRT($A5)),TRUE),MonteCarlo!$B$5*EXP(-MonteCarlo!$B$9*$A5)*_xlfn.NORM.S.DIST(-(((LN(MonteCarlo!$B$6/MonteCarlo!$B$5)+(MonteCarlo!$B$9+(AF$1^2)/2)*$A5)/(AF$1*SQRT($A5)))-(AF$1*SQRT($A5))),TRUE)-MonteCarlo!$B$6*_xlfn.NORM.S.DIST(-((LN(MonteCarlo!$B$6/MonteCarlo!$B$5)+(MonteCarlo!$B$9+(AF$1^2)/2)*$A5)/(AF$1*SQRT($A5))),TRUE)),"")</f>
        <v/>
      </c>
    </row>
    <row r="6" spans="2:32" x14ac:dyDescent="0.25">
      <c r="B6" t="str">
        <f>IFERROR(IF(OR(MonteCarlo!$B$4="C",MonteCarlo!$B$4="c"),MonteCarlo!$B$6*_xlfn.NORM.S.DIST((LN(MonteCarlo!$B$6/MonteCarlo!$B$5)+(MonteCarlo!$B$9+(B$1^2)/2)*$A6)/(B$1*SQRT($A6)),TRUE)-MonteCarlo!$B$5*EXP(-MonteCarlo!$B$9*$A6)*_xlfn.NORM.S.DIST(((LN(MonteCarlo!$B$6/MonteCarlo!$B$5)+(MonteCarlo!$B$9+(B$1^2)/2)*$A6)/(B$1*SQRT($A6)))-(B$1*SQRT($A6)),TRUE),MonteCarlo!$B$5*EXP(-MonteCarlo!$B$9*$A6)*_xlfn.NORM.S.DIST(-(((LN(MonteCarlo!$B$6/MonteCarlo!$B$5)+(MonteCarlo!$B$9+(B$1^2)/2)*$A6)/(B$1*SQRT($A6)))-(B$1*SQRT($A6))),TRUE)-MonteCarlo!$B$6*_xlfn.NORM.S.DIST(-((LN(MonteCarlo!$B$6/MonteCarlo!$B$5)+(MonteCarlo!$B$9+(B$1^2)/2)*$A6)/(B$1*SQRT($A6))),TRUE)),"")</f>
        <v/>
      </c>
      <c r="C6" t="str">
        <f>IFERROR(IF(OR(MonteCarlo!$B$4="C",MonteCarlo!$B$4="c"),MonteCarlo!$B$6*_xlfn.NORM.S.DIST((LN(MonteCarlo!$B$6/MonteCarlo!$B$5)+(MonteCarlo!$B$9+(C$1^2)/2)*$A6)/(C$1*SQRT($A6)),TRUE)-MonteCarlo!$B$5*EXP(-MonteCarlo!$B$9*$A6)*_xlfn.NORM.S.DIST(((LN(MonteCarlo!$B$6/MonteCarlo!$B$5)+(MonteCarlo!$B$9+(C$1^2)/2)*$A6)/(C$1*SQRT($A6)))-(C$1*SQRT($A6)),TRUE),MonteCarlo!$B$5*EXP(-MonteCarlo!$B$9*$A6)*_xlfn.NORM.S.DIST(-(((LN(MonteCarlo!$B$6/MonteCarlo!$B$5)+(MonteCarlo!$B$9+(C$1^2)/2)*$A6)/(C$1*SQRT($A6)))-(C$1*SQRT($A6))),TRUE)-MonteCarlo!$B$6*_xlfn.NORM.S.DIST(-((LN(MonteCarlo!$B$6/MonteCarlo!$B$5)+(MonteCarlo!$B$9+(C$1^2)/2)*$A6)/(C$1*SQRT($A6))),TRUE)),"")</f>
        <v/>
      </c>
      <c r="D6" t="str">
        <f>IFERROR(IF(OR(MonteCarlo!$B$4="C",MonteCarlo!$B$4="c"),MonteCarlo!$B$6*_xlfn.NORM.S.DIST((LN(MonteCarlo!$B$6/MonteCarlo!$B$5)+(MonteCarlo!$B$9+(D$1^2)/2)*$A6)/(D$1*SQRT($A6)),TRUE)-MonteCarlo!$B$5*EXP(-MonteCarlo!$B$9*$A6)*_xlfn.NORM.S.DIST(((LN(MonteCarlo!$B$6/MonteCarlo!$B$5)+(MonteCarlo!$B$9+(D$1^2)/2)*$A6)/(D$1*SQRT($A6)))-(D$1*SQRT($A6)),TRUE),MonteCarlo!$B$5*EXP(-MonteCarlo!$B$9*$A6)*_xlfn.NORM.S.DIST(-(((LN(MonteCarlo!$B$6/MonteCarlo!$B$5)+(MonteCarlo!$B$9+(D$1^2)/2)*$A6)/(D$1*SQRT($A6)))-(D$1*SQRT($A6))),TRUE)-MonteCarlo!$B$6*_xlfn.NORM.S.DIST(-((LN(MonteCarlo!$B$6/MonteCarlo!$B$5)+(MonteCarlo!$B$9+(D$1^2)/2)*$A6)/(D$1*SQRT($A6))),TRUE)),"")</f>
        <v/>
      </c>
      <c r="E6" t="str">
        <f>IFERROR(IF(OR(MonteCarlo!$B$4="C",MonteCarlo!$B$4="c"),MonteCarlo!$B$6*_xlfn.NORM.S.DIST((LN(MonteCarlo!$B$6/MonteCarlo!$B$5)+(MonteCarlo!$B$9+(E$1^2)/2)*$A6)/(E$1*SQRT($A6)),TRUE)-MonteCarlo!$B$5*EXP(-MonteCarlo!$B$9*$A6)*_xlfn.NORM.S.DIST(((LN(MonteCarlo!$B$6/MonteCarlo!$B$5)+(MonteCarlo!$B$9+(E$1^2)/2)*$A6)/(E$1*SQRT($A6)))-(E$1*SQRT($A6)),TRUE),MonteCarlo!$B$5*EXP(-MonteCarlo!$B$9*$A6)*_xlfn.NORM.S.DIST(-(((LN(MonteCarlo!$B$6/MonteCarlo!$B$5)+(MonteCarlo!$B$9+(E$1^2)/2)*$A6)/(E$1*SQRT($A6)))-(E$1*SQRT($A6))),TRUE)-MonteCarlo!$B$6*_xlfn.NORM.S.DIST(-((LN(MonteCarlo!$B$6/MonteCarlo!$B$5)+(MonteCarlo!$B$9+(E$1^2)/2)*$A6)/(E$1*SQRT($A6))),TRUE)),"")</f>
        <v/>
      </c>
      <c r="F6" t="str">
        <f>IFERROR(IF(OR(MonteCarlo!$B$4="C",MonteCarlo!$B$4="c"),MonteCarlo!$B$6*_xlfn.NORM.S.DIST((LN(MonteCarlo!$B$6/MonteCarlo!$B$5)+(MonteCarlo!$B$9+(F$1^2)/2)*$A6)/(F$1*SQRT($A6)),TRUE)-MonteCarlo!$B$5*EXP(-MonteCarlo!$B$9*$A6)*_xlfn.NORM.S.DIST(((LN(MonteCarlo!$B$6/MonteCarlo!$B$5)+(MonteCarlo!$B$9+(F$1^2)/2)*$A6)/(F$1*SQRT($A6)))-(F$1*SQRT($A6)),TRUE),MonteCarlo!$B$5*EXP(-MonteCarlo!$B$9*$A6)*_xlfn.NORM.S.DIST(-(((LN(MonteCarlo!$B$6/MonteCarlo!$B$5)+(MonteCarlo!$B$9+(F$1^2)/2)*$A6)/(F$1*SQRT($A6)))-(F$1*SQRT($A6))),TRUE)-MonteCarlo!$B$6*_xlfn.NORM.S.DIST(-((LN(MonteCarlo!$B$6/MonteCarlo!$B$5)+(MonteCarlo!$B$9+(F$1^2)/2)*$A6)/(F$1*SQRT($A6))),TRUE)),"")</f>
        <v/>
      </c>
      <c r="G6" t="str">
        <f>IFERROR(IF(OR(MonteCarlo!$B$4="C",MonteCarlo!$B$4="c"),MonteCarlo!$B$6*_xlfn.NORM.S.DIST((LN(MonteCarlo!$B$6/MonteCarlo!$B$5)+(MonteCarlo!$B$9+(G$1^2)/2)*$A6)/(G$1*SQRT($A6)),TRUE)-MonteCarlo!$B$5*EXP(-MonteCarlo!$B$9*$A6)*_xlfn.NORM.S.DIST(((LN(MonteCarlo!$B$6/MonteCarlo!$B$5)+(MonteCarlo!$B$9+(G$1^2)/2)*$A6)/(G$1*SQRT($A6)))-(G$1*SQRT($A6)),TRUE),MonteCarlo!$B$5*EXP(-MonteCarlo!$B$9*$A6)*_xlfn.NORM.S.DIST(-(((LN(MonteCarlo!$B$6/MonteCarlo!$B$5)+(MonteCarlo!$B$9+(G$1^2)/2)*$A6)/(G$1*SQRT($A6)))-(G$1*SQRT($A6))),TRUE)-MonteCarlo!$B$6*_xlfn.NORM.S.DIST(-((LN(MonteCarlo!$B$6/MonteCarlo!$B$5)+(MonteCarlo!$B$9+(G$1^2)/2)*$A6)/(G$1*SQRT($A6))),TRUE)),"")</f>
        <v/>
      </c>
      <c r="H6" t="str">
        <f>IFERROR(IF(OR(MonteCarlo!$B$4="C",MonteCarlo!$B$4="c"),MonteCarlo!$B$6*_xlfn.NORM.S.DIST((LN(MonteCarlo!$B$6/MonteCarlo!$B$5)+(MonteCarlo!$B$9+(H$1^2)/2)*$A6)/(H$1*SQRT($A6)),TRUE)-MonteCarlo!$B$5*EXP(-MonteCarlo!$B$9*$A6)*_xlfn.NORM.S.DIST(((LN(MonteCarlo!$B$6/MonteCarlo!$B$5)+(MonteCarlo!$B$9+(H$1^2)/2)*$A6)/(H$1*SQRT($A6)))-(H$1*SQRT($A6)),TRUE),MonteCarlo!$B$5*EXP(-MonteCarlo!$B$9*$A6)*_xlfn.NORM.S.DIST(-(((LN(MonteCarlo!$B$6/MonteCarlo!$B$5)+(MonteCarlo!$B$9+(H$1^2)/2)*$A6)/(H$1*SQRT($A6)))-(H$1*SQRT($A6))),TRUE)-MonteCarlo!$B$6*_xlfn.NORM.S.DIST(-((LN(MonteCarlo!$B$6/MonteCarlo!$B$5)+(MonteCarlo!$B$9+(H$1^2)/2)*$A6)/(H$1*SQRT($A6))),TRUE)),"")</f>
        <v/>
      </c>
      <c r="I6" t="str">
        <f>IFERROR(IF(OR(MonteCarlo!$B$4="C",MonteCarlo!$B$4="c"),MonteCarlo!$B$6*_xlfn.NORM.S.DIST((LN(MonteCarlo!$B$6/MonteCarlo!$B$5)+(MonteCarlo!$B$9+(I$1^2)/2)*$A6)/(I$1*SQRT($A6)),TRUE)-MonteCarlo!$B$5*EXP(-MonteCarlo!$B$9*$A6)*_xlfn.NORM.S.DIST(((LN(MonteCarlo!$B$6/MonteCarlo!$B$5)+(MonteCarlo!$B$9+(I$1^2)/2)*$A6)/(I$1*SQRT($A6)))-(I$1*SQRT($A6)),TRUE),MonteCarlo!$B$5*EXP(-MonteCarlo!$B$9*$A6)*_xlfn.NORM.S.DIST(-(((LN(MonteCarlo!$B$6/MonteCarlo!$B$5)+(MonteCarlo!$B$9+(I$1^2)/2)*$A6)/(I$1*SQRT($A6)))-(I$1*SQRT($A6))),TRUE)-MonteCarlo!$B$6*_xlfn.NORM.S.DIST(-((LN(MonteCarlo!$B$6/MonteCarlo!$B$5)+(MonteCarlo!$B$9+(I$1^2)/2)*$A6)/(I$1*SQRT($A6))),TRUE)),"")</f>
        <v/>
      </c>
      <c r="J6" t="str">
        <f>IFERROR(IF(OR(MonteCarlo!$B$4="C",MonteCarlo!$B$4="c"),MonteCarlo!$B$6*_xlfn.NORM.S.DIST((LN(MonteCarlo!$B$6/MonteCarlo!$B$5)+(MonteCarlo!$B$9+(J$1^2)/2)*$A6)/(J$1*SQRT($A6)),TRUE)-MonteCarlo!$B$5*EXP(-MonteCarlo!$B$9*$A6)*_xlfn.NORM.S.DIST(((LN(MonteCarlo!$B$6/MonteCarlo!$B$5)+(MonteCarlo!$B$9+(J$1^2)/2)*$A6)/(J$1*SQRT($A6)))-(J$1*SQRT($A6)),TRUE),MonteCarlo!$B$5*EXP(-MonteCarlo!$B$9*$A6)*_xlfn.NORM.S.DIST(-(((LN(MonteCarlo!$B$6/MonteCarlo!$B$5)+(MonteCarlo!$B$9+(J$1^2)/2)*$A6)/(J$1*SQRT($A6)))-(J$1*SQRT($A6))),TRUE)-MonteCarlo!$B$6*_xlfn.NORM.S.DIST(-((LN(MonteCarlo!$B$6/MonteCarlo!$B$5)+(MonteCarlo!$B$9+(J$1^2)/2)*$A6)/(J$1*SQRT($A6))),TRUE)),"")</f>
        <v/>
      </c>
      <c r="K6" t="str">
        <f>IFERROR(IF(OR(MonteCarlo!$B$4="C",MonteCarlo!$B$4="c"),MonteCarlo!$B$6*_xlfn.NORM.S.DIST((LN(MonteCarlo!$B$6/MonteCarlo!$B$5)+(MonteCarlo!$B$9+(K$1^2)/2)*$A6)/(K$1*SQRT($A6)),TRUE)-MonteCarlo!$B$5*EXP(-MonteCarlo!$B$9*$A6)*_xlfn.NORM.S.DIST(((LN(MonteCarlo!$B$6/MonteCarlo!$B$5)+(MonteCarlo!$B$9+(K$1^2)/2)*$A6)/(K$1*SQRT($A6)))-(K$1*SQRT($A6)),TRUE),MonteCarlo!$B$5*EXP(-MonteCarlo!$B$9*$A6)*_xlfn.NORM.S.DIST(-(((LN(MonteCarlo!$B$6/MonteCarlo!$B$5)+(MonteCarlo!$B$9+(K$1^2)/2)*$A6)/(K$1*SQRT($A6)))-(K$1*SQRT($A6))),TRUE)-MonteCarlo!$B$6*_xlfn.NORM.S.DIST(-((LN(MonteCarlo!$B$6/MonteCarlo!$B$5)+(MonteCarlo!$B$9+(K$1^2)/2)*$A6)/(K$1*SQRT($A6))),TRUE)),"")</f>
        <v/>
      </c>
      <c r="L6" t="str">
        <f>IFERROR(IF(OR(MonteCarlo!$B$4="C",MonteCarlo!$B$4="c"),MonteCarlo!$B$6*_xlfn.NORM.S.DIST((LN(MonteCarlo!$B$6/MonteCarlo!$B$5)+(MonteCarlo!$B$9+(L$1^2)/2)*$A6)/(L$1*SQRT($A6)),TRUE)-MonteCarlo!$B$5*EXP(-MonteCarlo!$B$9*$A6)*_xlfn.NORM.S.DIST(((LN(MonteCarlo!$B$6/MonteCarlo!$B$5)+(MonteCarlo!$B$9+(L$1^2)/2)*$A6)/(L$1*SQRT($A6)))-(L$1*SQRT($A6)),TRUE),MonteCarlo!$B$5*EXP(-MonteCarlo!$B$9*$A6)*_xlfn.NORM.S.DIST(-(((LN(MonteCarlo!$B$6/MonteCarlo!$B$5)+(MonteCarlo!$B$9+(L$1^2)/2)*$A6)/(L$1*SQRT($A6)))-(L$1*SQRT($A6))),TRUE)-MonteCarlo!$B$6*_xlfn.NORM.S.DIST(-((LN(MonteCarlo!$B$6/MonteCarlo!$B$5)+(MonteCarlo!$B$9+(L$1^2)/2)*$A6)/(L$1*SQRT($A6))),TRUE)),"")</f>
        <v/>
      </c>
      <c r="M6" t="str">
        <f>IFERROR(IF(OR(MonteCarlo!$B$4="C",MonteCarlo!$B$4="c"),MonteCarlo!$B$6*_xlfn.NORM.S.DIST((LN(MonteCarlo!$B$6/MonteCarlo!$B$5)+(MonteCarlo!$B$9+(M$1^2)/2)*$A6)/(M$1*SQRT($A6)),TRUE)-MonteCarlo!$B$5*EXP(-MonteCarlo!$B$9*$A6)*_xlfn.NORM.S.DIST(((LN(MonteCarlo!$B$6/MonteCarlo!$B$5)+(MonteCarlo!$B$9+(M$1^2)/2)*$A6)/(M$1*SQRT($A6)))-(M$1*SQRT($A6)),TRUE),MonteCarlo!$B$5*EXP(-MonteCarlo!$B$9*$A6)*_xlfn.NORM.S.DIST(-(((LN(MonteCarlo!$B$6/MonteCarlo!$B$5)+(MonteCarlo!$B$9+(M$1^2)/2)*$A6)/(M$1*SQRT($A6)))-(M$1*SQRT($A6))),TRUE)-MonteCarlo!$B$6*_xlfn.NORM.S.DIST(-((LN(MonteCarlo!$B$6/MonteCarlo!$B$5)+(MonteCarlo!$B$9+(M$1^2)/2)*$A6)/(M$1*SQRT($A6))),TRUE)),"")</f>
        <v/>
      </c>
      <c r="N6" t="str">
        <f>IFERROR(IF(OR(MonteCarlo!$B$4="C",MonteCarlo!$B$4="c"),MonteCarlo!$B$6*_xlfn.NORM.S.DIST((LN(MonteCarlo!$B$6/MonteCarlo!$B$5)+(MonteCarlo!$B$9+(N$1^2)/2)*$A6)/(N$1*SQRT($A6)),TRUE)-MonteCarlo!$B$5*EXP(-MonteCarlo!$B$9*$A6)*_xlfn.NORM.S.DIST(((LN(MonteCarlo!$B$6/MonteCarlo!$B$5)+(MonteCarlo!$B$9+(N$1^2)/2)*$A6)/(N$1*SQRT($A6)))-(N$1*SQRT($A6)),TRUE),MonteCarlo!$B$5*EXP(-MonteCarlo!$B$9*$A6)*_xlfn.NORM.S.DIST(-(((LN(MonteCarlo!$B$6/MonteCarlo!$B$5)+(MonteCarlo!$B$9+(N$1^2)/2)*$A6)/(N$1*SQRT($A6)))-(N$1*SQRT($A6))),TRUE)-MonteCarlo!$B$6*_xlfn.NORM.S.DIST(-((LN(MonteCarlo!$B$6/MonteCarlo!$B$5)+(MonteCarlo!$B$9+(N$1^2)/2)*$A6)/(N$1*SQRT($A6))),TRUE)),"")</f>
        <v/>
      </c>
      <c r="O6" t="str">
        <f>IFERROR(IF(OR(MonteCarlo!$B$4="C",MonteCarlo!$B$4="c"),MonteCarlo!$B$6*_xlfn.NORM.S.DIST((LN(MonteCarlo!$B$6/MonteCarlo!$B$5)+(MonteCarlo!$B$9+(O$1^2)/2)*$A6)/(O$1*SQRT($A6)),TRUE)-MonteCarlo!$B$5*EXP(-MonteCarlo!$B$9*$A6)*_xlfn.NORM.S.DIST(((LN(MonteCarlo!$B$6/MonteCarlo!$B$5)+(MonteCarlo!$B$9+(O$1^2)/2)*$A6)/(O$1*SQRT($A6)))-(O$1*SQRT($A6)),TRUE),MonteCarlo!$B$5*EXP(-MonteCarlo!$B$9*$A6)*_xlfn.NORM.S.DIST(-(((LN(MonteCarlo!$B$6/MonteCarlo!$B$5)+(MonteCarlo!$B$9+(O$1^2)/2)*$A6)/(O$1*SQRT($A6)))-(O$1*SQRT($A6))),TRUE)-MonteCarlo!$B$6*_xlfn.NORM.S.DIST(-((LN(MonteCarlo!$B$6/MonteCarlo!$B$5)+(MonteCarlo!$B$9+(O$1^2)/2)*$A6)/(O$1*SQRT($A6))),TRUE)),"")</f>
        <v/>
      </c>
      <c r="P6" t="str">
        <f>IFERROR(IF(OR(MonteCarlo!$B$4="C",MonteCarlo!$B$4="c"),MonteCarlo!$B$6*_xlfn.NORM.S.DIST((LN(MonteCarlo!$B$6/MonteCarlo!$B$5)+(MonteCarlo!$B$9+(P$1^2)/2)*$A6)/(P$1*SQRT($A6)),TRUE)-MonteCarlo!$B$5*EXP(-MonteCarlo!$B$9*$A6)*_xlfn.NORM.S.DIST(((LN(MonteCarlo!$B$6/MonteCarlo!$B$5)+(MonteCarlo!$B$9+(P$1^2)/2)*$A6)/(P$1*SQRT($A6)))-(P$1*SQRT($A6)),TRUE),MonteCarlo!$B$5*EXP(-MonteCarlo!$B$9*$A6)*_xlfn.NORM.S.DIST(-(((LN(MonteCarlo!$B$6/MonteCarlo!$B$5)+(MonteCarlo!$B$9+(P$1^2)/2)*$A6)/(P$1*SQRT($A6)))-(P$1*SQRT($A6))),TRUE)-MonteCarlo!$B$6*_xlfn.NORM.S.DIST(-((LN(MonteCarlo!$B$6/MonteCarlo!$B$5)+(MonteCarlo!$B$9+(P$1^2)/2)*$A6)/(P$1*SQRT($A6))),TRUE)),"")</f>
        <v/>
      </c>
      <c r="Q6" t="str">
        <f>IFERROR(IF(OR(MonteCarlo!$B$4="C",MonteCarlo!$B$4="c"),MonteCarlo!$B$6*_xlfn.NORM.S.DIST((LN(MonteCarlo!$B$6/MonteCarlo!$B$5)+(MonteCarlo!$B$9+(Q$1^2)/2)*$A6)/(Q$1*SQRT($A6)),TRUE)-MonteCarlo!$B$5*EXP(-MonteCarlo!$B$9*$A6)*_xlfn.NORM.S.DIST(((LN(MonteCarlo!$B$6/MonteCarlo!$B$5)+(MonteCarlo!$B$9+(Q$1^2)/2)*$A6)/(Q$1*SQRT($A6)))-(Q$1*SQRT($A6)),TRUE),MonteCarlo!$B$5*EXP(-MonteCarlo!$B$9*$A6)*_xlfn.NORM.S.DIST(-(((LN(MonteCarlo!$B$6/MonteCarlo!$B$5)+(MonteCarlo!$B$9+(Q$1^2)/2)*$A6)/(Q$1*SQRT($A6)))-(Q$1*SQRT($A6))),TRUE)-MonteCarlo!$B$6*_xlfn.NORM.S.DIST(-((LN(MonteCarlo!$B$6/MonteCarlo!$B$5)+(MonteCarlo!$B$9+(Q$1^2)/2)*$A6)/(Q$1*SQRT($A6))),TRUE)),"")</f>
        <v/>
      </c>
      <c r="R6" t="str">
        <f>IFERROR(IF(OR(MonteCarlo!$B$4="C",MonteCarlo!$B$4="c"),MonteCarlo!$B$6*_xlfn.NORM.S.DIST((LN(MonteCarlo!$B$6/MonteCarlo!$B$5)+(MonteCarlo!$B$9+(R$1^2)/2)*$A6)/(R$1*SQRT($A6)),TRUE)-MonteCarlo!$B$5*EXP(-MonteCarlo!$B$9*$A6)*_xlfn.NORM.S.DIST(((LN(MonteCarlo!$B$6/MonteCarlo!$B$5)+(MonteCarlo!$B$9+(R$1^2)/2)*$A6)/(R$1*SQRT($A6)))-(R$1*SQRT($A6)),TRUE),MonteCarlo!$B$5*EXP(-MonteCarlo!$B$9*$A6)*_xlfn.NORM.S.DIST(-(((LN(MonteCarlo!$B$6/MonteCarlo!$B$5)+(MonteCarlo!$B$9+(R$1^2)/2)*$A6)/(R$1*SQRT($A6)))-(R$1*SQRT($A6))),TRUE)-MonteCarlo!$B$6*_xlfn.NORM.S.DIST(-((LN(MonteCarlo!$B$6/MonteCarlo!$B$5)+(MonteCarlo!$B$9+(R$1^2)/2)*$A6)/(R$1*SQRT($A6))),TRUE)),"")</f>
        <v/>
      </c>
      <c r="S6" t="str">
        <f>IFERROR(IF(OR(MonteCarlo!$B$4="C",MonteCarlo!$B$4="c"),MonteCarlo!$B$6*_xlfn.NORM.S.DIST((LN(MonteCarlo!$B$6/MonteCarlo!$B$5)+(MonteCarlo!$B$9+(S$1^2)/2)*$A6)/(S$1*SQRT($A6)),TRUE)-MonteCarlo!$B$5*EXP(-MonteCarlo!$B$9*$A6)*_xlfn.NORM.S.DIST(((LN(MonteCarlo!$B$6/MonteCarlo!$B$5)+(MonteCarlo!$B$9+(S$1^2)/2)*$A6)/(S$1*SQRT($A6)))-(S$1*SQRT($A6)),TRUE),MonteCarlo!$B$5*EXP(-MonteCarlo!$B$9*$A6)*_xlfn.NORM.S.DIST(-(((LN(MonteCarlo!$B$6/MonteCarlo!$B$5)+(MonteCarlo!$B$9+(S$1^2)/2)*$A6)/(S$1*SQRT($A6)))-(S$1*SQRT($A6))),TRUE)-MonteCarlo!$B$6*_xlfn.NORM.S.DIST(-((LN(MonteCarlo!$B$6/MonteCarlo!$B$5)+(MonteCarlo!$B$9+(S$1^2)/2)*$A6)/(S$1*SQRT($A6))),TRUE)),"")</f>
        <v/>
      </c>
      <c r="T6" t="str">
        <f>IFERROR(IF(OR(MonteCarlo!$B$4="C",MonteCarlo!$B$4="c"),MonteCarlo!$B$6*_xlfn.NORM.S.DIST((LN(MonteCarlo!$B$6/MonteCarlo!$B$5)+(MonteCarlo!$B$9+(T$1^2)/2)*$A6)/(T$1*SQRT($A6)),TRUE)-MonteCarlo!$B$5*EXP(-MonteCarlo!$B$9*$A6)*_xlfn.NORM.S.DIST(((LN(MonteCarlo!$B$6/MonteCarlo!$B$5)+(MonteCarlo!$B$9+(T$1^2)/2)*$A6)/(T$1*SQRT($A6)))-(T$1*SQRT($A6)),TRUE),MonteCarlo!$B$5*EXP(-MonteCarlo!$B$9*$A6)*_xlfn.NORM.S.DIST(-(((LN(MonteCarlo!$B$6/MonteCarlo!$B$5)+(MonteCarlo!$B$9+(T$1^2)/2)*$A6)/(T$1*SQRT($A6)))-(T$1*SQRT($A6))),TRUE)-MonteCarlo!$B$6*_xlfn.NORM.S.DIST(-((LN(MonteCarlo!$B$6/MonteCarlo!$B$5)+(MonteCarlo!$B$9+(T$1^2)/2)*$A6)/(T$1*SQRT($A6))),TRUE)),"")</f>
        <v/>
      </c>
      <c r="U6" t="str">
        <f>IFERROR(IF(OR(MonteCarlo!$B$4="C",MonteCarlo!$B$4="c"),MonteCarlo!$B$6*_xlfn.NORM.S.DIST((LN(MonteCarlo!$B$6/MonteCarlo!$B$5)+(MonteCarlo!$B$9+(U$1^2)/2)*$A6)/(U$1*SQRT($A6)),TRUE)-MonteCarlo!$B$5*EXP(-MonteCarlo!$B$9*$A6)*_xlfn.NORM.S.DIST(((LN(MonteCarlo!$B$6/MonteCarlo!$B$5)+(MonteCarlo!$B$9+(U$1^2)/2)*$A6)/(U$1*SQRT($A6)))-(U$1*SQRT($A6)),TRUE),MonteCarlo!$B$5*EXP(-MonteCarlo!$B$9*$A6)*_xlfn.NORM.S.DIST(-(((LN(MonteCarlo!$B$6/MonteCarlo!$B$5)+(MonteCarlo!$B$9+(U$1^2)/2)*$A6)/(U$1*SQRT($A6)))-(U$1*SQRT($A6))),TRUE)-MonteCarlo!$B$6*_xlfn.NORM.S.DIST(-((LN(MonteCarlo!$B$6/MonteCarlo!$B$5)+(MonteCarlo!$B$9+(U$1^2)/2)*$A6)/(U$1*SQRT($A6))),TRUE)),"")</f>
        <v/>
      </c>
      <c r="V6" t="str">
        <f>IFERROR(IF(OR(MonteCarlo!$B$4="C",MonteCarlo!$B$4="c"),MonteCarlo!$B$6*_xlfn.NORM.S.DIST((LN(MonteCarlo!$B$6/MonteCarlo!$B$5)+(MonteCarlo!$B$9+(V$1^2)/2)*$A6)/(V$1*SQRT($A6)),TRUE)-MonteCarlo!$B$5*EXP(-MonteCarlo!$B$9*$A6)*_xlfn.NORM.S.DIST(((LN(MonteCarlo!$B$6/MonteCarlo!$B$5)+(MonteCarlo!$B$9+(V$1^2)/2)*$A6)/(V$1*SQRT($A6)))-(V$1*SQRT($A6)),TRUE),MonteCarlo!$B$5*EXP(-MonteCarlo!$B$9*$A6)*_xlfn.NORM.S.DIST(-(((LN(MonteCarlo!$B$6/MonteCarlo!$B$5)+(MonteCarlo!$B$9+(V$1^2)/2)*$A6)/(V$1*SQRT($A6)))-(V$1*SQRT($A6))),TRUE)-MonteCarlo!$B$6*_xlfn.NORM.S.DIST(-((LN(MonteCarlo!$B$6/MonteCarlo!$B$5)+(MonteCarlo!$B$9+(V$1^2)/2)*$A6)/(V$1*SQRT($A6))),TRUE)),"")</f>
        <v/>
      </c>
      <c r="W6" t="str">
        <f>IFERROR(IF(OR(MonteCarlo!$B$4="C",MonteCarlo!$B$4="c"),MonteCarlo!$B$6*_xlfn.NORM.S.DIST((LN(MonteCarlo!$B$6/MonteCarlo!$B$5)+(MonteCarlo!$B$9+(W$1^2)/2)*$A6)/(W$1*SQRT($A6)),TRUE)-MonteCarlo!$B$5*EXP(-MonteCarlo!$B$9*$A6)*_xlfn.NORM.S.DIST(((LN(MonteCarlo!$B$6/MonteCarlo!$B$5)+(MonteCarlo!$B$9+(W$1^2)/2)*$A6)/(W$1*SQRT($A6)))-(W$1*SQRT($A6)),TRUE),MonteCarlo!$B$5*EXP(-MonteCarlo!$B$9*$A6)*_xlfn.NORM.S.DIST(-(((LN(MonteCarlo!$B$6/MonteCarlo!$B$5)+(MonteCarlo!$B$9+(W$1^2)/2)*$A6)/(W$1*SQRT($A6)))-(W$1*SQRT($A6))),TRUE)-MonteCarlo!$B$6*_xlfn.NORM.S.DIST(-((LN(MonteCarlo!$B$6/MonteCarlo!$B$5)+(MonteCarlo!$B$9+(W$1^2)/2)*$A6)/(W$1*SQRT($A6))),TRUE)),"")</f>
        <v/>
      </c>
      <c r="X6" t="str">
        <f>IFERROR(IF(OR(MonteCarlo!$B$4="C",MonteCarlo!$B$4="c"),MonteCarlo!$B$6*_xlfn.NORM.S.DIST((LN(MonteCarlo!$B$6/MonteCarlo!$B$5)+(MonteCarlo!$B$9+(X$1^2)/2)*$A6)/(X$1*SQRT($A6)),TRUE)-MonteCarlo!$B$5*EXP(-MonteCarlo!$B$9*$A6)*_xlfn.NORM.S.DIST(((LN(MonteCarlo!$B$6/MonteCarlo!$B$5)+(MonteCarlo!$B$9+(X$1^2)/2)*$A6)/(X$1*SQRT($A6)))-(X$1*SQRT($A6)),TRUE),MonteCarlo!$B$5*EXP(-MonteCarlo!$B$9*$A6)*_xlfn.NORM.S.DIST(-(((LN(MonteCarlo!$B$6/MonteCarlo!$B$5)+(MonteCarlo!$B$9+(X$1^2)/2)*$A6)/(X$1*SQRT($A6)))-(X$1*SQRT($A6))),TRUE)-MonteCarlo!$B$6*_xlfn.NORM.S.DIST(-((LN(MonteCarlo!$B$6/MonteCarlo!$B$5)+(MonteCarlo!$B$9+(X$1^2)/2)*$A6)/(X$1*SQRT($A6))),TRUE)),"")</f>
        <v/>
      </c>
      <c r="Y6" t="str">
        <f>IFERROR(IF(OR(MonteCarlo!$B$4="C",MonteCarlo!$B$4="c"),MonteCarlo!$B$6*_xlfn.NORM.S.DIST((LN(MonteCarlo!$B$6/MonteCarlo!$B$5)+(MonteCarlo!$B$9+(Y$1^2)/2)*$A6)/(Y$1*SQRT($A6)),TRUE)-MonteCarlo!$B$5*EXP(-MonteCarlo!$B$9*$A6)*_xlfn.NORM.S.DIST(((LN(MonteCarlo!$B$6/MonteCarlo!$B$5)+(MonteCarlo!$B$9+(Y$1^2)/2)*$A6)/(Y$1*SQRT($A6)))-(Y$1*SQRT($A6)),TRUE),MonteCarlo!$B$5*EXP(-MonteCarlo!$B$9*$A6)*_xlfn.NORM.S.DIST(-(((LN(MonteCarlo!$B$6/MonteCarlo!$B$5)+(MonteCarlo!$B$9+(Y$1^2)/2)*$A6)/(Y$1*SQRT($A6)))-(Y$1*SQRT($A6))),TRUE)-MonteCarlo!$B$6*_xlfn.NORM.S.DIST(-((LN(MonteCarlo!$B$6/MonteCarlo!$B$5)+(MonteCarlo!$B$9+(Y$1^2)/2)*$A6)/(Y$1*SQRT($A6))),TRUE)),"")</f>
        <v/>
      </c>
      <c r="Z6" t="str">
        <f>IFERROR(IF(OR(MonteCarlo!$B$4="C",MonteCarlo!$B$4="c"),MonteCarlo!$B$6*_xlfn.NORM.S.DIST((LN(MonteCarlo!$B$6/MonteCarlo!$B$5)+(MonteCarlo!$B$9+(Z$1^2)/2)*$A6)/(Z$1*SQRT($A6)),TRUE)-MonteCarlo!$B$5*EXP(-MonteCarlo!$B$9*$A6)*_xlfn.NORM.S.DIST(((LN(MonteCarlo!$B$6/MonteCarlo!$B$5)+(MonteCarlo!$B$9+(Z$1^2)/2)*$A6)/(Z$1*SQRT($A6)))-(Z$1*SQRT($A6)),TRUE),MonteCarlo!$B$5*EXP(-MonteCarlo!$B$9*$A6)*_xlfn.NORM.S.DIST(-(((LN(MonteCarlo!$B$6/MonteCarlo!$B$5)+(MonteCarlo!$B$9+(Z$1^2)/2)*$A6)/(Z$1*SQRT($A6)))-(Z$1*SQRT($A6))),TRUE)-MonteCarlo!$B$6*_xlfn.NORM.S.DIST(-((LN(MonteCarlo!$B$6/MonteCarlo!$B$5)+(MonteCarlo!$B$9+(Z$1^2)/2)*$A6)/(Z$1*SQRT($A6))),TRUE)),"")</f>
        <v/>
      </c>
      <c r="AA6" t="str">
        <f>IFERROR(IF(OR(MonteCarlo!$B$4="C",MonteCarlo!$B$4="c"),MonteCarlo!$B$6*_xlfn.NORM.S.DIST((LN(MonteCarlo!$B$6/MonteCarlo!$B$5)+(MonteCarlo!$B$9+(AA$1^2)/2)*$A6)/(AA$1*SQRT($A6)),TRUE)-MonteCarlo!$B$5*EXP(-MonteCarlo!$B$9*$A6)*_xlfn.NORM.S.DIST(((LN(MonteCarlo!$B$6/MonteCarlo!$B$5)+(MonteCarlo!$B$9+(AA$1^2)/2)*$A6)/(AA$1*SQRT($A6)))-(AA$1*SQRT($A6)),TRUE),MonteCarlo!$B$5*EXP(-MonteCarlo!$B$9*$A6)*_xlfn.NORM.S.DIST(-(((LN(MonteCarlo!$B$6/MonteCarlo!$B$5)+(MonteCarlo!$B$9+(AA$1^2)/2)*$A6)/(AA$1*SQRT($A6)))-(AA$1*SQRT($A6))),TRUE)-MonteCarlo!$B$6*_xlfn.NORM.S.DIST(-((LN(MonteCarlo!$B$6/MonteCarlo!$B$5)+(MonteCarlo!$B$9+(AA$1^2)/2)*$A6)/(AA$1*SQRT($A6))),TRUE)),"")</f>
        <v/>
      </c>
      <c r="AB6" t="str">
        <f>IFERROR(IF(OR(MonteCarlo!$B$4="C",MonteCarlo!$B$4="c"),MonteCarlo!$B$6*_xlfn.NORM.S.DIST((LN(MonteCarlo!$B$6/MonteCarlo!$B$5)+(MonteCarlo!$B$9+(AB$1^2)/2)*$A6)/(AB$1*SQRT($A6)),TRUE)-MonteCarlo!$B$5*EXP(-MonteCarlo!$B$9*$A6)*_xlfn.NORM.S.DIST(((LN(MonteCarlo!$B$6/MonteCarlo!$B$5)+(MonteCarlo!$B$9+(AB$1^2)/2)*$A6)/(AB$1*SQRT($A6)))-(AB$1*SQRT($A6)),TRUE),MonteCarlo!$B$5*EXP(-MonteCarlo!$B$9*$A6)*_xlfn.NORM.S.DIST(-(((LN(MonteCarlo!$B$6/MonteCarlo!$B$5)+(MonteCarlo!$B$9+(AB$1^2)/2)*$A6)/(AB$1*SQRT($A6)))-(AB$1*SQRT($A6))),TRUE)-MonteCarlo!$B$6*_xlfn.NORM.S.DIST(-((LN(MonteCarlo!$B$6/MonteCarlo!$B$5)+(MonteCarlo!$B$9+(AB$1^2)/2)*$A6)/(AB$1*SQRT($A6))),TRUE)),"")</f>
        <v/>
      </c>
      <c r="AC6" t="str">
        <f>IFERROR(IF(OR(MonteCarlo!$B$4="C",MonteCarlo!$B$4="c"),MonteCarlo!$B$6*_xlfn.NORM.S.DIST((LN(MonteCarlo!$B$6/MonteCarlo!$B$5)+(MonteCarlo!$B$9+(AC$1^2)/2)*$A6)/(AC$1*SQRT($A6)),TRUE)-MonteCarlo!$B$5*EXP(-MonteCarlo!$B$9*$A6)*_xlfn.NORM.S.DIST(((LN(MonteCarlo!$B$6/MonteCarlo!$B$5)+(MonteCarlo!$B$9+(AC$1^2)/2)*$A6)/(AC$1*SQRT($A6)))-(AC$1*SQRT($A6)),TRUE),MonteCarlo!$B$5*EXP(-MonteCarlo!$B$9*$A6)*_xlfn.NORM.S.DIST(-(((LN(MonteCarlo!$B$6/MonteCarlo!$B$5)+(MonteCarlo!$B$9+(AC$1^2)/2)*$A6)/(AC$1*SQRT($A6)))-(AC$1*SQRT($A6))),TRUE)-MonteCarlo!$B$6*_xlfn.NORM.S.DIST(-((LN(MonteCarlo!$B$6/MonteCarlo!$B$5)+(MonteCarlo!$B$9+(AC$1^2)/2)*$A6)/(AC$1*SQRT($A6))),TRUE)),"")</f>
        <v/>
      </c>
      <c r="AD6" t="str">
        <f>IFERROR(IF(OR(MonteCarlo!$B$4="C",MonteCarlo!$B$4="c"),MonteCarlo!$B$6*_xlfn.NORM.S.DIST((LN(MonteCarlo!$B$6/MonteCarlo!$B$5)+(MonteCarlo!$B$9+(AD$1^2)/2)*$A6)/(AD$1*SQRT($A6)),TRUE)-MonteCarlo!$B$5*EXP(-MonteCarlo!$B$9*$A6)*_xlfn.NORM.S.DIST(((LN(MonteCarlo!$B$6/MonteCarlo!$B$5)+(MonteCarlo!$B$9+(AD$1^2)/2)*$A6)/(AD$1*SQRT($A6)))-(AD$1*SQRT($A6)),TRUE),MonteCarlo!$B$5*EXP(-MonteCarlo!$B$9*$A6)*_xlfn.NORM.S.DIST(-(((LN(MonteCarlo!$B$6/MonteCarlo!$B$5)+(MonteCarlo!$B$9+(AD$1^2)/2)*$A6)/(AD$1*SQRT($A6)))-(AD$1*SQRT($A6))),TRUE)-MonteCarlo!$B$6*_xlfn.NORM.S.DIST(-((LN(MonteCarlo!$B$6/MonteCarlo!$B$5)+(MonteCarlo!$B$9+(AD$1^2)/2)*$A6)/(AD$1*SQRT($A6))),TRUE)),"")</f>
        <v/>
      </c>
      <c r="AE6" t="str">
        <f>IFERROR(IF(OR(MonteCarlo!$B$4="C",MonteCarlo!$B$4="c"),MonteCarlo!$B$6*_xlfn.NORM.S.DIST((LN(MonteCarlo!$B$6/MonteCarlo!$B$5)+(MonteCarlo!$B$9+(AE$1^2)/2)*$A6)/(AE$1*SQRT($A6)),TRUE)-MonteCarlo!$B$5*EXP(-MonteCarlo!$B$9*$A6)*_xlfn.NORM.S.DIST(((LN(MonteCarlo!$B$6/MonteCarlo!$B$5)+(MonteCarlo!$B$9+(AE$1^2)/2)*$A6)/(AE$1*SQRT($A6)))-(AE$1*SQRT($A6)),TRUE),MonteCarlo!$B$5*EXP(-MonteCarlo!$B$9*$A6)*_xlfn.NORM.S.DIST(-(((LN(MonteCarlo!$B$6/MonteCarlo!$B$5)+(MonteCarlo!$B$9+(AE$1^2)/2)*$A6)/(AE$1*SQRT($A6)))-(AE$1*SQRT($A6))),TRUE)-MonteCarlo!$B$6*_xlfn.NORM.S.DIST(-((LN(MonteCarlo!$B$6/MonteCarlo!$B$5)+(MonteCarlo!$B$9+(AE$1^2)/2)*$A6)/(AE$1*SQRT($A6))),TRUE)),"")</f>
        <v/>
      </c>
      <c r="AF6" t="str">
        <f>IFERROR(IF(OR(MonteCarlo!$B$4="C",MonteCarlo!$B$4="c"),MonteCarlo!$B$6*_xlfn.NORM.S.DIST((LN(MonteCarlo!$B$6/MonteCarlo!$B$5)+(MonteCarlo!$B$9+(AF$1^2)/2)*$A6)/(AF$1*SQRT($A6)),TRUE)-MonteCarlo!$B$5*EXP(-MonteCarlo!$B$9*$A6)*_xlfn.NORM.S.DIST(((LN(MonteCarlo!$B$6/MonteCarlo!$B$5)+(MonteCarlo!$B$9+(AF$1^2)/2)*$A6)/(AF$1*SQRT($A6)))-(AF$1*SQRT($A6)),TRUE),MonteCarlo!$B$5*EXP(-MonteCarlo!$B$9*$A6)*_xlfn.NORM.S.DIST(-(((LN(MonteCarlo!$B$6/MonteCarlo!$B$5)+(MonteCarlo!$B$9+(AF$1^2)/2)*$A6)/(AF$1*SQRT($A6)))-(AF$1*SQRT($A6))),TRUE)-MonteCarlo!$B$6*_xlfn.NORM.S.DIST(-((LN(MonteCarlo!$B$6/MonteCarlo!$B$5)+(MonteCarlo!$B$9+(AF$1^2)/2)*$A6)/(AF$1*SQRT($A6))),TRUE)),"")</f>
        <v/>
      </c>
    </row>
    <row r="7" spans="2:32" x14ac:dyDescent="0.25">
      <c r="B7" t="str">
        <f>IFERROR(IF(OR(MonteCarlo!$B$4="C",MonteCarlo!$B$4="c"),MonteCarlo!$B$6*_xlfn.NORM.S.DIST((LN(MonteCarlo!$B$6/MonteCarlo!$B$5)+(MonteCarlo!$B$9+(B$1^2)/2)*$A7)/(B$1*SQRT($A7)),TRUE)-MonteCarlo!$B$5*EXP(-MonteCarlo!$B$9*$A7)*_xlfn.NORM.S.DIST(((LN(MonteCarlo!$B$6/MonteCarlo!$B$5)+(MonteCarlo!$B$9+(B$1^2)/2)*$A7)/(B$1*SQRT($A7)))-(B$1*SQRT($A7)),TRUE),MonteCarlo!$B$5*EXP(-MonteCarlo!$B$9*$A7)*_xlfn.NORM.S.DIST(-(((LN(MonteCarlo!$B$6/MonteCarlo!$B$5)+(MonteCarlo!$B$9+(B$1^2)/2)*$A7)/(B$1*SQRT($A7)))-(B$1*SQRT($A7))),TRUE)-MonteCarlo!$B$6*_xlfn.NORM.S.DIST(-((LN(MonteCarlo!$B$6/MonteCarlo!$B$5)+(MonteCarlo!$B$9+(B$1^2)/2)*$A7)/(B$1*SQRT($A7))),TRUE)),"")</f>
        <v/>
      </c>
      <c r="C7" t="str">
        <f>IFERROR(IF(OR(MonteCarlo!$B$4="C",MonteCarlo!$B$4="c"),MonteCarlo!$B$6*_xlfn.NORM.S.DIST((LN(MonteCarlo!$B$6/MonteCarlo!$B$5)+(MonteCarlo!$B$9+(C$1^2)/2)*$A7)/(C$1*SQRT($A7)),TRUE)-MonteCarlo!$B$5*EXP(-MonteCarlo!$B$9*$A7)*_xlfn.NORM.S.DIST(((LN(MonteCarlo!$B$6/MonteCarlo!$B$5)+(MonteCarlo!$B$9+(C$1^2)/2)*$A7)/(C$1*SQRT($A7)))-(C$1*SQRT($A7)),TRUE),MonteCarlo!$B$5*EXP(-MonteCarlo!$B$9*$A7)*_xlfn.NORM.S.DIST(-(((LN(MonteCarlo!$B$6/MonteCarlo!$B$5)+(MonteCarlo!$B$9+(C$1^2)/2)*$A7)/(C$1*SQRT($A7)))-(C$1*SQRT($A7))),TRUE)-MonteCarlo!$B$6*_xlfn.NORM.S.DIST(-((LN(MonteCarlo!$B$6/MonteCarlo!$B$5)+(MonteCarlo!$B$9+(C$1^2)/2)*$A7)/(C$1*SQRT($A7))),TRUE)),"")</f>
        <v/>
      </c>
      <c r="D7" t="str">
        <f>IFERROR(IF(OR(MonteCarlo!$B$4="C",MonteCarlo!$B$4="c"),MonteCarlo!$B$6*_xlfn.NORM.S.DIST((LN(MonteCarlo!$B$6/MonteCarlo!$B$5)+(MonteCarlo!$B$9+(D$1^2)/2)*$A7)/(D$1*SQRT($A7)),TRUE)-MonteCarlo!$B$5*EXP(-MonteCarlo!$B$9*$A7)*_xlfn.NORM.S.DIST(((LN(MonteCarlo!$B$6/MonteCarlo!$B$5)+(MonteCarlo!$B$9+(D$1^2)/2)*$A7)/(D$1*SQRT($A7)))-(D$1*SQRT($A7)),TRUE),MonteCarlo!$B$5*EXP(-MonteCarlo!$B$9*$A7)*_xlfn.NORM.S.DIST(-(((LN(MonteCarlo!$B$6/MonteCarlo!$B$5)+(MonteCarlo!$B$9+(D$1^2)/2)*$A7)/(D$1*SQRT($A7)))-(D$1*SQRT($A7))),TRUE)-MonteCarlo!$B$6*_xlfn.NORM.S.DIST(-((LN(MonteCarlo!$B$6/MonteCarlo!$B$5)+(MonteCarlo!$B$9+(D$1^2)/2)*$A7)/(D$1*SQRT($A7))),TRUE)),"")</f>
        <v/>
      </c>
      <c r="E7" t="str">
        <f>IFERROR(IF(OR(MonteCarlo!$B$4="C",MonteCarlo!$B$4="c"),MonteCarlo!$B$6*_xlfn.NORM.S.DIST((LN(MonteCarlo!$B$6/MonteCarlo!$B$5)+(MonteCarlo!$B$9+(E$1^2)/2)*$A7)/(E$1*SQRT($A7)),TRUE)-MonteCarlo!$B$5*EXP(-MonteCarlo!$B$9*$A7)*_xlfn.NORM.S.DIST(((LN(MonteCarlo!$B$6/MonteCarlo!$B$5)+(MonteCarlo!$B$9+(E$1^2)/2)*$A7)/(E$1*SQRT($A7)))-(E$1*SQRT($A7)),TRUE),MonteCarlo!$B$5*EXP(-MonteCarlo!$B$9*$A7)*_xlfn.NORM.S.DIST(-(((LN(MonteCarlo!$B$6/MonteCarlo!$B$5)+(MonteCarlo!$B$9+(E$1^2)/2)*$A7)/(E$1*SQRT($A7)))-(E$1*SQRT($A7))),TRUE)-MonteCarlo!$B$6*_xlfn.NORM.S.DIST(-((LN(MonteCarlo!$B$6/MonteCarlo!$B$5)+(MonteCarlo!$B$9+(E$1^2)/2)*$A7)/(E$1*SQRT($A7))),TRUE)),"")</f>
        <v/>
      </c>
      <c r="F7" t="str">
        <f>IFERROR(IF(OR(MonteCarlo!$B$4="C",MonteCarlo!$B$4="c"),MonteCarlo!$B$6*_xlfn.NORM.S.DIST((LN(MonteCarlo!$B$6/MonteCarlo!$B$5)+(MonteCarlo!$B$9+(F$1^2)/2)*$A7)/(F$1*SQRT($A7)),TRUE)-MonteCarlo!$B$5*EXP(-MonteCarlo!$B$9*$A7)*_xlfn.NORM.S.DIST(((LN(MonteCarlo!$B$6/MonteCarlo!$B$5)+(MonteCarlo!$B$9+(F$1^2)/2)*$A7)/(F$1*SQRT($A7)))-(F$1*SQRT($A7)),TRUE),MonteCarlo!$B$5*EXP(-MonteCarlo!$B$9*$A7)*_xlfn.NORM.S.DIST(-(((LN(MonteCarlo!$B$6/MonteCarlo!$B$5)+(MonteCarlo!$B$9+(F$1^2)/2)*$A7)/(F$1*SQRT($A7)))-(F$1*SQRT($A7))),TRUE)-MonteCarlo!$B$6*_xlfn.NORM.S.DIST(-((LN(MonteCarlo!$B$6/MonteCarlo!$B$5)+(MonteCarlo!$B$9+(F$1^2)/2)*$A7)/(F$1*SQRT($A7))),TRUE)),"")</f>
        <v/>
      </c>
      <c r="G7" t="str">
        <f>IFERROR(IF(OR(MonteCarlo!$B$4="C",MonteCarlo!$B$4="c"),MonteCarlo!$B$6*_xlfn.NORM.S.DIST((LN(MonteCarlo!$B$6/MonteCarlo!$B$5)+(MonteCarlo!$B$9+(G$1^2)/2)*$A7)/(G$1*SQRT($A7)),TRUE)-MonteCarlo!$B$5*EXP(-MonteCarlo!$B$9*$A7)*_xlfn.NORM.S.DIST(((LN(MonteCarlo!$B$6/MonteCarlo!$B$5)+(MonteCarlo!$B$9+(G$1^2)/2)*$A7)/(G$1*SQRT($A7)))-(G$1*SQRT($A7)),TRUE),MonteCarlo!$B$5*EXP(-MonteCarlo!$B$9*$A7)*_xlfn.NORM.S.DIST(-(((LN(MonteCarlo!$B$6/MonteCarlo!$B$5)+(MonteCarlo!$B$9+(G$1^2)/2)*$A7)/(G$1*SQRT($A7)))-(G$1*SQRT($A7))),TRUE)-MonteCarlo!$B$6*_xlfn.NORM.S.DIST(-((LN(MonteCarlo!$B$6/MonteCarlo!$B$5)+(MonteCarlo!$B$9+(G$1^2)/2)*$A7)/(G$1*SQRT($A7))),TRUE)),"")</f>
        <v/>
      </c>
      <c r="H7" t="str">
        <f>IFERROR(IF(OR(MonteCarlo!$B$4="C",MonteCarlo!$B$4="c"),MonteCarlo!$B$6*_xlfn.NORM.S.DIST((LN(MonteCarlo!$B$6/MonteCarlo!$B$5)+(MonteCarlo!$B$9+(H$1^2)/2)*$A7)/(H$1*SQRT($A7)),TRUE)-MonteCarlo!$B$5*EXP(-MonteCarlo!$B$9*$A7)*_xlfn.NORM.S.DIST(((LN(MonteCarlo!$B$6/MonteCarlo!$B$5)+(MonteCarlo!$B$9+(H$1^2)/2)*$A7)/(H$1*SQRT($A7)))-(H$1*SQRT($A7)),TRUE),MonteCarlo!$B$5*EXP(-MonteCarlo!$B$9*$A7)*_xlfn.NORM.S.DIST(-(((LN(MonteCarlo!$B$6/MonteCarlo!$B$5)+(MonteCarlo!$B$9+(H$1^2)/2)*$A7)/(H$1*SQRT($A7)))-(H$1*SQRT($A7))),TRUE)-MonteCarlo!$B$6*_xlfn.NORM.S.DIST(-((LN(MonteCarlo!$B$6/MonteCarlo!$B$5)+(MonteCarlo!$B$9+(H$1^2)/2)*$A7)/(H$1*SQRT($A7))),TRUE)),"")</f>
        <v/>
      </c>
      <c r="I7" t="str">
        <f>IFERROR(IF(OR(MonteCarlo!$B$4="C",MonteCarlo!$B$4="c"),MonteCarlo!$B$6*_xlfn.NORM.S.DIST((LN(MonteCarlo!$B$6/MonteCarlo!$B$5)+(MonteCarlo!$B$9+(I$1^2)/2)*$A7)/(I$1*SQRT($A7)),TRUE)-MonteCarlo!$B$5*EXP(-MonteCarlo!$B$9*$A7)*_xlfn.NORM.S.DIST(((LN(MonteCarlo!$B$6/MonteCarlo!$B$5)+(MonteCarlo!$B$9+(I$1^2)/2)*$A7)/(I$1*SQRT($A7)))-(I$1*SQRT($A7)),TRUE),MonteCarlo!$B$5*EXP(-MonteCarlo!$B$9*$A7)*_xlfn.NORM.S.DIST(-(((LN(MonteCarlo!$B$6/MonteCarlo!$B$5)+(MonteCarlo!$B$9+(I$1^2)/2)*$A7)/(I$1*SQRT($A7)))-(I$1*SQRT($A7))),TRUE)-MonteCarlo!$B$6*_xlfn.NORM.S.DIST(-((LN(MonteCarlo!$B$6/MonteCarlo!$B$5)+(MonteCarlo!$B$9+(I$1^2)/2)*$A7)/(I$1*SQRT($A7))),TRUE)),"")</f>
        <v/>
      </c>
      <c r="J7" t="str">
        <f>IFERROR(IF(OR(MonteCarlo!$B$4="C",MonteCarlo!$B$4="c"),MonteCarlo!$B$6*_xlfn.NORM.S.DIST((LN(MonteCarlo!$B$6/MonteCarlo!$B$5)+(MonteCarlo!$B$9+(J$1^2)/2)*$A7)/(J$1*SQRT($A7)),TRUE)-MonteCarlo!$B$5*EXP(-MonteCarlo!$B$9*$A7)*_xlfn.NORM.S.DIST(((LN(MonteCarlo!$B$6/MonteCarlo!$B$5)+(MonteCarlo!$B$9+(J$1^2)/2)*$A7)/(J$1*SQRT($A7)))-(J$1*SQRT($A7)),TRUE),MonteCarlo!$B$5*EXP(-MonteCarlo!$B$9*$A7)*_xlfn.NORM.S.DIST(-(((LN(MonteCarlo!$B$6/MonteCarlo!$B$5)+(MonteCarlo!$B$9+(J$1^2)/2)*$A7)/(J$1*SQRT($A7)))-(J$1*SQRT($A7))),TRUE)-MonteCarlo!$B$6*_xlfn.NORM.S.DIST(-((LN(MonteCarlo!$B$6/MonteCarlo!$B$5)+(MonteCarlo!$B$9+(J$1^2)/2)*$A7)/(J$1*SQRT($A7))),TRUE)),"")</f>
        <v/>
      </c>
      <c r="K7" t="str">
        <f>IFERROR(IF(OR(MonteCarlo!$B$4="C",MonteCarlo!$B$4="c"),MonteCarlo!$B$6*_xlfn.NORM.S.DIST((LN(MonteCarlo!$B$6/MonteCarlo!$B$5)+(MonteCarlo!$B$9+(K$1^2)/2)*$A7)/(K$1*SQRT($A7)),TRUE)-MonteCarlo!$B$5*EXP(-MonteCarlo!$B$9*$A7)*_xlfn.NORM.S.DIST(((LN(MonteCarlo!$B$6/MonteCarlo!$B$5)+(MonteCarlo!$B$9+(K$1^2)/2)*$A7)/(K$1*SQRT($A7)))-(K$1*SQRT($A7)),TRUE),MonteCarlo!$B$5*EXP(-MonteCarlo!$B$9*$A7)*_xlfn.NORM.S.DIST(-(((LN(MonteCarlo!$B$6/MonteCarlo!$B$5)+(MonteCarlo!$B$9+(K$1^2)/2)*$A7)/(K$1*SQRT($A7)))-(K$1*SQRT($A7))),TRUE)-MonteCarlo!$B$6*_xlfn.NORM.S.DIST(-((LN(MonteCarlo!$B$6/MonteCarlo!$B$5)+(MonteCarlo!$B$9+(K$1^2)/2)*$A7)/(K$1*SQRT($A7))),TRUE)),"")</f>
        <v/>
      </c>
      <c r="L7" t="str">
        <f>IFERROR(IF(OR(MonteCarlo!$B$4="C",MonteCarlo!$B$4="c"),MonteCarlo!$B$6*_xlfn.NORM.S.DIST((LN(MonteCarlo!$B$6/MonteCarlo!$B$5)+(MonteCarlo!$B$9+(L$1^2)/2)*$A7)/(L$1*SQRT($A7)),TRUE)-MonteCarlo!$B$5*EXP(-MonteCarlo!$B$9*$A7)*_xlfn.NORM.S.DIST(((LN(MonteCarlo!$B$6/MonteCarlo!$B$5)+(MonteCarlo!$B$9+(L$1^2)/2)*$A7)/(L$1*SQRT($A7)))-(L$1*SQRT($A7)),TRUE),MonteCarlo!$B$5*EXP(-MonteCarlo!$B$9*$A7)*_xlfn.NORM.S.DIST(-(((LN(MonteCarlo!$B$6/MonteCarlo!$B$5)+(MonteCarlo!$B$9+(L$1^2)/2)*$A7)/(L$1*SQRT($A7)))-(L$1*SQRT($A7))),TRUE)-MonteCarlo!$B$6*_xlfn.NORM.S.DIST(-((LN(MonteCarlo!$B$6/MonteCarlo!$B$5)+(MonteCarlo!$B$9+(L$1^2)/2)*$A7)/(L$1*SQRT($A7))),TRUE)),"")</f>
        <v/>
      </c>
      <c r="M7" t="str">
        <f>IFERROR(IF(OR(MonteCarlo!$B$4="C",MonteCarlo!$B$4="c"),MonteCarlo!$B$6*_xlfn.NORM.S.DIST((LN(MonteCarlo!$B$6/MonteCarlo!$B$5)+(MonteCarlo!$B$9+(M$1^2)/2)*$A7)/(M$1*SQRT($A7)),TRUE)-MonteCarlo!$B$5*EXP(-MonteCarlo!$B$9*$A7)*_xlfn.NORM.S.DIST(((LN(MonteCarlo!$B$6/MonteCarlo!$B$5)+(MonteCarlo!$B$9+(M$1^2)/2)*$A7)/(M$1*SQRT($A7)))-(M$1*SQRT($A7)),TRUE),MonteCarlo!$B$5*EXP(-MonteCarlo!$B$9*$A7)*_xlfn.NORM.S.DIST(-(((LN(MonteCarlo!$B$6/MonteCarlo!$B$5)+(MonteCarlo!$B$9+(M$1^2)/2)*$A7)/(M$1*SQRT($A7)))-(M$1*SQRT($A7))),TRUE)-MonteCarlo!$B$6*_xlfn.NORM.S.DIST(-((LN(MonteCarlo!$B$6/MonteCarlo!$B$5)+(MonteCarlo!$B$9+(M$1^2)/2)*$A7)/(M$1*SQRT($A7))),TRUE)),"")</f>
        <v/>
      </c>
      <c r="N7" t="str">
        <f>IFERROR(IF(OR(MonteCarlo!$B$4="C",MonteCarlo!$B$4="c"),MonteCarlo!$B$6*_xlfn.NORM.S.DIST((LN(MonteCarlo!$B$6/MonteCarlo!$B$5)+(MonteCarlo!$B$9+(N$1^2)/2)*$A7)/(N$1*SQRT($A7)),TRUE)-MonteCarlo!$B$5*EXP(-MonteCarlo!$B$9*$A7)*_xlfn.NORM.S.DIST(((LN(MonteCarlo!$B$6/MonteCarlo!$B$5)+(MonteCarlo!$B$9+(N$1^2)/2)*$A7)/(N$1*SQRT($A7)))-(N$1*SQRT($A7)),TRUE),MonteCarlo!$B$5*EXP(-MonteCarlo!$B$9*$A7)*_xlfn.NORM.S.DIST(-(((LN(MonteCarlo!$B$6/MonteCarlo!$B$5)+(MonteCarlo!$B$9+(N$1^2)/2)*$A7)/(N$1*SQRT($A7)))-(N$1*SQRT($A7))),TRUE)-MonteCarlo!$B$6*_xlfn.NORM.S.DIST(-((LN(MonteCarlo!$B$6/MonteCarlo!$B$5)+(MonteCarlo!$B$9+(N$1^2)/2)*$A7)/(N$1*SQRT($A7))),TRUE)),"")</f>
        <v/>
      </c>
      <c r="O7" t="str">
        <f>IFERROR(IF(OR(MonteCarlo!$B$4="C",MonteCarlo!$B$4="c"),MonteCarlo!$B$6*_xlfn.NORM.S.DIST((LN(MonteCarlo!$B$6/MonteCarlo!$B$5)+(MonteCarlo!$B$9+(O$1^2)/2)*$A7)/(O$1*SQRT($A7)),TRUE)-MonteCarlo!$B$5*EXP(-MonteCarlo!$B$9*$A7)*_xlfn.NORM.S.DIST(((LN(MonteCarlo!$B$6/MonteCarlo!$B$5)+(MonteCarlo!$B$9+(O$1^2)/2)*$A7)/(O$1*SQRT($A7)))-(O$1*SQRT($A7)),TRUE),MonteCarlo!$B$5*EXP(-MonteCarlo!$B$9*$A7)*_xlfn.NORM.S.DIST(-(((LN(MonteCarlo!$B$6/MonteCarlo!$B$5)+(MonteCarlo!$B$9+(O$1^2)/2)*$A7)/(O$1*SQRT($A7)))-(O$1*SQRT($A7))),TRUE)-MonteCarlo!$B$6*_xlfn.NORM.S.DIST(-((LN(MonteCarlo!$B$6/MonteCarlo!$B$5)+(MonteCarlo!$B$9+(O$1^2)/2)*$A7)/(O$1*SQRT($A7))),TRUE)),"")</f>
        <v/>
      </c>
      <c r="P7" t="str">
        <f>IFERROR(IF(OR(MonteCarlo!$B$4="C",MonteCarlo!$B$4="c"),MonteCarlo!$B$6*_xlfn.NORM.S.DIST((LN(MonteCarlo!$B$6/MonteCarlo!$B$5)+(MonteCarlo!$B$9+(P$1^2)/2)*$A7)/(P$1*SQRT($A7)),TRUE)-MonteCarlo!$B$5*EXP(-MonteCarlo!$B$9*$A7)*_xlfn.NORM.S.DIST(((LN(MonteCarlo!$B$6/MonteCarlo!$B$5)+(MonteCarlo!$B$9+(P$1^2)/2)*$A7)/(P$1*SQRT($A7)))-(P$1*SQRT($A7)),TRUE),MonteCarlo!$B$5*EXP(-MonteCarlo!$B$9*$A7)*_xlfn.NORM.S.DIST(-(((LN(MonteCarlo!$B$6/MonteCarlo!$B$5)+(MonteCarlo!$B$9+(P$1^2)/2)*$A7)/(P$1*SQRT($A7)))-(P$1*SQRT($A7))),TRUE)-MonteCarlo!$B$6*_xlfn.NORM.S.DIST(-((LN(MonteCarlo!$B$6/MonteCarlo!$B$5)+(MonteCarlo!$B$9+(P$1^2)/2)*$A7)/(P$1*SQRT($A7))),TRUE)),"")</f>
        <v/>
      </c>
      <c r="Q7" t="str">
        <f>IFERROR(IF(OR(MonteCarlo!$B$4="C",MonteCarlo!$B$4="c"),MonteCarlo!$B$6*_xlfn.NORM.S.DIST((LN(MonteCarlo!$B$6/MonteCarlo!$B$5)+(MonteCarlo!$B$9+(Q$1^2)/2)*$A7)/(Q$1*SQRT($A7)),TRUE)-MonteCarlo!$B$5*EXP(-MonteCarlo!$B$9*$A7)*_xlfn.NORM.S.DIST(((LN(MonteCarlo!$B$6/MonteCarlo!$B$5)+(MonteCarlo!$B$9+(Q$1^2)/2)*$A7)/(Q$1*SQRT($A7)))-(Q$1*SQRT($A7)),TRUE),MonteCarlo!$B$5*EXP(-MonteCarlo!$B$9*$A7)*_xlfn.NORM.S.DIST(-(((LN(MonteCarlo!$B$6/MonteCarlo!$B$5)+(MonteCarlo!$B$9+(Q$1^2)/2)*$A7)/(Q$1*SQRT($A7)))-(Q$1*SQRT($A7))),TRUE)-MonteCarlo!$B$6*_xlfn.NORM.S.DIST(-((LN(MonteCarlo!$B$6/MonteCarlo!$B$5)+(MonteCarlo!$B$9+(Q$1^2)/2)*$A7)/(Q$1*SQRT($A7))),TRUE)),"")</f>
        <v/>
      </c>
      <c r="R7" t="str">
        <f>IFERROR(IF(OR(MonteCarlo!$B$4="C",MonteCarlo!$B$4="c"),MonteCarlo!$B$6*_xlfn.NORM.S.DIST((LN(MonteCarlo!$B$6/MonteCarlo!$B$5)+(MonteCarlo!$B$9+(R$1^2)/2)*$A7)/(R$1*SQRT($A7)),TRUE)-MonteCarlo!$B$5*EXP(-MonteCarlo!$B$9*$A7)*_xlfn.NORM.S.DIST(((LN(MonteCarlo!$B$6/MonteCarlo!$B$5)+(MonteCarlo!$B$9+(R$1^2)/2)*$A7)/(R$1*SQRT($A7)))-(R$1*SQRT($A7)),TRUE),MonteCarlo!$B$5*EXP(-MonteCarlo!$B$9*$A7)*_xlfn.NORM.S.DIST(-(((LN(MonteCarlo!$B$6/MonteCarlo!$B$5)+(MonteCarlo!$B$9+(R$1^2)/2)*$A7)/(R$1*SQRT($A7)))-(R$1*SQRT($A7))),TRUE)-MonteCarlo!$B$6*_xlfn.NORM.S.DIST(-((LN(MonteCarlo!$B$6/MonteCarlo!$B$5)+(MonteCarlo!$B$9+(R$1^2)/2)*$A7)/(R$1*SQRT($A7))),TRUE)),"")</f>
        <v/>
      </c>
      <c r="S7" t="str">
        <f>IFERROR(IF(OR(MonteCarlo!$B$4="C",MonteCarlo!$B$4="c"),MonteCarlo!$B$6*_xlfn.NORM.S.DIST((LN(MonteCarlo!$B$6/MonteCarlo!$B$5)+(MonteCarlo!$B$9+(S$1^2)/2)*$A7)/(S$1*SQRT($A7)),TRUE)-MonteCarlo!$B$5*EXP(-MonteCarlo!$B$9*$A7)*_xlfn.NORM.S.DIST(((LN(MonteCarlo!$B$6/MonteCarlo!$B$5)+(MonteCarlo!$B$9+(S$1^2)/2)*$A7)/(S$1*SQRT($A7)))-(S$1*SQRT($A7)),TRUE),MonteCarlo!$B$5*EXP(-MonteCarlo!$B$9*$A7)*_xlfn.NORM.S.DIST(-(((LN(MonteCarlo!$B$6/MonteCarlo!$B$5)+(MonteCarlo!$B$9+(S$1^2)/2)*$A7)/(S$1*SQRT($A7)))-(S$1*SQRT($A7))),TRUE)-MonteCarlo!$B$6*_xlfn.NORM.S.DIST(-((LN(MonteCarlo!$B$6/MonteCarlo!$B$5)+(MonteCarlo!$B$9+(S$1^2)/2)*$A7)/(S$1*SQRT($A7))),TRUE)),"")</f>
        <v/>
      </c>
      <c r="T7" t="str">
        <f>IFERROR(IF(OR(MonteCarlo!$B$4="C",MonteCarlo!$B$4="c"),MonteCarlo!$B$6*_xlfn.NORM.S.DIST((LN(MonteCarlo!$B$6/MonteCarlo!$B$5)+(MonteCarlo!$B$9+(T$1^2)/2)*$A7)/(T$1*SQRT($A7)),TRUE)-MonteCarlo!$B$5*EXP(-MonteCarlo!$B$9*$A7)*_xlfn.NORM.S.DIST(((LN(MonteCarlo!$B$6/MonteCarlo!$B$5)+(MonteCarlo!$B$9+(T$1^2)/2)*$A7)/(T$1*SQRT($A7)))-(T$1*SQRT($A7)),TRUE),MonteCarlo!$B$5*EXP(-MonteCarlo!$B$9*$A7)*_xlfn.NORM.S.DIST(-(((LN(MonteCarlo!$B$6/MonteCarlo!$B$5)+(MonteCarlo!$B$9+(T$1^2)/2)*$A7)/(T$1*SQRT($A7)))-(T$1*SQRT($A7))),TRUE)-MonteCarlo!$B$6*_xlfn.NORM.S.DIST(-((LN(MonteCarlo!$B$6/MonteCarlo!$B$5)+(MonteCarlo!$B$9+(T$1^2)/2)*$A7)/(T$1*SQRT($A7))),TRUE)),"")</f>
        <v/>
      </c>
      <c r="U7" t="str">
        <f>IFERROR(IF(OR(MonteCarlo!$B$4="C",MonteCarlo!$B$4="c"),MonteCarlo!$B$6*_xlfn.NORM.S.DIST((LN(MonteCarlo!$B$6/MonteCarlo!$B$5)+(MonteCarlo!$B$9+(U$1^2)/2)*$A7)/(U$1*SQRT($A7)),TRUE)-MonteCarlo!$B$5*EXP(-MonteCarlo!$B$9*$A7)*_xlfn.NORM.S.DIST(((LN(MonteCarlo!$B$6/MonteCarlo!$B$5)+(MonteCarlo!$B$9+(U$1^2)/2)*$A7)/(U$1*SQRT($A7)))-(U$1*SQRT($A7)),TRUE),MonteCarlo!$B$5*EXP(-MonteCarlo!$B$9*$A7)*_xlfn.NORM.S.DIST(-(((LN(MonteCarlo!$B$6/MonteCarlo!$B$5)+(MonteCarlo!$B$9+(U$1^2)/2)*$A7)/(U$1*SQRT($A7)))-(U$1*SQRT($A7))),TRUE)-MonteCarlo!$B$6*_xlfn.NORM.S.DIST(-((LN(MonteCarlo!$B$6/MonteCarlo!$B$5)+(MonteCarlo!$B$9+(U$1^2)/2)*$A7)/(U$1*SQRT($A7))),TRUE)),"")</f>
        <v/>
      </c>
      <c r="V7" t="str">
        <f>IFERROR(IF(OR(MonteCarlo!$B$4="C",MonteCarlo!$B$4="c"),MonteCarlo!$B$6*_xlfn.NORM.S.DIST((LN(MonteCarlo!$B$6/MonteCarlo!$B$5)+(MonteCarlo!$B$9+(V$1^2)/2)*$A7)/(V$1*SQRT($A7)),TRUE)-MonteCarlo!$B$5*EXP(-MonteCarlo!$B$9*$A7)*_xlfn.NORM.S.DIST(((LN(MonteCarlo!$B$6/MonteCarlo!$B$5)+(MonteCarlo!$B$9+(V$1^2)/2)*$A7)/(V$1*SQRT($A7)))-(V$1*SQRT($A7)),TRUE),MonteCarlo!$B$5*EXP(-MonteCarlo!$B$9*$A7)*_xlfn.NORM.S.DIST(-(((LN(MonteCarlo!$B$6/MonteCarlo!$B$5)+(MonteCarlo!$B$9+(V$1^2)/2)*$A7)/(V$1*SQRT($A7)))-(V$1*SQRT($A7))),TRUE)-MonteCarlo!$B$6*_xlfn.NORM.S.DIST(-((LN(MonteCarlo!$B$6/MonteCarlo!$B$5)+(MonteCarlo!$B$9+(V$1^2)/2)*$A7)/(V$1*SQRT($A7))),TRUE)),"")</f>
        <v/>
      </c>
      <c r="W7" t="str">
        <f>IFERROR(IF(OR(MonteCarlo!$B$4="C",MonteCarlo!$B$4="c"),MonteCarlo!$B$6*_xlfn.NORM.S.DIST((LN(MonteCarlo!$B$6/MonteCarlo!$B$5)+(MonteCarlo!$B$9+(W$1^2)/2)*$A7)/(W$1*SQRT($A7)),TRUE)-MonteCarlo!$B$5*EXP(-MonteCarlo!$B$9*$A7)*_xlfn.NORM.S.DIST(((LN(MonteCarlo!$B$6/MonteCarlo!$B$5)+(MonteCarlo!$B$9+(W$1^2)/2)*$A7)/(W$1*SQRT($A7)))-(W$1*SQRT($A7)),TRUE),MonteCarlo!$B$5*EXP(-MonteCarlo!$B$9*$A7)*_xlfn.NORM.S.DIST(-(((LN(MonteCarlo!$B$6/MonteCarlo!$B$5)+(MonteCarlo!$B$9+(W$1^2)/2)*$A7)/(W$1*SQRT($A7)))-(W$1*SQRT($A7))),TRUE)-MonteCarlo!$B$6*_xlfn.NORM.S.DIST(-((LN(MonteCarlo!$B$6/MonteCarlo!$B$5)+(MonteCarlo!$B$9+(W$1^2)/2)*$A7)/(W$1*SQRT($A7))),TRUE)),"")</f>
        <v/>
      </c>
      <c r="X7" t="str">
        <f>IFERROR(IF(OR(MonteCarlo!$B$4="C",MonteCarlo!$B$4="c"),MonteCarlo!$B$6*_xlfn.NORM.S.DIST((LN(MonteCarlo!$B$6/MonteCarlo!$B$5)+(MonteCarlo!$B$9+(X$1^2)/2)*$A7)/(X$1*SQRT($A7)),TRUE)-MonteCarlo!$B$5*EXP(-MonteCarlo!$B$9*$A7)*_xlfn.NORM.S.DIST(((LN(MonteCarlo!$B$6/MonteCarlo!$B$5)+(MonteCarlo!$B$9+(X$1^2)/2)*$A7)/(X$1*SQRT($A7)))-(X$1*SQRT($A7)),TRUE),MonteCarlo!$B$5*EXP(-MonteCarlo!$B$9*$A7)*_xlfn.NORM.S.DIST(-(((LN(MonteCarlo!$B$6/MonteCarlo!$B$5)+(MonteCarlo!$B$9+(X$1^2)/2)*$A7)/(X$1*SQRT($A7)))-(X$1*SQRT($A7))),TRUE)-MonteCarlo!$B$6*_xlfn.NORM.S.DIST(-((LN(MonteCarlo!$B$6/MonteCarlo!$B$5)+(MonteCarlo!$B$9+(X$1^2)/2)*$A7)/(X$1*SQRT($A7))),TRUE)),"")</f>
        <v/>
      </c>
      <c r="Y7" t="str">
        <f>IFERROR(IF(OR(MonteCarlo!$B$4="C",MonteCarlo!$B$4="c"),MonteCarlo!$B$6*_xlfn.NORM.S.DIST((LN(MonteCarlo!$B$6/MonteCarlo!$B$5)+(MonteCarlo!$B$9+(Y$1^2)/2)*$A7)/(Y$1*SQRT($A7)),TRUE)-MonteCarlo!$B$5*EXP(-MonteCarlo!$B$9*$A7)*_xlfn.NORM.S.DIST(((LN(MonteCarlo!$B$6/MonteCarlo!$B$5)+(MonteCarlo!$B$9+(Y$1^2)/2)*$A7)/(Y$1*SQRT($A7)))-(Y$1*SQRT($A7)),TRUE),MonteCarlo!$B$5*EXP(-MonteCarlo!$B$9*$A7)*_xlfn.NORM.S.DIST(-(((LN(MonteCarlo!$B$6/MonteCarlo!$B$5)+(MonteCarlo!$B$9+(Y$1^2)/2)*$A7)/(Y$1*SQRT($A7)))-(Y$1*SQRT($A7))),TRUE)-MonteCarlo!$B$6*_xlfn.NORM.S.DIST(-((LN(MonteCarlo!$B$6/MonteCarlo!$B$5)+(MonteCarlo!$B$9+(Y$1^2)/2)*$A7)/(Y$1*SQRT($A7))),TRUE)),"")</f>
        <v/>
      </c>
      <c r="Z7" t="str">
        <f>IFERROR(IF(OR(MonteCarlo!$B$4="C",MonteCarlo!$B$4="c"),MonteCarlo!$B$6*_xlfn.NORM.S.DIST((LN(MonteCarlo!$B$6/MonteCarlo!$B$5)+(MonteCarlo!$B$9+(Z$1^2)/2)*$A7)/(Z$1*SQRT($A7)),TRUE)-MonteCarlo!$B$5*EXP(-MonteCarlo!$B$9*$A7)*_xlfn.NORM.S.DIST(((LN(MonteCarlo!$B$6/MonteCarlo!$B$5)+(MonteCarlo!$B$9+(Z$1^2)/2)*$A7)/(Z$1*SQRT($A7)))-(Z$1*SQRT($A7)),TRUE),MonteCarlo!$B$5*EXP(-MonteCarlo!$B$9*$A7)*_xlfn.NORM.S.DIST(-(((LN(MonteCarlo!$B$6/MonteCarlo!$B$5)+(MonteCarlo!$B$9+(Z$1^2)/2)*$A7)/(Z$1*SQRT($A7)))-(Z$1*SQRT($A7))),TRUE)-MonteCarlo!$B$6*_xlfn.NORM.S.DIST(-((LN(MonteCarlo!$B$6/MonteCarlo!$B$5)+(MonteCarlo!$B$9+(Z$1^2)/2)*$A7)/(Z$1*SQRT($A7))),TRUE)),"")</f>
        <v/>
      </c>
      <c r="AA7" t="str">
        <f>IFERROR(IF(OR(MonteCarlo!$B$4="C",MonteCarlo!$B$4="c"),MonteCarlo!$B$6*_xlfn.NORM.S.DIST((LN(MonteCarlo!$B$6/MonteCarlo!$B$5)+(MonteCarlo!$B$9+(AA$1^2)/2)*$A7)/(AA$1*SQRT($A7)),TRUE)-MonteCarlo!$B$5*EXP(-MonteCarlo!$B$9*$A7)*_xlfn.NORM.S.DIST(((LN(MonteCarlo!$B$6/MonteCarlo!$B$5)+(MonteCarlo!$B$9+(AA$1^2)/2)*$A7)/(AA$1*SQRT($A7)))-(AA$1*SQRT($A7)),TRUE),MonteCarlo!$B$5*EXP(-MonteCarlo!$B$9*$A7)*_xlfn.NORM.S.DIST(-(((LN(MonteCarlo!$B$6/MonteCarlo!$B$5)+(MonteCarlo!$B$9+(AA$1^2)/2)*$A7)/(AA$1*SQRT($A7)))-(AA$1*SQRT($A7))),TRUE)-MonteCarlo!$B$6*_xlfn.NORM.S.DIST(-((LN(MonteCarlo!$B$6/MonteCarlo!$B$5)+(MonteCarlo!$B$9+(AA$1^2)/2)*$A7)/(AA$1*SQRT($A7))),TRUE)),"")</f>
        <v/>
      </c>
      <c r="AB7" t="str">
        <f>IFERROR(IF(OR(MonteCarlo!$B$4="C",MonteCarlo!$B$4="c"),MonteCarlo!$B$6*_xlfn.NORM.S.DIST((LN(MonteCarlo!$B$6/MonteCarlo!$B$5)+(MonteCarlo!$B$9+(AB$1^2)/2)*$A7)/(AB$1*SQRT($A7)),TRUE)-MonteCarlo!$B$5*EXP(-MonteCarlo!$B$9*$A7)*_xlfn.NORM.S.DIST(((LN(MonteCarlo!$B$6/MonteCarlo!$B$5)+(MonteCarlo!$B$9+(AB$1^2)/2)*$A7)/(AB$1*SQRT($A7)))-(AB$1*SQRT($A7)),TRUE),MonteCarlo!$B$5*EXP(-MonteCarlo!$B$9*$A7)*_xlfn.NORM.S.DIST(-(((LN(MonteCarlo!$B$6/MonteCarlo!$B$5)+(MonteCarlo!$B$9+(AB$1^2)/2)*$A7)/(AB$1*SQRT($A7)))-(AB$1*SQRT($A7))),TRUE)-MonteCarlo!$B$6*_xlfn.NORM.S.DIST(-((LN(MonteCarlo!$B$6/MonteCarlo!$B$5)+(MonteCarlo!$B$9+(AB$1^2)/2)*$A7)/(AB$1*SQRT($A7))),TRUE)),"")</f>
        <v/>
      </c>
      <c r="AC7" t="str">
        <f>IFERROR(IF(OR(MonteCarlo!$B$4="C",MonteCarlo!$B$4="c"),MonteCarlo!$B$6*_xlfn.NORM.S.DIST((LN(MonteCarlo!$B$6/MonteCarlo!$B$5)+(MonteCarlo!$B$9+(AC$1^2)/2)*$A7)/(AC$1*SQRT($A7)),TRUE)-MonteCarlo!$B$5*EXP(-MonteCarlo!$B$9*$A7)*_xlfn.NORM.S.DIST(((LN(MonteCarlo!$B$6/MonteCarlo!$B$5)+(MonteCarlo!$B$9+(AC$1^2)/2)*$A7)/(AC$1*SQRT($A7)))-(AC$1*SQRT($A7)),TRUE),MonteCarlo!$B$5*EXP(-MonteCarlo!$B$9*$A7)*_xlfn.NORM.S.DIST(-(((LN(MonteCarlo!$B$6/MonteCarlo!$B$5)+(MonteCarlo!$B$9+(AC$1^2)/2)*$A7)/(AC$1*SQRT($A7)))-(AC$1*SQRT($A7))),TRUE)-MonteCarlo!$B$6*_xlfn.NORM.S.DIST(-((LN(MonteCarlo!$B$6/MonteCarlo!$B$5)+(MonteCarlo!$B$9+(AC$1^2)/2)*$A7)/(AC$1*SQRT($A7))),TRUE)),"")</f>
        <v/>
      </c>
      <c r="AD7" t="str">
        <f>IFERROR(IF(OR(MonteCarlo!$B$4="C",MonteCarlo!$B$4="c"),MonteCarlo!$B$6*_xlfn.NORM.S.DIST((LN(MonteCarlo!$B$6/MonteCarlo!$B$5)+(MonteCarlo!$B$9+(AD$1^2)/2)*$A7)/(AD$1*SQRT($A7)),TRUE)-MonteCarlo!$B$5*EXP(-MonteCarlo!$B$9*$A7)*_xlfn.NORM.S.DIST(((LN(MonteCarlo!$B$6/MonteCarlo!$B$5)+(MonteCarlo!$B$9+(AD$1^2)/2)*$A7)/(AD$1*SQRT($A7)))-(AD$1*SQRT($A7)),TRUE),MonteCarlo!$B$5*EXP(-MonteCarlo!$B$9*$A7)*_xlfn.NORM.S.DIST(-(((LN(MonteCarlo!$B$6/MonteCarlo!$B$5)+(MonteCarlo!$B$9+(AD$1^2)/2)*$A7)/(AD$1*SQRT($A7)))-(AD$1*SQRT($A7))),TRUE)-MonteCarlo!$B$6*_xlfn.NORM.S.DIST(-((LN(MonteCarlo!$B$6/MonteCarlo!$B$5)+(MonteCarlo!$B$9+(AD$1^2)/2)*$A7)/(AD$1*SQRT($A7))),TRUE)),"")</f>
        <v/>
      </c>
      <c r="AE7" t="str">
        <f>IFERROR(IF(OR(MonteCarlo!$B$4="C",MonteCarlo!$B$4="c"),MonteCarlo!$B$6*_xlfn.NORM.S.DIST((LN(MonteCarlo!$B$6/MonteCarlo!$B$5)+(MonteCarlo!$B$9+(AE$1^2)/2)*$A7)/(AE$1*SQRT($A7)),TRUE)-MonteCarlo!$B$5*EXP(-MonteCarlo!$B$9*$A7)*_xlfn.NORM.S.DIST(((LN(MonteCarlo!$B$6/MonteCarlo!$B$5)+(MonteCarlo!$B$9+(AE$1^2)/2)*$A7)/(AE$1*SQRT($A7)))-(AE$1*SQRT($A7)),TRUE),MonteCarlo!$B$5*EXP(-MonteCarlo!$B$9*$A7)*_xlfn.NORM.S.DIST(-(((LN(MonteCarlo!$B$6/MonteCarlo!$B$5)+(MonteCarlo!$B$9+(AE$1^2)/2)*$A7)/(AE$1*SQRT($A7)))-(AE$1*SQRT($A7))),TRUE)-MonteCarlo!$B$6*_xlfn.NORM.S.DIST(-((LN(MonteCarlo!$B$6/MonteCarlo!$B$5)+(MonteCarlo!$B$9+(AE$1^2)/2)*$A7)/(AE$1*SQRT($A7))),TRUE)),"")</f>
        <v/>
      </c>
      <c r="AF7" t="str">
        <f>IFERROR(IF(OR(MonteCarlo!$B$4="C",MonteCarlo!$B$4="c"),MonteCarlo!$B$6*_xlfn.NORM.S.DIST((LN(MonteCarlo!$B$6/MonteCarlo!$B$5)+(MonteCarlo!$B$9+(AF$1^2)/2)*$A7)/(AF$1*SQRT($A7)),TRUE)-MonteCarlo!$B$5*EXP(-MonteCarlo!$B$9*$A7)*_xlfn.NORM.S.DIST(((LN(MonteCarlo!$B$6/MonteCarlo!$B$5)+(MonteCarlo!$B$9+(AF$1^2)/2)*$A7)/(AF$1*SQRT($A7)))-(AF$1*SQRT($A7)),TRUE),MonteCarlo!$B$5*EXP(-MonteCarlo!$B$9*$A7)*_xlfn.NORM.S.DIST(-(((LN(MonteCarlo!$B$6/MonteCarlo!$B$5)+(MonteCarlo!$B$9+(AF$1^2)/2)*$A7)/(AF$1*SQRT($A7)))-(AF$1*SQRT($A7))),TRUE)-MonteCarlo!$B$6*_xlfn.NORM.S.DIST(-((LN(MonteCarlo!$B$6/MonteCarlo!$B$5)+(MonteCarlo!$B$9+(AF$1^2)/2)*$A7)/(AF$1*SQRT($A7))),TRUE)),"")</f>
        <v/>
      </c>
    </row>
    <row r="8" spans="2:32" x14ac:dyDescent="0.25">
      <c r="B8" t="str">
        <f>IFERROR(IF(OR(MonteCarlo!$B$4="C",MonteCarlo!$B$4="c"),MonteCarlo!$B$6*_xlfn.NORM.S.DIST((LN(MonteCarlo!$B$6/MonteCarlo!$B$5)+(MonteCarlo!$B$9+(B$1^2)/2)*$A8)/(B$1*SQRT($A8)),TRUE)-MonteCarlo!$B$5*EXP(-MonteCarlo!$B$9*$A8)*_xlfn.NORM.S.DIST(((LN(MonteCarlo!$B$6/MonteCarlo!$B$5)+(MonteCarlo!$B$9+(B$1^2)/2)*$A8)/(B$1*SQRT($A8)))-(B$1*SQRT($A8)),TRUE),MonteCarlo!$B$5*EXP(-MonteCarlo!$B$9*$A8)*_xlfn.NORM.S.DIST(-(((LN(MonteCarlo!$B$6/MonteCarlo!$B$5)+(MonteCarlo!$B$9+(B$1^2)/2)*$A8)/(B$1*SQRT($A8)))-(B$1*SQRT($A8))),TRUE)-MonteCarlo!$B$6*_xlfn.NORM.S.DIST(-((LN(MonteCarlo!$B$6/MonteCarlo!$B$5)+(MonteCarlo!$B$9+(B$1^2)/2)*$A8)/(B$1*SQRT($A8))),TRUE)),"")</f>
        <v/>
      </c>
      <c r="C8" t="str">
        <f>IFERROR(IF(OR(MonteCarlo!$B$4="C",MonteCarlo!$B$4="c"),MonteCarlo!$B$6*_xlfn.NORM.S.DIST((LN(MonteCarlo!$B$6/MonteCarlo!$B$5)+(MonteCarlo!$B$9+(C$1^2)/2)*$A8)/(C$1*SQRT($A8)),TRUE)-MonteCarlo!$B$5*EXP(-MonteCarlo!$B$9*$A8)*_xlfn.NORM.S.DIST(((LN(MonteCarlo!$B$6/MonteCarlo!$B$5)+(MonteCarlo!$B$9+(C$1^2)/2)*$A8)/(C$1*SQRT($A8)))-(C$1*SQRT($A8)),TRUE),MonteCarlo!$B$5*EXP(-MonteCarlo!$B$9*$A8)*_xlfn.NORM.S.DIST(-(((LN(MonteCarlo!$B$6/MonteCarlo!$B$5)+(MonteCarlo!$B$9+(C$1^2)/2)*$A8)/(C$1*SQRT($A8)))-(C$1*SQRT($A8))),TRUE)-MonteCarlo!$B$6*_xlfn.NORM.S.DIST(-((LN(MonteCarlo!$B$6/MonteCarlo!$B$5)+(MonteCarlo!$B$9+(C$1^2)/2)*$A8)/(C$1*SQRT($A8))),TRUE)),"")</f>
        <v/>
      </c>
      <c r="D8" t="str">
        <f>IFERROR(IF(OR(MonteCarlo!$B$4="C",MonteCarlo!$B$4="c"),MonteCarlo!$B$6*_xlfn.NORM.S.DIST((LN(MonteCarlo!$B$6/MonteCarlo!$B$5)+(MonteCarlo!$B$9+(D$1^2)/2)*$A8)/(D$1*SQRT($A8)),TRUE)-MonteCarlo!$B$5*EXP(-MonteCarlo!$B$9*$A8)*_xlfn.NORM.S.DIST(((LN(MonteCarlo!$B$6/MonteCarlo!$B$5)+(MonteCarlo!$B$9+(D$1^2)/2)*$A8)/(D$1*SQRT($A8)))-(D$1*SQRT($A8)),TRUE),MonteCarlo!$B$5*EXP(-MonteCarlo!$B$9*$A8)*_xlfn.NORM.S.DIST(-(((LN(MonteCarlo!$B$6/MonteCarlo!$B$5)+(MonteCarlo!$B$9+(D$1^2)/2)*$A8)/(D$1*SQRT($A8)))-(D$1*SQRT($A8))),TRUE)-MonteCarlo!$B$6*_xlfn.NORM.S.DIST(-((LN(MonteCarlo!$B$6/MonteCarlo!$B$5)+(MonteCarlo!$B$9+(D$1^2)/2)*$A8)/(D$1*SQRT($A8))),TRUE)),"")</f>
        <v/>
      </c>
      <c r="E8" t="str">
        <f>IFERROR(IF(OR(MonteCarlo!$B$4="C",MonteCarlo!$B$4="c"),MonteCarlo!$B$6*_xlfn.NORM.S.DIST((LN(MonteCarlo!$B$6/MonteCarlo!$B$5)+(MonteCarlo!$B$9+(E$1^2)/2)*$A8)/(E$1*SQRT($A8)),TRUE)-MonteCarlo!$B$5*EXP(-MonteCarlo!$B$9*$A8)*_xlfn.NORM.S.DIST(((LN(MonteCarlo!$B$6/MonteCarlo!$B$5)+(MonteCarlo!$B$9+(E$1^2)/2)*$A8)/(E$1*SQRT($A8)))-(E$1*SQRT($A8)),TRUE),MonteCarlo!$B$5*EXP(-MonteCarlo!$B$9*$A8)*_xlfn.NORM.S.DIST(-(((LN(MonteCarlo!$B$6/MonteCarlo!$B$5)+(MonteCarlo!$B$9+(E$1^2)/2)*$A8)/(E$1*SQRT($A8)))-(E$1*SQRT($A8))),TRUE)-MonteCarlo!$B$6*_xlfn.NORM.S.DIST(-((LN(MonteCarlo!$B$6/MonteCarlo!$B$5)+(MonteCarlo!$B$9+(E$1^2)/2)*$A8)/(E$1*SQRT($A8))),TRUE)),"")</f>
        <v/>
      </c>
      <c r="F8" t="str">
        <f>IFERROR(IF(OR(MonteCarlo!$B$4="C",MonteCarlo!$B$4="c"),MonteCarlo!$B$6*_xlfn.NORM.S.DIST((LN(MonteCarlo!$B$6/MonteCarlo!$B$5)+(MonteCarlo!$B$9+(F$1^2)/2)*$A8)/(F$1*SQRT($A8)),TRUE)-MonteCarlo!$B$5*EXP(-MonteCarlo!$B$9*$A8)*_xlfn.NORM.S.DIST(((LN(MonteCarlo!$B$6/MonteCarlo!$B$5)+(MonteCarlo!$B$9+(F$1^2)/2)*$A8)/(F$1*SQRT($A8)))-(F$1*SQRT($A8)),TRUE),MonteCarlo!$B$5*EXP(-MonteCarlo!$B$9*$A8)*_xlfn.NORM.S.DIST(-(((LN(MonteCarlo!$B$6/MonteCarlo!$B$5)+(MonteCarlo!$B$9+(F$1^2)/2)*$A8)/(F$1*SQRT($A8)))-(F$1*SQRT($A8))),TRUE)-MonteCarlo!$B$6*_xlfn.NORM.S.DIST(-((LN(MonteCarlo!$B$6/MonteCarlo!$B$5)+(MonteCarlo!$B$9+(F$1^2)/2)*$A8)/(F$1*SQRT($A8))),TRUE)),"")</f>
        <v/>
      </c>
      <c r="G8" t="str">
        <f>IFERROR(IF(OR(MonteCarlo!$B$4="C",MonteCarlo!$B$4="c"),MonteCarlo!$B$6*_xlfn.NORM.S.DIST((LN(MonteCarlo!$B$6/MonteCarlo!$B$5)+(MonteCarlo!$B$9+(G$1^2)/2)*$A8)/(G$1*SQRT($A8)),TRUE)-MonteCarlo!$B$5*EXP(-MonteCarlo!$B$9*$A8)*_xlfn.NORM.S.DIST(((LN(MonteCarlo!$B$6/MonteCarlo!$B$5)+(MonteCarlo!$B$9+(G$1^2)/2)*$A8)/(G$1*SQRT($A8)))-(G$1*SQRT($A8)),TRUE),MonteCarlo!$B$5*EXP(-MonteCarlo!$B$9*$A8)*_xlfn.NORM.S.DIST(-(((LN(MonteCarlo!$B$6/MonteCarlo!$B$5)+(MonteCarlo!$B$9+(G$1^2)/2)*$A8)/(G$1*SQRT($A8)))-(G$1*SQRT($A8))),TRUE)-MonteCarlo!$B$6*_xlfn.NORM.S.DIST(-((LN(MonteCarlo!$B$6/MonteCarlo!$B$5)+(MonteCarlo!$B$9+(G$1^2)/2)*$A8)/(G$1*SQRT($A8))),TRUE)),"")</f>
        <v/>
      </c>
      <c r="H8" t="str">
        <f>IFERROR(IF(OR(MonteCarlo!$B$4="C",MonteCarlo!$B$4="c"),MonteCarlo!$B$6*_xlfn.NORM.S.DIST((LN(MonteCarlo!$B$6/MonteCarlo!$B$5)+(MonteCarlo!$B$9+(H$1^2)/2)*$A8)/(H$1*SQRT($A8)),TRUE)-MonteCarlo!$B$5*EXP(-MonteCarlo!$B$9*$A8)*_xlfn.NORM.S.DIST(((LN(MonteCarlo!$B$6/MonteCarlo!$B$5)+(MonteCarlo!$B$9+(H$1^2)/2)*$A8)/(H$1*SQRT($A8)))-(H$1*SQRT($A8)),TRUE),MonteCarlo!$B$5*EXP(-MonteCarlo!$B$9*$A8)*_xlfn.NORM.S.DIST(-(((LN(MonteCarlo!$B$6/MonteCarlo!$B$5)+(MonteCarlo!$B$9+(H$1^2)/2)*$A8)/(H$1*SQRT($A8)))-(H$1*SQRT($A8))),TRUE)-MonteCarlo!$B$6*_xlfn.NORM.S.DIST(-((LN(MonteCarlo!$B$6/MonteCarlo!$B$5)+(MonteCarlo!$B$9+(H$1^2)/2)*$A8)/(H$1*SQRT($A8))),TRUE)),"")</f>
        <v/>
      </c>
      <c r="I8" t="str">
        <f>IFERROR(IF(OR(MonteCarlo!$B$4="C",MonteCarlo!$B$4="c"),MonteCarlo!$B$6*_xlfn.NORM.S.DIST((LN(MonteCarlo!$B$6/MonteCarlo!$B$5)+(MonteCarlo!$B$9+(I$1^2)/2)*$A8)/(I$1*SQRT($A8)),TRUE)-MonteCarlo!$B$5*EXP(-MonteCarlo!$B$9*$A8)*_xlfn.NORM.S.DIST(((LN(MonteCarlo!$B$6/MonteCarlo!$B$5)+(MonteCarlo!$B$9+(I$1^2)/2)*$A8)/(I$1*SQRT($A8)))-(I$1*SQRT($A8)),TRUE),MonteCarlo!$B$5*EXP(-MonteCarlo!$B$9*$A8)*_xlfn.NORM.S.DIST(-(((LN(MonteCarlo!$B$6/MonteCarlo!$B$5)+(MonteCarlo!$B$9+(I$1^2)/2)*$A8)/(I$1*SQRT($A8)))-(I$1*SQRT($A8))),TRUE)-MonteCarlo!$B$6*_xlfn.NORM.S.DIST(-((LN(MonteCarlo!$B$6/MonteCarlo!$B$5)+(MonteCarlo!$B$9+(I$1^2)/2)*$A8)/(I$1*SQRT($A8))),TRUE)),"")</f>
        <v/>
      </c>
      <c r="J8" t="str">
        <f>IFERROR(IF(OR(MonteCarlo!$B$4="C",MonteCarlo!$B$4="c"),MonteCarlo!$B$6*_xlfn.NORM.S.DIST((LN(MonteCarlo!$B$6/MonteCarlo!$B$5)+(MonteCarlo!$B$9+(J$1^2)/2)*$A8)/(J$1*SQRT($A8)),TRUE)-MonteCarlo!$B$5*EXP(-MonteCarlo!$B$9*$A8)*_xlfn.NORM.S.DIST(((LN(MonteCarlo!$B$6/MonteCarlo!$B$5)+(MonteCarlo!$B$9+(J$1^2)/2)*$A8)/(J$1*SQRT($A8)))-(J$1*SQRT($A8)),TRUE),MonteCarlo!$B$5*EXP(-MonteCarlo!$B$9*$A8)*_xlfn.NORM.S.DIST(-(((LN(MonteCarlo!$B$6/MonteCarlo!$B$5)+(MonteCarlo!$B$9+(J$1^2)/2)*$A8)/(J$1*SQRT($A8)))-(J$1*SQRT($A8))),TRUE)-MonteCarlo!$B$6*_xlfn.NORM.S.DIST(-((LN(MonteCarlo!$B$6/MonteCarlo!$B$5)+(MonteCarlo!$B$9+(J$1^2)/2)*$A8)/(J$1*SQRT($A8))),TRUE)),"")</f>
        <v/>
      </c>
      <c r="K8" t="str">
        <f>IFERROR(IF(OR(MonteCarlo!$B$4="C",MonteCarlo!$B$4="c"),MonteCarlo!$B$6*_xlfn.NORM.S.DIST((LN(MonteCarlo!$B$6/MonteCarlo!$B$5)+(MonteCarlo!$B$9+(K$1^2)/2)*$A8)/(K$1*SQRT($A8)),TRUE)-MonteCarlo!$B$5*EXP(-MonteCarlo!$B$9*$A8)*_xlfn.NORM.S.DIST(((LN(MonteCarlo!$B$6/MonteCarlo!$B$5)+(MonteCarlo!$B$9+(K$1^2)/2)*$A8)/(K$1*SQRT($A8)))-(K$1*SQRT($A8)),TRUE),MonteCarlo!$B$5*EXP(-MonteCarlo!$B$9*$A8)*_xlfn.NORM.S.DIST(-(((LN(MonteCarlo!$B$6/MonteCarlo!$B$5)+(MonteCarlo!$B$9+(K$1^2)/2)*$A8)/(K$1*SQRT($A8)))-(K$1*SQRT($A8))),TRUE)-MonteCarlo!$B$6*_xlfn.NORM.S.DIST(-((LN(MonteCarlo!$B$6/MonteCarlo!$B$5)+(MonteCarlo!$B$9+(K$1^2)/2)*$A8)/(K$1*SQRT($A8))),TRUE)),"")</f>
        <v/>
      </c>
      <c r="L8" t="str">
        <f>IFERROR(IF(OR(MonteCarlo!$B$4="C",MonteCarlo!$B$4="c"),MonteCarlo!$B$6*_xlfn.NORM.S.DIST((LN(MonteCarlo!$B$6/MonteCarlo!$B$5)+(MonteCarlo!$B$9+(L$1^2)/2)*$A8)/(L$1*SQRT($A8)),TRUE)-MonteCarlo!$B$5*EXP(-MonteCarlo!$B$9*$A8)*_xlfn.NORM.S.DIST(((LN(MonteCarlo!$B$6/MonteCarlo!$B$5)+(MonteCarlo!$B$9+(L$1^2)/2)*$A8)/(L$1*SQRT($A8)))-(L$1*SQRT($A8)),TRUE),MonteCarlo!$B$5*EXP(-MonteCarlo!$B$9*$A8)*_xlfn.NORM.S.DIST(-(((LN(MonteCarlo!$B$6/MonteCarlo!$B$5)+(MonteCarlo!$B$9+(L$1^2)/2)*$A8)/(L$1*SQRT($A8)))-(L$1*SQRT($A8))),TRUE)-MonteCarlo!$B$6*_xlfn.NORM.S.DIST(-((LN(MonteCarlo!$B$6/MonteCarlo!$B$5)+(MonteCarlo!$B$9+(L$1^2)/2)*$A8)/(L$1*SQRT($A8))),TRUE)),"")</f>
        <v/>
      </c>
      <c r="M8" t="str">
        <f>IFERROR(IF(OR(MonteCarlo!$B$4="C",MonteCarlo!$B$4="c"),MonteCarlo!$B$6*_xlfn.NORM.S.DIST((LN(MonteCarlo!$B$6/MonteCarlo!$B$5)+(MonteCarlo!$B$9+(M$1^2)/2)*$A8)/(M$1*SQRT($A8)),TRUE)-MonteCarlo!$B$5*EXP(-MonteCarlo!$B$9*$A8)*_xlfn.NORM.S.DIST(((LN(MonteCarlo!$B$6/MonteCarlo!$B$5)+(MonteCarlo!$B$9+(M$1^2)/2)*$A8)/(M$1*SQRT($A8)))-(M$1*SQRT($A8)),TRUE),MonteCarlo!$B$5*EXP(-MonteCarlo!$B$9*$A8)*_xlfn.NORM.S.DIST(-(((LN(MonteCarlo!$B$6/MonteCarlo!$B$5)+(MonteCarlo!$B$9+(M$1^2)/2)*$A8)/(M$1*SQRT($A8)))-(M$1*SQRT($A8))),TRUE)-MonteCarlo!$B$6*_xlfn.NORM.S.DIST(-((LN(MonteCarlo!$B$6/MonteCarlo!$B$5)+(MonteCarlo!$B$9+(M$1^2)/2)*$A8)/(M$1*SQRT($A8))),TRUE)),"")</f>
        <v/>
      </c>
      <c r="N8" t="str">
        <f>IFERROR(IF(OR(MonteCarlo!$B$4="C",MonteCarlo!$B$4="c"),MonteCarlo!$B$6*_xlfn.NORM.S.DIST((LN(MonteCarlo!$B$6/MonteCarlo!$B$5)+(MonteCarlo!$B$9+(N$1^2)/2)*$A8)/(N$1*SQRT($A8)),TRUE)-MonteCarlo!$B$5*EXP(-MonteCarlo!$B$9*$A8)*_xlfn.NORM.S.DIST(((LN(MonteCarlo!$B$6/MonteCarlo!$B$5)+(MonteCarlo!$B$9+(N$1^2)/2)*$A8)/(N$1*SQRT($A8)))-(N$1*SQRT($A8)),TRUE),MonteCarlo!$B$5*EXP(-MonteCarlo!$B$9*$A8)*_xlfn.NORM.S.DIST(-(((LN(MonteCarlo!$B$6/MonteCarlo!$B$5)+(MonteCarlo!$B$9+(N$1^2)/2)*$A8)/(N$1*SQRT($A8)))-(N$1*SQRT($A8))),TRUE)-MonteCarlo!$B$6*_xlfn.NORM.S.DIST(-((LN(MonteCarlo!$B$6/MonteCarlo!$B$5)+(MonteCarlo!$B$9+(N$1^2)/2)*$A8)/(N$1*SQRT($A8))),TRUE)),"")</f>
        <v/>
      </c>
      <c r="O8" t="str">
        <f>IFERROR(IF(OR(MonteCarlo!$B$4="C",MonteCarlo!$B$4="c"),MonteCarlo!$B$6*_xlfn.NORM.S.DIST((LN(MonteCarlo!$B$6/MonteCarlo!$B$5)+(MonteCarlo!$B$9+(O$1^2)/2)*$A8)/(O$1*SQRT($A8)),TRUE)-MonteCarlo!$B$5*EXP(-MonteCarlo!$B$9*$A8)*_xlfn.NORM.S.DIST(((LN(MonteCarlo!$B$6/MonteCarlo!$B$5)+(MonteCarlo!$B$9+(O$1^2)/2)*$A8)/(O$1*SQRT($A8)))-(O$1*SQRT($A8)),TRUE),MonteCarlo!$B$5*EXP(-MonteCarlo!$B$9*$A8)*_xlfn.NORM.S.DIST(-(((LN(MonteCarlo!$B$6/MonteCarlo!$B$5)+(MonteCarlo!$B$9+(O$1^2)/2)*$A8)/(O$1*SQRT($A8)))-(O$1*SQRT($A8))),TRUE)-MonteCarlo!$B$6*_xlfn.NORM.S.DIST(-((LN(MonteCarlo!$B$6/MonteCarlo!$B$5)+(MonteCarlo!$B$9+(O$1^2)/2)*$A8)/(O$1*SQRT($A8))),TRUE)),"")</f>
        <v/>
      </c>
      <c r="P8" t="str">
        <f>IFERROR(IF(OR(MonteCarlo!$B$4="C",MonteCarlo!$B$4="c"),MonteCarlo!$B$6*_xlfn.NORM.S.DIST((LN(MonteCarlo!$B$6/MonteCarlo!$B$5)+(MonteCarlo!$B$9+(P$1^2)/2)*$A8)/(P$1*SQRT($A8)),TRUE)-MonteCarlo!$B$5*EXP(-MonteCarlo!$B$9*$A8)*_xlfn.NORM.S.DIST(((LN(MonteCarlo!$B$6/MonteCarlo!$B$5)+(MonteCarlo!$B$9+(P$1^2)/2)*$A8)/(P$1*SQRT($A8)))-(P$1*SQRT($A8)),TRUE),MonteCarlo!$B$5*EXP(-MonteCarlo!$B$9*$A8)*_xlfn.NORM.S.DIST(-(((LN(MonteCarlo!$B$6/MonteCarlo!$B$5)+(MonteCarlo!$B$9+(P$1^2)/2)*$A8)/(P$1*SQRT($A8)))-(P$1*SQRT($A8))),TRUE)-MonteCarlo!$B$6*_xlfn.NORM.S.DIST(-((LN(MonteCarlo!$B$6/MonteCarlo!$B$5)+(MonteCarlo!$B$9+(P$1^2)/2)*$A8)/(P$1*SQRT($A8))),TRUE)),"")</f>
        <v/>
      </c>
      <c r="Q8" t="str">
        <f>IFERROR(IF(OR(MonteCarlo!$B$4="C",MonteCarlo!$B$4="c"),MonteCarlo!$B$6*_xlfn.NORM.S.DIST((LN(MonteCarlo!$B$6/MonteCarlo!$B$5)+(MonteCarlo!$B$9+(Q$1^2)/2)*$A8)/(Q$1*SQRT($A8)),TRUE)-MonteCarlo!$B$5*EXP(-MonteCarlo!$B$9*$A8)*_xlfn.NORM.S.DIST(((LN(MonteCarlo!$B$6/MonteCarlo!$B$5)+(MonteCarlo!$B$9+(Q$1^2)/2)*$A8)/(Q$1*SQRT($A8)))-(Q$1*SQRT($A8)),TRUE),MonteCarlo!$B$5*EXP(-MonteCarlo!$B$9*$A8)*_xlfn.NORM.S.DIST(-(((LN(MonteCarlo!$B$6/MonteCarlo!$B$5)+(MonteCarlo!$B$9+(Q$1^2)/2)*$A8)/(Q$1*SQRT($A8)))-(Q$1*SQRT($A8))),TRUE)-MonteCarlo!$B$6*_xlfn.NORM.S.DIST(-((LN(MonteCarlo!$B$6/MonteCarlo!$B$5)+(MonteCarlo!$B$9+(Q$1^2)/2)*$A8)/(Q$1*SQRT($A8))),TRUE)),"")</f>
        <v/>
      </c>
      <c r="R8" t="str">
        <f>IFERROR(IF(OR(MonteCarlo!$B$4="C",MonteCarlo!$B$4="c"),MonteCarlo!$B$6*_xlfn.NORM.S.DIST((LN(MonteCarlo!$B$6/MonteCarlo!$B$5)+(MonteCarlo!$B$9+(R$1^2)/2)*$A8)/(R$1*SQRT($A8)),TRUE)-MonteCarlo!$B$5*EXP(-MonteCarlo!$B$9*$A8)*_xlfn.NORM.S.DIST(((LN(MonteCarlo!$B$6/MonteCarlo!$B$5)+(MonteCarlo!$B$9+(R$1^2)/2)*$A8)/(R$1*SQRT($A8)))-(R$1*SQRT($A8)),TRUE),MonteCarlo!$B$5*EXP(-MonteCarlo!$B$9*$A8)*_xlfn.NORM.S.DIST(-(((LN(MonteCarlo!$B$6/MonteCarlo!$B$5)+(MonteCarlo!$B$9+(R$1^2)/2)*$A8)/(R$1*SQRT($A8)))-(R$1*SQRT($A8))),TRUE)-MonteCarlo!$B$6*_xlfn.NORM.S.DIST(-((LN(MonteCarlo!$B$6/MonteCarlo!$B$5)+(MonteCarlo!$B$9+(R$1^2)/2)*$A8)/(R$1*SQRT($A8))),TRUE)),"")</f>
        <v/>
      </c>
      <c r="S8" t="str">
        <f>IFERROR(IF(OR(MonteCarlo!$B$4="C",MonteCarlo!$B$4="c"),MonteCarlo!$B$6*_xlfn.NORM.S.DIST((LN(MonteCarlo!$B$6/MonteCarlo!$B$5)+(MonteCarlo!$B$9+(S$1^2)/2)*$A8)/(S$1*SQRT($A8)),TRUE)-MonteCarlo!$B$5*EXP(-MonteCarlo!$B$9*$A8)*_xlfn.NORM.S.DIST(((LN(MonteCarlo!$B$6/MonteCarlo!$B$5)+(MonteCarlo!$B$9+(S$1^2)/2)*$A8)/(S$1*SQRT($A8)))-(S$1*SQRT($A8)),TRUE),MonteCarlo!$B$5*EXP(-MonteCarlo!$B$9*$A8)*_xlfn.NORM.S.DIST(-(((LN(MonteCarlo!$B$6/MonteCarlo!$B$5)+(MonteCarlo!$B$9+(S$1^2)/2)*$A8)/(S$1*SQRT($A8)))-(S$1*SQRT($A8))),TRUE)-MonteCarlo!$B$6*_xlfn.NORM.S.DIST(-((LN(MonteCarlo!$B$6/MonteCarlo!$B$5)+(MonteCarlo!$B$9+(S$1^2)/2)*$A8)/(S$1*SQRT($A8))),TRUE)),"")</f>
        <v/>
      </c>
      <c r="T8" t="str">
        <f>IFERROR(IF(OR(MonteCarlo!$B$4="C",MonteCarlo!$B$4="c"),MonteCarlo!$B$6*_xlfn.NORM.S.DIST((LN(MonteCarlo!$B$6/MonteCarlo!$B$5)+(MonteCarlo!$B$9+(T$1^2)/2)*$A8)/(T$1*SQRT($A8)),TRUE)-MonteCarlo!$B$5*EXP(-MonteCarlo!$B$9*$A8)*_xlfn.NORM.S.DIST(((LN(MonteCarlo!$B$6/MonteCarlo!$B$5)+(MonteCarlo!$B$9+(T$1^2)/2)*$A8)/(T$1*SQRT($A8)))-(T$1*SQRT($A8)),TRUE),MonteCarlo!$B$5*EXP(-MonteCarlo!$B$9*$A8)*_xlfn.NORM.S.DIST(-(((LN(MonteCarlo!$B$6/MonteCarlo!$B$5)+(MonteCarlo!$B$9+(T$1^2)/2)*$A8)/(T$1*SQRT($A8)))-(T$1*SQRT($A8))),TRUE)-MonteCarlo!$B$6*_xlfn.NORM.S.DIST(-((LN(MonteCarlo!$B$6/MonteCarlo!$B$5)+(MonteCarlo!$B$9+(T$1^2)/2)*$A8)/(T$1*SQRT($A8))),TRUE)),"")</f>
        <v/>
      </c>
      <c r="U8" t="str">
        <f>IFERROR(IF(OR(MonteCarlo!$B$4="C",MonteCarlo!$B$4="c"),MonteCarlo!$B$6*_xlfn.NORM.S.DIST((LN(MonteCarlo!$B$6/MonteCarlo!$B$5)+(MonteCarlo!$B$9+(U$1^2)/2)*$A8)/(U$1*SQRT($A8)),TRUE)-MonteCarlo!$B$5*EXP(-MonteCarlo!$B$9*$A8)*_xlfn.NORM.S.DIST(((LN(MonteCarlo!$B$6/MonteCarlo!$B$5)+(MonteCarlo!$B$9+(U$1^2)/2)*$A8)/(U$1*SQRT($A8)))-(U$1*SQRT($A8)),TRUE),MonteCarlo!$B$5*EXP(-MonteCarlo!$B$9*$A8)*_xlfn.NORM.S.DIST(-(((LN(MonteCarlo!$B$6/MonteCarlo!$B$5)+(MonteCarlo!$B$9+(U$1^2)/2)*$A8)/(U$1*SQRT($A8)))-(U$1*SQRT($A8))),TRUE)-MonteCarlo!$B$6*_xlfn.NORM.S.DIST(-((LN(MonteCarlo!$B$6/MonteCarlo!$B$5)+(MonteCarlo!$B$9+(U$1^2)/2)*$A8)/(U$1*SQRT($A8))),TRUE)),"")</f>
        <v/>
      </c>
      <c r="V8" t="str">
        <f>IFERROR(IF(OR(MonteCarlo!$B$4="C",MonteCarlo!$B$4="c"),MonteCarlo!$B$6*_xlfn.NORM.S.DIST((LN(MonteCarlo!$B$6/MonteCarlo!$B$5)+(MonteCarlo!$B$9+(V$1^2)/2)*$A8)/(V$1*SQRT($A8)),TRUE)-MonteCarlo!$B$5*EXP(-MonteCarlo!$B$9*$A8)*_xlfn.NORM.S.DIST(((LN(MonteCarlo!$B$6/MonteCarlo!$B$5)+(MonteCarlo!$B$9+(V$1^2)/2)*$A8)/(V$1*SQRT($A8)))-(V$1*SQRT($A8)),TRUE),MonteCarlo!$B$5*EXP(-MonteCarlo!$B$9*$A8)*_xlfn.NORM.S.DIST(-(((LN(MonteCarlo!$B$6/MonteCarlo!$B$5)+(MonteCarlo!$B$9+(V$1^2)/2)*$A8)/(V$1*SQRT($A8)))-(V$1*SQRT($A8))),TRUE)-MonteCarlo!$B$6*_xlfn.NORM.S.DIST(-((LN(MonteCarlo!$B$6/MonteCarlo!$B$5)+(MonteCarlo!$B$9+(V$1^2)/2)*$A8)/(V$1*SQRT($A8))),TRUE)),"")</f>
        <v/>
      </c>
      <c r="W8" t="str">
        <f>IFERROR(IF(OR(MonteCarlo!$B$4="C",MonteCarlo!$B$4="c"),MonteCarlo!$B$6*_xlfn.NORM.S.DIST((LN(MonteCarlo!$B$6/MonteCarlo!$B$5)+(MonteCarlo!$B$9+(W$1^2)/2)*$A8)/(W$1*SQRT($A8)),TRUE)-MonteCarlo!$B$5*EXP(-MonteCarlo!$B$9*$A8)*_xlfn.NORM.S.DIST(((LN(MonteCarlo!$B$6/MonteCarlo!$B$5)+(MonteCarlo!$B$9+(W$1^2)/2)*$A8)/(W$1*SQRT($A8)))-(W$1*SQRT($A8)),TRUE),MonteCarlo!$B$5*EXP(-MonteCarlo!$B$9*$A8)*_xlfn.NORM.S.DIST(-(((LN(MonteCarlo!$B$6/MonteCarlo!$B$5)+(MonteCarlo!$B$9+(W$1^2)/2)*$A8)/(W$1*SQRT($A8)))-(W$1*SQRT($A8))),TRUE)-MonteCarlo!$B$6*_xlfn.NORM.S.DIST(-((LN(MonteCarlo!$B$6/MonteCarlo!$B$5)+(MonteCarlo!$B$9+(W$1^2)/2)*$A8)/(W$1*SQRT($A8))),TRUE)),"")</f>
        <v/>
      </c>
      <c r="X8" t="str">
        <f>IFERROR(IF(OR(MonteCarlo!$B$4="C",MonteCarlo!$B$4="c"),MonteCarlo!$B$6*_xlfn.NORM.S.DIST((LN(MonteCarlo!$B$6/MonteCarlo!$B$5)+(MonteCarlo!$B$9+(X$1^2)/2)*$A8)/(X$1*SQRT($A8)),TRUE)-MonteCarlo!$B$5*EXP(-MonteCarlo!$B$9*$A8)*_xlfn.NORM.S.DIST(((LN(MonteCarlo!$B$6/MonteCarlo!$B$5)+(MonteCarlo!$B$9+(X$1^2)/2)*$A8)/(X$1*SQRT($A8)))-(X$1*SQRT($A8)),TRUE),MonteCarlo!$B$5*EXP(-MonteCarlo!$B$9*$A8)*_xlfn.NORM.S.DIST(-(((LN(MonteCarlo!$B$6/MonteCarlo!$B$5)+(MonteCarlo!$B$9+(X$1^2)/2)*$A8)/(X$1*SQRT($A8)))-(X$1*SQRT($A8))),TRUE)-MonteCarlo!$B$6*_xlfn.NORM.S.DIST(-((LN(MonteCarlo!$B$6/MonteCarlo!$B$5)+(MonteCarlo!$B$9+(X$1^2)/2)*$A8)/(X$1*SQRT($A8))),TRUE)),"")</f>
        <v/>
      </c>
      <c r="Y8" t="str">
        <f>IFERROR(IF(OR(MonteCarlo!$B$4="C",MonteCarlo!$B$4="c"),MonteCarlo!$B$6*_xlfn.NORM.S.DIST((LN(MonteCarlo!$B$6/MonteCarlo!$B$5)+(MonteCarlo!$B$9+(Y$1^2)/2)*$A8)/(Y$1*SQRT($A8)),TRUE)-MonteCarlo!$B$5*EXP(-MonteCarlo!$B$9*$A8)*_xlfn.NORM.S.DIST(((LN(MonteCarlo!$B$6/MonteCarlo!$B$5)+(MonteCarlo!$B$9+(Y$1^2)/2)*$A8)/(Y$1*SQRT($A8)))-(Y$1*SQRT($A8)),TRUE),MonteCarlo!$B$5*EXP(-MonteCarlo!$B$9*$A8)*_xlfn.NORM.S.DIST(-(((LN(MonteCarlo!$B$6/MonteCarlo!$B$5)+(MonteCarlo!$B$9+(Y$1^2)/2)*$A8)/(Y$1*SQRT($A8)))-(Y$1*SQRT($A8))),TRUE)-MonteCarlo!$B$6*_xlfn.NORM.S.DIST(-((LN(MonteCarlo!$B$6/MonteCarlo!$B$5)+(MonteCarlo!$B$9+(Y$1^2)/2)*$A8)/(Y$1*SQRT($A8))),TRUE)),"")</f>
        <v/>
      </c>
      <c r="Z8" t="str">
        <f>IFERROR(IF(OR(MonteCarlo!$B$4="C",MonteCarlo!$B$4="c"),MonteCarlo!$B$6*_xlfn.NORM.S.DIST((LN(MonteCarlo!$B$6/MonteCarlo!$B$5)+(MonteCarlo!$B$9+(Z$1^2)/2)*$A8)/(Z$1*SQRT($A8)),TRUE)-MonteCarlo!$B$5*EXP(-MonteCarlo!$B$9*$A8)*_xlfn.NORM.S.DIST(((LN(MonteCarlo!$B$6/MonteCarlo!$B$5)+(MonteCarlo!$B$9+(Z$1^2)/2)*$A8)/(Z$1*SQRT($A8)))-(Z$1*SQRT($A8)),TRUE),MonteCarlo!$B$5*EXP(-MonteCarlo!$B$9*$A8)*_xlfn.NORM.S.DIST(-(((LN(MonteCarlo!$B$6/MonteCarlo!$B$5)+(MonteCarlo!$B$9+(Z$1^2)/2)*$A8)/(Z$1*SQRT($A8)))-(Z$1*SQRT($A8))),TRUE)-MonteCarlo!$B$6*_xlfn.NORM.S.DIST(-((LN(MonteCarlo!$B$6/MonteCarlo!$B$5)+(MonteCarlo!$B$9+(Z$1^2)/2)*$A8)/(Z$1*SQRT($A8))),TRUE)),"")</f>
        <v/>
      </c>
      <c r="AA8" t="str">
        <f>IFERROR(IF(OR(MonteCarlo!$B$4="C",MonteCarlo!$B$4="c"),MonteCarlo!$B$6*_xlfn.NORM.S.DIST((LN(MonteCarlo!$B$6/MonteCarlo!$B$5)+(MonteCarlo!$B$9+(AA$1^2)/2)*$A8)/(AA$1*SQRT($A8)),TRUE)-MonteCarlo!$B$5*EXP(-MonteCarlo!$B$9*$A8)*_xlfn.NORM.S.DIST(((LN(MonteCarlo!$B$6/MonteCarlo!$B$5)+(MonteCarlo!$B$9+(AA$1^2)/2)*$A8)/(AA$1*SQRT($A8)))-(AA$1*SQRT($A8)),TRUE),MonteCarlo!$B$5*EXP(-MonteCarlo!$B$9*$A8)*_xlfn.NORM.S.DIST(-(((LN(MonteCarlo!$B$6/MonteCarlo!$B$5)+(MonteCarlo!$B$9+(AA$1^2)/2)*$A8)/(AA$1*SQRT($A8)))-(AA$1*SQRT($A8))),TRUE)-MonteCarlo!$B$6*_xlfn.NORM.S.DIST(-((LN(MonteCarlo!$B$6/MonteCarlo!$B$5)+(MonteCarlo!$B$9+(AA$1^2)/2)*$A8)/(AA$1*SQRT($A8))),TRUE)),"")</f>
        <v/>
      </c>
      <c r="AB8" t="str">
        <f>IFERROR(IF(OR(MonteCarlo!$B$4="C",MonteCarlo!$B$4="c"),MonteCarlo!$B$6*_xlfn.NORM.S.DIST((LN(MonteCarlo!$B$6/MonteCarlo!$B$5)+(MonteCarlo!$B$9+(AB$1^2)/2)*$A8)/(AB$1*SQRT($A8)),TRUE)-MonteCarlo!$B$5*EXP(-MonteCarlo!$B$9*$A8)*_xlfn.NORM.S.DIST(((LN(MonteCarlo!$B$6/MonteCarlo!$B$5)+(MonteCarlo!$B$9+(AB$1^2)/2)*$A8)/(AB$1*SQRT($A8)))-(AB$1*SQRT($A8)),TRUE),MonteCarlo!$B$5*EXP(-MonteCarlo!$B$9*$A8)*_xlfn.NORM.S.DIST(-(((LN(MonteCarlo!$B$6/MonteCarlo!$B$5)+(MonteCarlo!$B$9+(AB$1^2)/2)*$A8)/(AB$1*SQRT($A8)))-(AB$1*SQRT($A8))),TRUE)-MonteCarlo!$B$6*_xlfn.NORM.S.DIST(-((LN(MonteCarlo!$B$6/MonteCarlo!$B$5)+(MonteCarlo!$B$9+(AB$1^2)/2)*$A8)/(AB$1*SQRT($A8))),TRUE)),"")</f>
        <v/>
      </c>
      <c r="AC8" t="str">
        <f>IFERROR(IF(OR(MonteCarlo!$B$4="C",MonteCarlo!$B$4="c"),MonteCarlo!$B$6*_xlfn.NORM.S.DIST((LN(MonteCarlo!$B$6/MonteCarlo!$B$5)+(MonteCarlo!$B$9+(AC$1^2)/2)*$A8)/(AC$1*SQRT($A8)),TRUE)-MonteCarlo!$B$5*EXP(-MonteCarlo!$B$9*$A8)*_xlfn.NORM.S.DIST(((LN(MonteCarlo!$B$6/MonteCarlo!$B$5)+(MonteCarlo!$B$9+(AC$1^2)/2)*$A8)/(AC$1*SQRT($A8)))-(AC$1*SQRT($A8)),TRUE),MonteCarlo!$B$5*EXP(-MonteCarlo!$B$9*$A8)*_xlfn.NORM.S.DIST(-(((LN(MonteCarlo!$B$6/MonteCarlo!$B$5)+(MonteCarlo!$B$9+(AC$1^2)/2)*$A8)/(AC$1*SQRT($A8)))-(AC$1*SQRT($A8))),TRUE)-MonteCarlo!$B$6*_xlfn.NORM.S.DIST(-((LN(MonteCarlo!$B$6/MonteCarlo!$B$5)+(MonteCarlo!$B$9+(AC$1^2)/2)*$A8)/(AC$1*SQRT($A8))),TRUE)),"")</f>
        <v/>
      </c>
      <c r="AD8" t="str">
        <f>IFERROR(IF(OR(MonteCarlo!$B$4="C",MonteCarlo!$B$4="c"),MonteCarlo!$B$6*_xlfn.NORM.S.DIST((LN(MonteCarlo!$B$6/MonteCarlo!$B$5)+(MonteCarlo!$B$9+(AD$1^2)/2)*$A8)/(AD$1*SQRT($A8)),TRUE)-MonteCarlo!$B$5*EXP(-MonteCarlo!$B$9*$A8)*_xlfn.NORM.S.DIST(((LN(MonteCarlo!$B$6/MonteCarlo!$B$5)+(MonteCarlo!$B$9+(AD$1^2)/2)*$A8)/(AD$1*SQRT($A8)))-(AD$1*SQRT($A8)),TRUE),MonteCarlo!$B$5*EXP(-MonteCarlo!$B$9*$A8)*_xlfn.NORM.S.DIST(-(((LN(MonteCarlo!$B$6/MonteCarlo!$B$5)+(MonteCarlo!$B$9+(AD$1^2)/2)*$A8)/(AD$1*SQRT($A8)))-(AD$1*SQRT($A8))),TRUE)-MonteCarlo!$B$6*_xlfn.NORM.S.DIST(-((LN(MonteCarlo!$B$6/MonteCarlo!$B$5)+(MonteCarlo!$B$9+(AD$1^2)/2)*$A8)/(AD$1*SQRT($A8))),TRUE)),"")</f>
        <v/>
      </c>
      <c r="AE8" t="str">
        <f>IFERROR(IF(OR(MonteCarlo!$B$4="C",MonteCarlo!$B$4="c"),MonteCarlo!$B$6*_xlfn.NORM.S.DIST((LN(MonteCarlo!$B$6/MonteCarlo!$B$5)+(MonteCarlo!$B$9+(AE$1^2)/2)*$A8)/(AE$1*SQRT($A8)),TRUE)-MonteCarlo!$B$5*EXP(-MonteCarlo!$B$9*$A8)*_xlfn.NORM.S.DIST(((LN(MonteCarlo!$B$6/MonteCarlo!$B$5)+(MonteCarlo!$B$9+(AE$1^2)/2)*$A8)/(AE$1*SQRT($A8)))-(AE$1*SQRT($A8)),TRUE),MonteCarlo!$B$5*EXP(-MonteCarlo!$B$9*$A8)*_xlfn.NORM.S.DIST(-(((LN(MonteCarlo!$B$6/MonteCarlo!$B$5)+(MonteCarlo!$B$9+(AE$1^2)/2)*$A8)/(AE$1*SQRT($A8)))-(AE$1*SQRT($A8))),TRUE)-MonteCarlo!$B$6*_xlfn.NORM.S.DIST(-((LN(MonteCarlo!$B$6/MonteCarlo!$B$5)+(MonteCarlo!$B$9+(AE$1^2)/2)*$A8)/(AE$1*SQRT($A8))),TRUE)),"")</f>
        <v/>
      </c>
      <c r="AF8" t="str">
        <f>IFERROR(IF(OR(MonteCarlo!$B$4="C",MonteCarlo!$B$4="c"),MonteCarlo!$B$6*_xlfn.NORM.S.DIST((LN(MonteCarlo!$B$6/MonteCarlo!$B$5)+(MonteCarlo!$B$9+(AF$1^2)/2)*$A8)/(AF$1*SQRT($A8)),TRUE)-MonteCarlo!$B$5*EXP(-MonteCarlo!$B$9*$A8)*_xlfn.NORM.S.DIST(((LN(MonteCarlo!$B$6/MonteCarlo!$B$5)+(MonteCarlo!$B$9+(AF$1^2)/2)*$A8)/(AF$1*SQRT($A8)))-(AF$1*SQRT($A8)),TRUE),MonteCarlo!$B$5*EXP(-MonteCarlo!$B$9*$A8)*_xlfn.NORM.S.DIST(-(((LN(MonteCarlo!$B$6/MonteCarlo!$B$5)+(MonteCarlo!$B$9+(AF$1^2)/2)*$A8)/(AF$1*SQRT($A8)))-(AF$1*SQRT($A8))),TRUE)-MonteCarlo!$B$6*_xlfn.NORM.S.DIST(-((LN(MonteCarlo!$B$6/MonteCarlo!$B$5)+(MonteCarlo!$B$9+(AF$1^2)/2)*$A8)/(AF$1*SQRT($A8))),TRUE)),"")</f>
        <v/>
      </c>
    </row>
    <row r="9" spans="2:32" x14ac:dyDescent="0.25">
      <c r="B9" t="str">
        <f>IFERROR(IF(OR(MonteCarlo!$B$4="C",MonteCarlo!$B$4="c"),MonteCarlo!$B$6*_xlfn.NORM.S.DIST((LN(MonteCarlo!$B$6/MonteCarlo!$B$5)+(MonteCarlo!$B$9+(B$1^2)/2)*$A9)/(B$1*SQRT($A9)),TRUE)-MonteCarlo!$B$5*EXP(-MonteCarlo!$B$9*$A9)*_xlfn.NORM.S.DIST(((LN(MonteCarlo!$B$6/MonteCarlo!$B$5)+(MonteCarlo!$B$9+(B$1^2)/2)*$A9)/(B$1*SQRT($A9)))-(B$1*SQRT($A9)),TRUE),MonteCarlo!$B$5*EXP(-MonteCarlo!$B$9*$A9)*_xlfn.NORM.S.DIST(-(((LN(MonteCarlo!$B$6/MonteCarlo!$B$5)+(MonteCarlo!$B$9+(B$1^2)/2)*$A9)/(B$1*SQRT($A9)))-(B$1*SQRT($A9))),TRUE)-MonteCarlo!$B$6*_xlfn.NORM.S.DIST(-((LN(MonteCarlo!$B$6/MonteCarlo!$B$5)+(MonteCarlo!$B$9+(B$1^2)/2)*$A9)/(B$1*SQRT($A9))),TRUE)),"")</f>
        <v/>
      </c>
      <c r="C9" t="str">
        <f>IFERROR(IF(OR(MonteCarlo!$B$4="C",MonteCarlo!$B$4="c"),MonteCarlo!$B$6*_xlfn.NORM.S.DIST((LN(MonteCarlo!$B$6/MonteCarlo!$B$5)+(MonteCarlo!$B$9+(C$1^2)/2)*$A9)/(C$1*SQRT($A9)),TRUE)-MonteCarlo!$B$5*EXP(-MonteCarlo!$B$9*$A9)*_xlfn.NORM.S.DIST(((LN(MonteCarlo!$B$6/MonteCarlo!$B$5)+(MonteCarlo!$B$9+(C$1^2)/2)*$A9)/(C$1*SQRT($A9)))-(C$1*SQRT($A9)),TRUE),MonteCarlo!$B$5*EXP(-MonteCarlo!$B$9*$A9)*_xlfn.NORM.S.DIST(-(((LN(MonteCarlo!$B$6/MonteCarlo!$B$5)+(MonteCarlo!$B$9+(C$1^2)/2)*$A9)/(C$1*SQRT($A9)))-(C$1*SQRT($A9))),TRUE)-MonteCarlo!$B$6*_xlfn.NORM.S.DIST(-((LN(MonteCarlo!$B$6/MonteCarlo!$B$5)+(MonteCarlo!$B$9+(C$1^2)/2)*$A9)/(C$1*SQRT($A9))),TRUE)),"")</f>
        <v/>
      </c>
      <c r="D9" t="str">
        <f>IFERROR(IF(OR(MonteCarlo!$B$4="C",MonteCarlo!$B$4="c"),MonteCarlo!$B$6*_xlfn.NORM.S.DIST((LN(MonteCarlo!$B$6/MonteCarlo!$B$5)+(MonteCarlo!$B$9+(D$1^2)/2)*$A9)/(D$1*SQRT($A9)),TRUE)-MonteCarlo!$B$5*EXP(-MonteCarlo!$B$9*$A9)*_xlfn.NORM.S.DIST(((LN(MonteCarlo!$B$6/MonteCarlo!$B$5)+(MonteCarlo!$B$9+(D$1^2)/2)*$A9)/(D$1*SQRT($A9)))-(D$1*SQRT($A9)),TRUE),MonteCarlo!$B$5*EXP(-MonteCarlo!$B$9*$A9)*_xlfn.NORM.S.DIST(-(((LN(MonteCarlo!$B$6/MonteCarlo!$B$5)+(MonteCarlo!$B$9+(D$1^2)/2)*$A9)/(D$1*SQRT($A9)))-(D$1*SQRT($A9))),TRUE)-MonteCarlo!$B$6*_xlfn.NORM.S.DIST(-((LN(MonteCarlo!$B$6/MonteCarlo!$B$5)+(MonteCarlo!$B$9+(D$1^2)/2)*$A9)/(D$1*SQRT($A9))),TRUE)),"")</f>
        <v/>
      </c>
      <c r="E9" t="str">
        <f>IFERROR(IF(OR(MonteCarlo!$B$4="C",MonteCarlo!$B$4="c"),MonteCarlo!$B$6*_xlfn.NORM.S.DIST((LN(MonteCarlo!$B$6/MonteCarlo!$B$5)+(MonteCarlo!$B$9+(E$1^2)/2)*$A9)/(E$1*SQRT($A9)),TRUE)-MonteCarlo!$B$5*EXP(-MonteCarlo!$B$9*$A9)*_xlfn.NORM.S.DIST(((LN(MonteCarlo!$B$6/MonteCarlo!$B$5)+(MonteCarlo!$B$9+(E$1^2)/2)*$A9)/(E$1*SQRT($A9)))-(E$1*SQRT($A9)),TRUE),MonteCarlo!$B$5*EXP(-MonteCarlo!$B$9*$A9)*_xlfn.NORM.S.DIST(-(((LN(MonteCarlo!$B$6/MonteCarlo!$B$5)+(MonteCarlo!$B$9+(E$1^2)/2)*$A9)/(E$1*SQRT($A9)))-(E$1*SQRT($A9))),TRUE)-MonteCarlo!$B$6*_xlfn.NORM.S.DIST(-((LN(MonteCarlo!$B$6/MonteCarlo!$B$5)+(MonteCarlo!$B$9+(E$1^2)/2)*$A9)/(E$1*SQRT($A9))),TRUE)),"")</f>
        <v/>
      </c>
      <c r="F9" t="str">
        <f>IFERROR(IF(OR(MonteCarlo!$B$4="C",MonteCarlo!$B$4="c"),MonteCarlo!$B$6*_xlfn.NORM.S.DIST((LN(MonteCarlo!$B$6/MonteCarlo!$B$5)+(MonteCarlo!$B$9+(F$1^2)/2)*$A9)/(F$1*SQRT($A9)),TRUE)-MonteCarlo!$B$5*EXP(-MonteCarlo!$B$9*$A9)*_xlfn.NORM.S.DIST(((LN(MonteCarlo!$B$6/MonteCarlo!$B$5)+(MonteCarlo!$B$9+(F$1^2)/2)*$A9)/(F$1*SQRT($A9)))-(F$1*SQRT($A9)),TRUE),MonteCarlo!$B$5*EXP(-MonteCarlo!$B$9*$A9)*_xlfn.NORM.S.DIST(-(((LN(MonteCarlo!$B$6/MonteCarlo!$B$5)+(MonteCarlo!$B$9+(F$1^2)/2)*$A9)/(F$1*SQRT($A9)))-(F$1*SQRT($A9))),TRUE)-MonteCarlo!$B$6*_xlfn.NORM.S.DIST(-((LN(MonteCarlo!$B$6/MonteCarlo!$B$5)+(MonteCarlo!$B$9+(F$1^2)/2)*$A9)/(F$1*SQRT($A9))),TRUE)),"")</f>
        <v/>
      </c>
      <c r="G9" t="str">
        <f>IFERROR(IF(OR(MonteCarlo!$B$4="C",MonteCarlo!$B$4="c"),MonteCarlo!$B$6*_xlfn.NORM.S.DIST((LN(MonteCarlo!$B$6/MonteCarlo!$B$5)+(MonteCarlo!$B$9+(G$1^2)/2)*$A9)/(G$1*SQRT($A9)),TRUE)-MonteCarlo!$B$5*EXP(-MonteCarlo!$B$9*$A9)*_xlfn.NORM.S.DIST(((LN(MonteCarlo!$B$6/MonteCarlo!$B$5)+(MonteCarlo!$B$9+(G$1^2)/2)*$A9)/(G$1*SQRT($A9)))-(G$1*SQRT($A9)),TRUE),MonteCarlo!$B$5*EXP(-MonteCarlo!$B$9*$A9)*_xlfn.NORM.S.DIST(-(((LN(MonteCarlo!$B$6/MonteCarlo!$B$5)+(MonteCarlo!$B$9+(G$1^2)/2)*$A9)/(G$1*SQRT($A9)))-(G$1*SQRT($A9))),TRUE)-MonteCarlo!$B$6*_xlfn.NORM.S.DIST(-((LN(MonteCarlo!$B$6/MonteCarlo!$B$5)+(MonteCarlo!$B$9+(G$1^2)/2)*$A9)/(G$1*SQRT($A9))),TRUE)),"")</f>
        <v/>
      </c>
      <c r="H9" t="str">
        <f>IFERROR(IF(OR(MonteCarlo!$B$4="C",MonteCarlo!$B$4="c"),MonteCarlo!$B$6*_xlfn.NORM.S.DIST((LN(MonteCarlo!$B$6/MonteCarlo!$B$5)+(MonteCarlo!$B$9+(H$1^2)/2)*$A9)/(H$1*SQRT($A9)),TRUE)-MonteCarlo!$B$5*EXP(-MonteCarlo!$B$9*$A9)*_xlfn.NORM.S.DIST(((LN(MonteCarlo!$B$6/MonteCarlo!$B$5)+(MonteCarlo!$B$9+(H$1^2)/2)*$A9)/(H$1*SQRT($A9)))-(H$1*SQRT($A9)),TRUE),MonteCarlo!$B$5*EXP(-MonteCarlo!$B$9*$A9)*_xlfn.NORM.S.DIST(-(((LN(MonteCarlo!$B$6/MonteCarlo!$B$5)+(MonteCarlo!$B$9+(H$1^2)/2)*$A9)/(H$1*SQRT($A9)))-(H$1*SQRT($A9))),TRUE)-MonteCarlo!$B$6*_xlfn.NORM.S.DIST(-((LN(MonteCarlo!$B$6/MonteCarlo!$B$5)+(MonteCarlo!$B$9+(H$1^2)/2)*$A9)/(H$1*SQRT($A9))),TRUE)),"")</f>
        <v/>
      </c>
      <c r="I9" t="str">
        <f>IFERROR(IF(OR(MonteCarlo!$B$4="C",MonteCarlo!$B$4="c"),MonteCarlo!$B$6*_xlfn.NORM.S.DIST((LN(MonteCarlo!$B$6/MonteCarlo!$B$5)+(MonteCarlo!$B$9+(I$1^2)/2)*$A9)/(I$1*SQRT($A9)),TRUE)-MonteCarlo!$B$5*EXP(-MonteCarlo!$B$9*$A9)*_xlfn.NORM.S.DIST(((LN(MonteCarlo!$B$6/MonteCarlo!$B$5)+(MonteCarlo!$B$9+(I$1^2)/2)*$A9)/(I$1*SQRT($A9)))-(I$1*SQRT($A9)),TRUE),MonteCarlo!$B$5*EXP(-MonteCarlo!$B$9*$A9)*_xlfn.NORM.S.DIST(-(((LN(MonteCarlo!$B$6/MonteCarlo!$B$5)+(MonteCarlo!$B$9+(I$1^2)/2)*$A9)/(I$1*SQRT($A9)))-(I$1*SQRT($A9))),TRUE)-MonteCarlo!$B$6*_xlfn.NORM.S.DIST(-((LN(MonteCarlo!$B$6/MonteCarlo!$B$5)+(MonteCarlo!$B$9+(I$1^2)/2)*$A9)/(I$1*SQRT($A9))),TRUE)),"")</f>
        <v/>
      </c>
      <c r="J9" t="str">
        <f>IFERROR(IF(OR(MonteCarlo!$B$4="C",MonteCarlo!$B$4="c"),MonteCarlo!$B$6*_xlfn.NORM.S.DIST((LN(MonteCarlo!$B$6/MonteCarlo!$B$5)+(MonteCarlo!$B$9+(J$1^2)/2)*$A9)/(J$1*SQRT($A9)),TRUE)-MonteCarlo!$B$5*EXP(-MonteCarlo!$B$9*$A9)*_xlfn.NORM.S.DIST(((LN(MonteCarlo!$B$6/MonteCarlo!$B$5)+(MonteCarlo!$B$9+(J$1^2)/2)*$A9)/(J$1*SQRT($A9)))-(J$1*SQRT($A9)),TRUE),MonteCarlo!$B$5*EXP(-MonteCarlo!$B$9*$A9)*_xlfn.NORM.S.DIST(-(((LN(MonteCarlo!$B$6/MonteCarlo!$B$5)+(MonteCarlo!$B$9+(J$1^2)/2)*$A9)/(J$1*SQRT($A9)))-(J$1*SQRT($A9))),TRUE)-MonteCarlo!$B$6*_xlfn.NORM.S.DIST(-((LN(MonteCarlo!$B$6/MonteCarlo!$B$5)+(MonteCarlo!$B$9+(J$1^2)/2)*$A9)/(J$1*SQRT($A9))),TRUE)),"")</f>
        <v/>
      </c>
      <c r="K9" t="str">
        <f>IFERROR(IF(OR(MonteCarlo!$B$4="C",MonteCarlo!$B$4="c"),MonteCarlo!$B$6*_xlfn.NORM.S.DIST((LN(MonteCarlo!$B$6/MonteCarlo!$B$5)+(MonteCarlo!$B$9+(K$1^2)/2)*$A9)/(K$1*SQRT($A9)),TRUE)-MonteCarlo!$B$5*EXP(-MonteCarlo!$B$9*$A9)*_xlfn.NORM.S.DIST(((LN(MonteCarlo!$B$6/MonteCarlo!$B$5)+(MonteCarlo!$B$9+(K$1^2)/2)*$A9)/(K$1*SQRT($A9)))-(K$1*SQRT($A9)),TRUE),MonteCarlo!$B$5*EXP(-MonteCarlo!$B$9*$A9)*_xlfn.NORM.S.DIST(-(((LN(MonteCarlo!$B$6/MonteCarlo!$B$5)+(MonteCarlo!$B$9+(K$1^2)/2)*$A9)/(K$1*SQRT($A9)))-(K$1*SQRT($A9))),TRUE)-MonteCarlo!$B$6*_xlfn.NORM.S.DIST(-((LN(MonteCarlo!$B$6/MonteCarlo!$B$5)+(MonteCarlo!$B$9+(K$1^2)/2)*$A9)/(K$1*SQRT($A9))),TRUE)),"")</f>
        <v/>
      </c>
      <c r="L9" t="str">
        <f>IFERROR(IF(OR(MonteCarlo!$B$4="C",MonteCarlo!$B$4="c"),MonteCarlo!$B$6*_xlfn.NORM.S.DIST((LN(MonteCarlo!$B$6/MonteCarlo!$B$5)+(MonteCarlo!$B$9+(L$1^2)/2)*$A9)/(L$1*SQRT($A9)),TRUE)-MonteCarlo!$B$5*EXP(-MonteCarlo!$B$9*$A9)*_xlfn.NORM.S.DIST(((LN(MonteCarlo!$B$6/MonteCarlo!$B$5)+(MonteCarlo!$B$9+(L$1^2)/2)*$A9)/(L$1*SQRT($A9)))-(L$1*SQRT($A9)),TRUE),MonteCarlo!$B$5*EXP(-MonteCarlo!$B$9*$A9)*_xlfn.NORM.S.DIST(-(((LN(MonteCarlo!$B$6/MonteCarlo!$B$5)+(MonteCarlo!$B$9+(L$1^2)/2)*$A9)/(L$1*SQRT($A9)))-(L$1*SQRT($A9))),TRUE)-MonteCarlo!$B$6*_xlfn.NORM.S.DIST(-((LN(MonteCarlo!$B$6/MonteCarlo!$B$5)+(MonteCarlo!$B$9+(L$1^2)/2)*$A9)/(L$1*SQRT($A9))),TRUE)),"")</f>
        <v/>
      </c>
      <c r="M9" t="str">
        <f>IFERROR(IF(OR(MonteCarlo!$B$4="C",MonteCarlo!$B$4="c"),MonteCarlo!$B$6*_xlfn.NORM.S.DIST((LN(MonteCarlo!$B$6/MonteCarlo!$B$5)+(MonteCarlo!$B$9+(M$1^2)/2)*$A9)/(M$1*SQRT($A9)),TRUE)-MonteCarlo!$B$5*EXP(-MonteCarlo!$B$9*$A9)*_xlfn.NORM.S.DIST(((LN(MonteCarlo!$B$6/MonteCarlo!$B$5)+(MonteCarlo!$B$9+(M$1^2)/2)*$A9)/(M$1*SQRT($A9)))-(M$1*SQRT($A9)),TRUE),MonteCarlo!$B$5*EXP(-MonteCarlo!$B$9*$A9)*_xlfn.NORM.S.DIST(-(((LN(MonteCarlo!$B$6/MonteCarlo!$B$5)+(MonteCarlo!$B$9+(M$1^2)/2)*$A9)/(M$1*SQRT($A9)))-(M$1*SQRT($A9))),TRUE)-MonteCarlo!$B$6*_xlfn.NORM.S.DIST(-((LN(MonteCarlo!$B$6/MonteCarlo!$B$5)+(MonteCarlo!$B$9+(M$1^2)/2)*$A9)/(M$1*SQRT($A9))),TRUE)),"")</f>
        <v/>
      </c>
      <c r="N9" t="str">
        <f>IFERROR(IF(OR(MonteCarlo!$B$4="C",MonteCarlo!$B$4="c"),MonteCarlo!$B$6*_xlfn.NORM.S.DIST((LN(MonteCarlo!$B$6/MonteCarlo!$B$5)+(MonteCarlo!$B$9+(N$1^2)/2)*$A9)/(N$1*SQRT($A9)),TRUE)-MonteCarlo!$B$5*EXP(-MonteCarlo!$B$9*$A9)*_xlfn.NORM.S.DIST(((LN(MonteCarlo!$B$6/MonteCarlo!$B$5)+(MonteCarlo!$B$9+(N$1^2)/2)*$A9)/(N$1*SQRT($A9)))-(N$1*SQRT($A9)),TRUE),MonteCarlo!$B$5*EXP(-MonteCarlo!$B$9*$A9)*_xlfn.NORM.S.DIST(-(((LN(MonteCarlo!$B$6/MonteCarlo!$B$5)+(MonteCarlo!$B$9+(N$1^2)/2)*$A9)/(N$1*SQRT($A9)))-(N$1*SQRT($A9))),TRUE)-MonteCarlo!$B$6*_xlfn.NORM.S.DIST(-((LN(MonteCarlo!$B$6/MonteCarlo!$B$5)+(MonteCarlo!$B$9+(N$1^2)/2)*$A9)/(N$1*SQRT($A9))),TRUE)),"")</f>
        <v/>
      </c>
      <c r="O9" t="str">
        <f>IFERROR(IF(OR(MonteCarlo!$B$4="C",MonteCarlo!$B$4="c"),MonteCarlo!$B$6*_xlfn.NORM.S.DIST((LN(MonteCarlo!$B$6/MonteCarlo!$B$5)+(MonteCarlo!$B$9+(O$1^2)/2)*$A9)/(O$1*SQRT($A9)),TRUE)-MonteCarlo!$B$5*EXP(-MonteCarlo!$B$9*$A9)*_xlfn.NORM.S.DIST(((LN(MonteCarlo!$B$6/MonteCarlo!$B$5)+(MonteCarlo!$B$9+(O$1^2)/2)*$A9)/(O$1*SQRT($A9)))-(O$1*SQRT($A9)),TRUE),MonteCarlo!$B$5*EXP(-MonteCarlo!$B$9*$A9)*_xlfn.NORM.S.DIST(-(((LN(MonteCarlo!$B$6/MonteCarlo!$B$5)+(MonteCarlo!$B$9+(O$1^2)/2)*$A9)/(O$1*SQRT($A9)))-(O$1*SQRT($A9))),TRUE)-MonteCarlo!$B$6*_xlfn.NORM.S.DIST(-((LN(MonteCarlo!$B$6/MonteCarlo!$B$5)+(MonteCarlo!$B$9+(O$1^2)/2)*$A9)/(O$1*SQRT($A9))),TRUE)),"")</f>
        <v/>
      </c>
      <c r="P9" t="str">
        <f>IFERROR(IF(OR(MonteCarlo!$B$4="C",MonteCarlo!$B$4="c"),MonteCarlo!$B$6*_xlfn.NORM.S.DIST((LN(MonteCarlo!$B$6/MonteCarlo!$B$5)+(MonteCarlo!$B$9+(P$1^2)/2)*$A9)/(P$1*SQRT($A9)),TRUE)-MonteCarlo!$B$5*EXP(-MonteCarlo!$B$9*$A9)*_xlfn.NORM.S.DIST(((LN(MonteCarlo!$B$6/MonteCarlo!$B$5)+(MonteCarlo!$B$9+(P$1^2)/2)*$A9)/(P$1*SQRT($A9)))-(P$1*SQRT($A9)),TRUE),MonteCarlo!$B$5*EXP(-MonteCarlo!$B$9*$A9)*_xlfn.NORM.S.DIST(-(((LN(MonteCarlo!$B$6/MonteCarlo!$B$5)+(MonteCarlo!$B$9+(P$1^2)/2)*$A9)/(P$1*SQRT($A9)))-(P$1*SQRT($A9))),TRUE)-MonteCarlo!$B$6*_xlfn.NORM.S.DIST(-((LN(MonteCarlo!$B$6/MonteCarlo!$B$5)+(MonteCarlo!$B$9+(P$1^2)/2)*$A9)/(P$1*SQRT($A9))),TRUE)),"")</f>
        <v/>
      </c>
      <c r="Q9" t="str">
        <f>IFERROR(IF(OR(MonteCarlo!$B$4="C",MonteCarlo!$B$4="c"),MonteCarlo!$B$6*_xlfn.NORM.S.DIST((LN(MonteCarlo!$B$6/MonteCarlo!$B$5)+(MonteCarlo!$B$9+(Q$1^2)/2)*$A9)/(Q$1*SQRT($A9)),TRUE)-MonteCarlo!$B$5*EXP(-MonteCarlo!$B$9*$A9)*_xlfn.NORM.S.DIST(((LN(MonteCarlo!$B$6/MonteCarlo!$B$5)+(MonteCarlo!$B$9+(Q$1^2)/2)*$A9)/(Q$1*SQRT($A9)))-(Q$1*SQRT($A9)),TRUE),MonteCarlo!$B$5*EXP(-MonteCarlo!$B$9*$A9)*_xlfn.NORM.S.DIST(-(((LN(MonteCarlo!$B$6/MonteCarlo!$B$5)+(MonteCarlo!$B$9+(Q$1^2)/2)*$A9)/(Q$1*SQRT($A9)))-(Q$1*SQRT($A9))),TRUE)-MonteCarlo!$B$6*_xlfn.NORM.S.DIST(-((LN(MonteCarlo!$B$6/MonteCarlo!$B$5)+(MonteCarlo!$B$9+(Q$1^2)/2)*$A9)/(Q$1*SQRT($A9))),TRUE)),"")</f>
        <v/>
      </c>
      <c r="R9" t="str">
        <f>IFERROR(IF(OR(MonteCarlo!$B$4="C",MonteCarlo!$B$4="c"),MonteCarlo!$B$6*_xlfn.NORM.S.DIST((LN(MonteCarlo!$B$6/MonteCarlo!$B$5)+(MonteCarlo!$B$9+(R$1^2)/2)*$A9)/(R$1*SQRT($A9)),TRUE)-MonteCarlo!$B$5*EXP(-MonteCarlo!$B$9*$A9)*_xlfn.NORM.S.DIST(((LN(MonteCarlo!$B$6/MonteCarlo!$B$5)+(MonteCarlo!$B$9+(R$1^2)/2)*$A9)/(R$1*SQRT($A9)))-(R$1*SQRT($A9)),TRUE),MonteCarlo!$B$5*EXP(-MonteCarlo!$B$9*$A9)*_xlfn.NORM.S.DIST(-(((LN(MonteCarlo!$B$6/MonteCarlo!$B$5)+(MonteCarlo!$B$9+(R$1^2)/2)*$A9)/(R$1*SQRT($A9)))-(R$1*SQRT($A9))),TRUE)-MonteCarlo!$B$6*_xlfn.NORM.S.DIST(-((LN(MonteCarlo!$B$6/MonteCarlo!$B$5)+(MonteCarlo!$B$9+(R$1^2)/2)*$A9)/(R$1*SQRT($A9))),TRUE)),"")</f>
        <v/>
      </c>
      <c r="S9" t="str">
        <f>IFERROR(IF(OR(MonteCarlo!$B$4="C",MonteCarlo!$B$4="c"),MonteCarlo!$B$6*_xlfn.NORM.S.DIST((LN(MonteCarlo!$B$6/MonteCarlo!$B$5)+(MonteCarlo!$B$9+(S$1^2)/2)*$A9)/(S$1*SQRT($A9)),TRUE)-MonteCarlo!$B$5*EXP(-MonteCarlo!$B$9*$A9)*_xlfn.NORM.S.DIST(((LN(MonteCarlo!$B$6/MonteCarlo!$B$5)+(MonteCarlo!$B$9+(S$1^2)/2)*$A9)/(S$1*SQRT($A9)))-(S$1*SQRT($A9)),TRUE),MonteCarlo!$B$5*EXP(-MonteCarlo!$B$9*$A9)*_xlfn.NORM.S.DIST(-(((LN(MonteCarlo!$B$6/MonteCarlo!$B$5)+(MonteCarlo!$B$9+(S$1^2)/2)*$A9)/(S$1*SQRT($A9)))-(S$1*SQRT($A9))),TRUE)-MonteCarlo!$B$6*_xlfn.NORM.S.DIST(-((LN(MonteCarlo!$B$6/MonteCarlo!$B$5)+(MonteCarlo!$B$9+(S$1^2)/2)*$A9)/(S$1*SQRT($A9))),TRUE)),"")</f>
        <v/>
      </c>
      <c r="T9" t="str">
        <f>IFERROR(IF(OR(MonteCarlo!$B$4="C",MonteCarlo!$B$4="c"),MonteCarlo!$B$6*_xlfn.NORM.S.DIST((LN(MonteCarlo!$B$6/MonteCarlo!$B$5)+(MonteCarlo!$B$9+(T$1^2)/2)*$A9)/(T$1*SQRT($A9)),TRUE)-MonteCarlo!$B$5*EXP(-MonteCarlo!$B$9*$A9)*_xlfn.NORM.S.DIST(((LN(MonteCarlo!$B$6/MonteCarlo!$B$5)+(MonteCarlo!$B$9+(T$1^2)/2)*$A9)/(T$1*SQRT($A9)))-(T$1*SQRT($A9)),TRUE),MonteCarlo!$B$5*EXP(-MonteCarlo!$B$9*$A9)*_xlfn.NORM.S.DIST(-(((LN(MonteCarlo!$B$6/MonteCarlo!$B$5)+(MonteCarlo!$B$9+(T$1^2)/2)*$A9)/(T$1*SQRT($A9)))-(T$1*SQRT($A9))),TRUE)-MonteCarlo!$B$6*_xlfn.NORM.S.DIST(-((LN(MonteCarlo!$B$6/MonteCarlo!$B$5)+(MonteCarlo!$B$9+(T$1^2)/2)*$A9)/(T$1*SQRT($A9))),TRUE)),"")</f>
        <v/>
      </c>
      <c r="U9" t="str">
        <f>IFERROR(IF(OR(MonteCarlo!$B$4="C",MonteCarlo!$B$4="c"),MonteCarlo!$B$6*_xlfn.NORM.S.DIST((LN(MonteCarlo!$B$6/MonteCarlo!$B$5)+(MonteCarlo!$B$9+(U$1^2)/2)*$A9)/(U$1*SQRT($A9)),TRUE)-MonteCarlo!$B$5*EXP(-MonteCarlo!$B$9*$A9)*_xlfn.NORM.S.DIST(((LN(MonteCarlo!$B$6/MonteCarlo!$B$5)+(MonteCarlo!$B$9+(U$1^2)/2)*$A9)/(U$1*SQRT($A9)))-(U$1*SQRT($A9)),TRUE),MonteCarlo!$B$5*EXP(-MonteCarlo!$B$9*$A9)*_xlfn.NORM.S.DIST(-(((LN(MonteCarlo!$B$6/MonteCarlo!$B$5)+(MonteCarlo!$B$9+(U$1^2)/2)*$A9)/(U$1*SQRT($A9)))-(U$1*SQRT($A9))),TRUE)-MonteCarlo!$B$6*_xlfn.NORM.S.DIST(-((LN(MonteCarlo!$B$6/MonteCarlo!$B$5)+(MonteCarlo!$B$9+(U$1^2)/2)*$A9)/(U$1*SQRT($A9))),TRUE)),"")</f>
        <v/>
      </c>
      <c r="V9" t="str">
        <f>IFERROR(IF(OR(MonteCarlo!$B$4="C",MonteCarlo!$B$4="c"),MonteCarlo!$B$6*_xlfn.NORM.S.DIST((LN(MonteCarlo!$B$6/MonteCarlo!$B$5)+(MonteCarlo!$B$9+(V$1^2)/2)*$A9)/(V$1*SQRT($A9)),TRUE)-MonteCarlo!$B$5*EXP(-MonteCarlo!$B$9*$A9)*_xlfn.NORM.S.DIST(((LN(MonteCarlo!$B$6/MonteCarlo!$B$5)+(MonteCarlo!$B$9+(V$1^2)/2)*$A9)/(V$1*SQRT($A9)))-(V$1*SQRT($A9)),TRUE),MonteCarlo!$B$5*EXP(-MonteCarlo!$B$9*$A9)*_xlfn.NORM.S.DIST(-(((LN(MonteCarlo!$B$6/MonteCarlo!$B$5)+(MonteCarlo!$B$9+(V$1^2)/2)*$A9)/(V$1*SQRT($A9)))-(V$1*SQRT($A9))),TRUE)-MonteCarlo!$B$6*_xlfn.NORM.S.DIST(-((LN(MonteCarlo!$B$6/MonteCarlo!$B$5)+(MonteCarlo!$B$9+(V$1^2)/2)*$A9)/(V$1*SQRT($A9))),TRUE)),"")</f>
        <v/>
      </c>
      <c r="W9" t="str">
        <f>IFERROR(IF(OR(MonteCarlo!$B$4="C",MonteCarlo!$B$4="c"),MonteCarlo!$B$6*_xlfn.NORM.S.DIST((LN(MonteCarlo!$B$6/MonteCarlo!$B$5)+(MonteCarlo!$B$9+(W$1^2)/2)*$A9)/(W$1*SQRT($A9)),TRUE)-MonteCarlo!$B$5*EXP(-MonteCarlo!$B$9*$A9)*_xlfn.NORM.S.DIST(((LN(MonteCarlo!$B$6/MonteCarlo!$B$5)+(MonteCarlo!$B$9+(W$1^2)/2)*$A9)/(W$1*SQRT($A9)))-(W$1*SQRT($A9)),TRUE),MonteCarlo!$B$5*EXP(-MonteCarlo!$B$9*$A9)*_xlfn.NORM.S.DIST(-(((LN(MonteCarlo!$B$6/MonteCarlo!$B$5)+(MonteCarlo!$B$9+(W$1^2)/2)*$A9)/(W$1*SQRT($A9)))-(W$1*SQRT($A9))),TRUE)-MonteCarlo!$B$6*_xlfn.NORM.S.DIST(-((LN(MonteCarlo!$B$6/MonteCarlo!$B$5)+(MonteCarlo!$B$9+(W$1^2)/2)*$A9)/(W$1*SQRT($A9))),TRUE)),"")</f>
        <v/>
      </c>
      <c r="X9" t="str">
        <f>IFERROR(IF(OR(MonteCarlo!$B$4="C",MonteCarlo!$B$4="c"),MonteCarlo!$B$6*_xlfn.NORM.S.DIST((LN(MonteCarlo!$B$6/MonteCarlo!$B$5)+(MonteCarlo!$B$9+(X$1^2)/2)*$A9)/(X$1*SQRT($A9)),TRUE)-MonteCarlo!$B$5*EXP(-MonteCarlo!$B$9*$A9)*_xlfn.NORM.S.DIST(((LN(MonteCarlo!$B$6/MonteCarlo!$B$5)+(MonteCarlo!$B$9+(X$1^2)/2)*$A9)/(X$1*SQRT($A9)))-(X$1*SQRT($A9)),TRUE),MonteCarlo!$B$5*EXP(-MonteCarlo!$B$9*$A9)*_xlfn.NORM.S.DIST(-(((LN(MonteCarlo!$B$6/MonteCarlo!$B$5)+(MonteCarlo!$B$9+(X$1^2)/2)*$A9)/(X$1*SQRT($A9)))-(X$1*SQRT($A9))),TRUE)-MonteCarlo!$B$6*_xlfn.NORM.S.DIST(-((LN(MonteCarlo!$B$6/MonteCarlo!$B$5)+(MonteCarlo!$B$9+(X$1^2)/2)*$A9)/(X$1*SQRT($A9))),TRUE)),"")</f>
        <v/>
      </c>
      <c r="Y9" t="str">
        <f>IFERROR(IF(OR(MonteCarlo!$B$4="C",MonteCarlo!$B$4="c"),MonteCarlo!$B$6*_xlfn.NORM.S.DIST((LN(MonteCarlo!$B$6/MonteCarlo!$B$5)+(MonteCarlo!$B$9+(Y$1^2)/2)*$A9)/(Y$1*SQRT($A9)),TRUE)-MonteCarlo!$B$5*EXP(-MonteCarlo!$B$9*$A9)*_xlfn.NORM.S.DIST(((LN(MonteCarlo!$B$6/MonteCarlo!$B$5)+(MonteCarlo!$B$9+(Y$1^2)/2)*$A9)/(Y$1*SQRT($A9)))-(Y$1*SQRT($A9)),TRUE),MonteCarlo!$B$5*EXP(-MonteCarlo!$B$9*$A9)*_xlfn.NORM.S.DIST(-(((LN(MonteCarlo!$B$6/MonteCarlo!$B$5)+(MonteCarlo!$B$9+(Y$1^2)/2)*$A9)/(Y$1*SQRT($A9)))-(Y$1*SQRT($A9))),TRUE)-MonteCarlo!$B$6*_xlfn.NORM.S.DIST(-((LN(MonteCarlo!$B$6/MonteCarlo!$B$5)+(MonteCarlo!$B$9+(Y$1^2)/2)*$A9)/(Y$1*SQRT($A9))),TRUE)),"")</f>
        <v/>
      </c>
      <c r="Z9" t="str">
        <f>IFERROR(IF(OR(MonteCarlo!$B$4="C",MonteCarlo!$B$4="c"),MonteCarlo!$B$6*_xlfn.NORM.S.DIST((LN(MonteCarlo!$B$6/MonteCarlo!$B$5)+(MonteCarlo!$B$9+(Z$1^2)/2)*$A9)/(Z$1*SQRT($A9)),TRUE)-MonteCarlo!$B$5*EXP(-MonteCarlo!$B$9*$A9)*_xlfn.NORM.S.DIST(((LN(MonteCarlo!$B$6/MonteCarlo!$B$5)+(MonteCarlo!$B$9+(Z$1^2)/2)*$A9)/(Z$1*SQRT($A9)))-(Z$1*SQRT($A9)),TRUE),MonteCarlo!$B$5*EXP(-MonteCarlo!$B$9*$A9)*_xlfn.NORM.S.DIST(-(((LN(MonteCarlo!$B$6/MonteCarlo!$B$5)+(MonteCarlo!$B$9+(Z$1^2)/2)*$A9)/(Z$1*SQRT($A9)))-(Z$1*SQRT($A9))),TRUE)-MonteCarlo!$B$6*_xlfn.NORM.S.DIST(-((LN(MonteCarlo!$B$6/MonteCarlo!$B$5)+(MonteCarlo!$B$9+(Z$1^2)/2)*$A9)/(Z$1*SQRT($A9))),TRUE)),"")</f>
        <v/>
      </c>
      <c r="AA9" t="str">
        <f>IFERROR(IF(OR(MonteCarlo!$B$4="C",MonteCarlo!$B$4="c"),MonteCarlo!$B$6*_xlfn.NORM.S.DIST((LN(MonteCarlo!$B$6/MonteCarlo!$B$5)+(MonteCarlo!$B$9+(AA$1^2)/2)*$A9)/(AA$1*SQRT($A9)),TRUE)-MonteCarlo!$B$5*EXP(-MonteCarlo!$B$9*$A9)*_xlfn.NORM.S.DIST(((LN(MonteCarlo!$B$6/MonteCarlo!$B$5)+(MonteCarlo!$B$9+(AA$1^2)/2)*$A9)/(AA$1*SQRT($A9)))-(AA$1*SQRT($A9)),TRUE),MonteCarlo!$B$5*EXP(-MonteCarlo!$B$9*$A9)*_xlfn.NORM.S.DIST(-(((LN(MonteCarlo!$B$6/MonteCarlo!$B$5)+(MonteCarlo!$B$9+(AA$1^2)/2)*$A9)/(AA$1*SQRT($A9)))-(AA$1*SQRT($A9))),TRUE)-MonteCarlo!$B$6*_xlfn.NORM.S.DIST(-((LN(MonteCarlo!$B$6/MonteCarlo!$B$5)+(MonteCarlo!$B$9+(AA$1^2)/2)*$A9)/(AA$1*SQRT($A9))),TRUE)),"")</f>
        <v/>
      </c>
      <c r="AB9" t="str">
        <f>IFERROR(IF(OR(MonteCarlo!$B$4="C",MonteCarlo!$B$4="c"),MonteCarlo!$B$6*_xlfn.NORM.S.DIST((LN(MonteCarlo!$B$6/MonteCarlo!$B$5)+(MonteCarlo!$B$9+(AB$1^2)/2)*$A9)/(AB$1*SQRT($A9)),TRUE)-MonteCarlo!$B$5*EXP(-MonteCarlo!$B$9*$A9)*_xlfn.NORM.S.DIST(((LN(MonteCarlo!$B$6/MonteCarlo!$B$5)+(MonteCarlo!$B$9+(AB$1^2)/2)*$A9)/(AB$1*SQRT($A9)))-(AB$1*SQRT($A9)),TRUE),MonteCarlo!$B$5*EXP(-MonteCarlo!$B$9*$A9)*_xlfn.NORM.S.DIST(-(((LN(MonteCarlo!$B$6/MonteCarlo!$B$5)+(MonteCarlo!$B$9+(AB$1^2)/2)*$A9)/(AB$1*SQRT($A9)))-(AB$1*SQRT($A9))),TRUE)-MonteCarlo!$B$6*_xlfn.NORM.S.DIST(-((LN(MonteCarlo!$B$6/MonteCarlo!$B$5)+(MonteCarlo!$B$9+(AB$1^2)/2)*$A9)/(AB$1*SQRT($A9))),TRUE)),"")</f>
        <v/>
      </c>
      <c r="AC9" t="str">
        <f>IFERROR(IF(OR(MonteCarlo!$B$4="C",MonteCarlo!$B$4="c"),MonteCarlo!$B$6*_xlfn.NORM.S.DIST((LN(MonteCarlo!$B$6/MonteCarlo!$B$5)+(MonteCarlo!$B$9+(AC$1^2)/2)*$A9)/(AC$1*SQRT($A9)),TRUE)-MonteCarlo!$B$5*EXP(-MonteCarlo!$B$9*$A9)*_xlfn.NORM.S.DIST(((LN(MonteCarlo!$B$6/MonteCarlo!$B$5)+(MonteCarlo!$B$9+(AC$1^2)/2)*$A9)/(AC$1*SQRT($A9)))-(AC$1*SQRT($A9)),TRUE),MonteCarlo!$B$5*EXP(-MonteCarlo!$B$9*$A9)*_xlfn.NORM.S.DIST(-(((LN(MonteCarlo!$B$6/MonteCarlo!$B$5)+(MonteCarlo!$B$9+(AC$1^2)/2)*$A9)/(AC$1*SQRT($A9)))-(AC$1*SQRT($A9))),TRUE)-MonteCarlo!$B$6*_xlfn.NORM.S.DIST(-((LN(MonteCarlo!$B$6/MonteCarlo!$B$5)+(MonteCarlo!$B$9+(AC$1^2)/2)*$A9)/(AC$1*SQRT($A9))),TRUE)),"")</f>
        <v/>
      </c>
      <c r="AD9" t="str">
        <f>IFERROR(IF(OR(MonteCarlo!$B$4="C",MonteCarlo!$B$4="c"),MonteCarlo!$B$6*_xlfn.NORM.S.DIST((LN(MonteCarlo!$B$6/MonteCarlo!$B$5)+(MonteCarlo!$B$9+(AD$1^2)/2)*$A9)/(AD$1*SQRT($A9)),TRUE)-MonteCarlo!$B$5*EXP(-MonteCarlo!$B$9*$A9)*_xlfn.NORM.S.DIST(((LN(MonteCarlo!$B$6/MonteCarlo!$B$5)+(MonteCarlo!$B$9+(AD$1^2)/2)*$A9)/(AD$1*SQRT($A9)))-(AD$1*SQRT($A9)),TRUE),MonteCarlo!$B$5*EXP(-MonteCarlo!$B$9*$A9)*_xlfn.NORM.S.DIST(-(((LN(MonteCarlo!$B$6/MonteCarlo!$B$5)+(MonteCarlo!$B$9+(AD$1^2)/2)*$A9)/(AD$1*SQRT($A9)))-(AD$1*SQRT($A9))),TRUE)-MonteCarlo!$B$6*_xlfn.NORM.S.DIST(-((LN(MonteCarlo!$B$6/MonteCarlo!$B$5)+(MonteCarlo!$B$9+(AD$1^2)/2)*$A9)/(AD$1*SQRT($A9))),TRUE)),"")</f>
        <v/>
      </c>
      <c r="AE9" t="str">
        <f>IFERROR(IF(OR(MonteCarlo!$B$4="C",MonteCarlo!$B$4="c"),MonteCarlo!$B$6*_xlfn.NORM.S.DIST((LN(MonteCarlo!$B$6/MonteCarlo!$B$5)+(MonteCarlo!$B$9+(AE$1^2)/2)*$A9)/(AE$1*SQRT($A9)),TRUE)-MonteCarlo!$B$5*EXP(-MonteCarlo!$B$9*$A9)*_xlfn.NORM.S.DIST(((LN(MonteCarlo!$B$6/MonteCarlo!$B$5)+(MonteCarlo!$B$9+(AE$1^2)/2)*$A9)/(AE$1*SQRT($A9)))-(AE$1*SQRT($A9)),TRUE),MonteCarlo!$B$5*EXP(-MonteCarlo!$B$9*$A9)*_xlfn.NORM.S.DIST(-(((LN(MonteCarlo!$B$6/MonteCarlo!$B$5)+(MonteCarlo!$B$9+(AE$1^2)/2)*$A9)/(AE$1*SQRT($A9)))-(AE$1*SQRT($A9))),TRUE)-MonteCarlo!$B$6*_xlfn.NORM.S.DIST(-((LN(MonteCarlo!$B$6/MonteCarlo!$B$5)+(MonteCarlo!$B$9+(AE$1^2)/2)*$A9)/(AE$1*SQRT($A9))),TRUE)),"")</f>
        <v/>
      </c>
      <c r="AF9" t="str">
        <f>IFERROR(IF(OR(MonteCarlo!$B$4="C",MonteCarlo!$B$4="c"),MonteCarlo!$B$6*_xlfn.NORM.S.DIST((LN(MonteCarlo!$B$6/MonteCarlo!$B$5)+(MonteCarlo!$B$9+(AF$1^2)/2)*$A9)/(AF$1*SQRT($A9)),TRUE)-MonteCarlo!$B$5*EXP(-MonteCarlo!$B$9*$A9)*_xlfn.NORM.S.DIST(((LN(MonteCarlo!$B$6/MonteCarlo!$B$5)+(MonteCarlo!$B$9+(AF$1^2)/2)*$A9)/(AF$1*SQRT($A9)))-(AF$1*SQRT($A9)),TRUE),MonteCarlo!$B$5*EXP(-MonteCarlo!$B$9*$A9)*_xlfn.NORM.S.DIST(-(((LN(MonteCarlo!$B$6/MonteCarlo!$B$5)+(MonteCarlo!$B$9+(AF$1^2)/2)*$A9)/(AF$1*SQRT($A9)))-(AF$1*SQRT($A9))),TRUE)-MonteCarlo!$B$6*_xlfn.NORM.S.DIST(-((LN(MonteCarlo!$B$6/MonteCarlo!$B$5)+(MonteCarlo!$B$9+(AF$1^2)/2)*$A9)/(AF$1*SQRT($A9))),TRUE)),"")</f>
        <v/>
      </c>
    </row>
    <row r="10" spans="2:32" x14ac:dyDescent="0.25">
      <c r="B10" t="str">
        <f>IFERROR(IF(OR(MonteCarlo!$B$4="C",MonteCarlo!$B$4="c"),MonteCarlo!$B$6*_xlfn.NORM.S.DIST((LN(MonteCarlo!$B$6/MonteCarlo!$B$5)+(MonteCarlo!$B$9+(B$1^2)/2)*$A10)/(B$1*SQRT($A10)),TRUE)-MonteCarlo!$B$5*EXP(-MonteCarlo!$B$9*$A10)*_xlfn.NORM.S.DIST(((LN(MonteCarlo!$B$6/MonteCarlo!$B$5)+(MonteCarlo!$B$9+(B$1^2)/2)*$A10)/(B$1*SQRT($A10)))-(B$1*SQRT($A10)),TRUE),MonteCarlo!$B$5*EXP(-MonteCarlo!$B$9*$A10)*_xlfn.NORM.S.DIST(-(((LN(MonteCarlo!$B$6/MonteCarlo!$B$5)+(MonteCarlo!$B$9+(B$1^2)/2)*$A10)/(B$1*SQRT($A10)))-(B$1*SQRT($A10))),TRUE)-MonteCarlo!$B$6*_xlfn.NORM.S.DIST(-((LN(MonteCarlo!$B$6/MonteCarlo!$B$5)+(MonteCarlo!$B$9+(B$1^2)/2)*$A10)/(B$1*SQRT($A10))),TRUE)),"")</f>
        <v/>
      </c>
      <c r="C10" t="str">
        <f>IFERROR(IF(OR(MonteCarlo!$B$4="C",MonteCarlo!$B$4="c"),MonteCarlo!$B$6*_xlfn.NORM.S.DIST((LN(MonteCarlo!$B$6/MonteCarlo!$B$5)+(MonteCarlo!$B$9+(C$1^2)/2)*$A10)/(C$1*SQRT($A10)),TRUE)-MonteCarlo!$B$5*EXP(-MonteCarlo!$B$9*$A10)*_xlfn.NORM.S.DIST(((LN(MonteCarlo!$B$6/MonteCarlo!$B$5)+(MonteCarlo!$B$9+(C$1^2)/2)*$A10)/(C$1*SQRT($A10)))-(C$1*SQRT($A10)),TRUE),MonteCarlo!$B$5*EXP(-MonteCarlo!$B$9*$A10)*_xlfn.NORM.S.DIST(-(((LN(MonteCarlo!$B$6/MonteCarlo!$B$5)+(MonteCarlo!$B$9+(C$1^2)/2)*$A10)/(C$1*SQRT($A10)))-(C$1*SQRT($A10))),TRUE)-MonteCarlo!$B$6*_xlfn.NORM.S.DIST(-((LN(MonteCarlo!$B$6/MonteCarlo!$B$5)+(MonteCarlo!$B$9+(C$1^2)/2)*$A10)/(C$1*SQRT($A10))),TRUE)),"")</f>
        <v/>
      </c>
      <c r="D10" t="str">
        <f>IFERROR(IF(OR(MonteCarlo!$B$4="C",MonteCarlo!$B$4="c"),MonteCarlo!$B$6*_xlfn.NORM.S.DIST((LN(MonteCarlo!$B$6/MonteCarlo!$B$5)+(MonteCarlo!$B$9+(D$1^2)/2)*$A10)/(D$1*SQRT($A10)),TRUE)-MonteCarlo!$B$5*EXP(-MonteCarlo!$B$9*$A10)*_xlfn.NORM.S.DIST(((LN(MonteCarlo!$B$6/MonteCarlo!$B$5)+(MonteCarlo!$B$9+(D$1^2)/2)*$A10)/(D$1*SQRT($A10)))-(D$1*SQRT($A10)),TRUE),MonteCarlo!$B$5*EXP(-MonteCarlo!$B$9*$A10)*_xlfn.NORM.S.DIST(-(((LN(MonteCarlo!$B$6/MonteCarlo!$B$5)+(MonteCarlo!$B$9+(D$1^2)/2)*$A10)/(D$1*SQRT($A10)))-(D$1*SQRT($A10))),TRUE)-MonteCarlo!$B$6*_xlfn.NORM.S.DIST(-((LN(MonteCarlo!$B$6/MonteCarlo!$B$5)+(MonteCarlo!$B$9+(D$1^2)/2)*$A10)/(D$1*SQRT($A10))),TRUE)),"")</f>
        <v/>
      </c>
      <c r="E10" t="str">
        <f>IFERROR(IF(OR(MonteCarlo!$B$4="C",MonteCarlo!$B$4="c"),MonteCarlo!$B$6*_xlfn.NORM.S.DIST((LN(MonteCarlo!$B$6/MonteCarlo!$B$5)+(MonteCarlo!$B$9+(E$1^2)/2)*$A10)/(E$1*SQRT($A10)),TRUE)-MonteCarlo!$B$5*EXP(-MonteCarlo!$B$9*$A10)*_xlfn.NORM.S.DIST(((LN(MonteCarlo!$B$6/MonteCarlo!$B$5)+(MonteCarlo!$B$9+(E$1^2)/2)*$A10)/(E$1*SQRT($A10)))-(E$1*SQRT($A10)),TRUE),MonteCarlo!$B$5*EXP(-MonteCarlo!$B$9*$A10)*_xlfn.NORM.S.DIST(-(((LN(MonteCarlo!$B$6/MonteCarlo!$B$5)+(MonteCarlo!$B$9+(E$1^2)/2)*$A10)/(E$1*SQRT($A10)))-(E$1*SQRT($A10))),TRUE)-MonteCarlo!$B$6*_xlfn.NORM.S.DIST(-((LN(MonteCarlo!$B$6/MonteCarlo!$B$5)+(MonteCarlo!$B$9+(E$1^2)/2)*$A10)/(E$1*SQRT($A10))),TRUE)),"")</f>
        <v/>
      </c>
      <c r="F10" t="str">
        <f>IFERROR(IF(OR(MonteCarlo!$B$4="C",MonteCarlo!$B$4="c"),MonteCarlo!$B$6*_xlfn.NORM.S.DIST((LN(MonteCarlo!$B$6/MonteCarlo!$B$5)+(MonteCarlo!$B$9+(F$1^2)/2)*$A10)/(F$1*SQRT($A10)),TRUE)-MonteCarlo!$B$5*EXP(-MonteCarlo!$B$9*$A10)*_xlfn.NORM.S.DIST(((LN(MonteCarlo!$B$6/MonteCarlo!$B$5)+(MonteCarlo!$B$9+(F$1^2)/2)*$A10)/(F$1*SQRT($A10)))-(F$1*SQRT($A10)),TRUE),MonteCarlo!$B$5*EXP(-MonteCarlo!$B$9*$A10)*_xlfn.NORM.S.DIST(-(((LN(MonteCarlo!$B$6/MonteCarlo!$B$5)+(MonteCarlo!$B$9+(F$1^2)/2)*$A10)/(F$1*SQRT($A10)))-(F$1*SQRT($A10))),TRUE)-MonteCarlo!$B$6*_xlfn.NORM.S.DIST(-((LN(MonteCarlo!$B$6/MonteCarlo!$B$5)+(MonteCarlo!$B$9+(F$1^2)/2)*$A10)/(F$1*SQRT($A10))),TRUE)),"")</f>
        <v/>
      </c>
      <c r="G10" t="str">
        <f>IFERROR(IF(OR(MonteCarlo!$B$4="C",MonteCarlo!$B$4="c"),MonteCarlo!$B$6*_xlfn.NORM.S.DIST((LN(MonteCarlo!$B$6/MonteCarlo!$B$5)+(MonteCarlo!$B$9+(G$1^2)/2)*$A10)/(G$1*SQRT($A10)),TRUE)-MonteCarlo!$B$5*EXP(-MonteCarlo!$B$9*$A10)*_xlfn.NORM.S.DIST(((LN(MonteCarlo!$B$6/MonteCarlo!$B$5)+(MonteCarlo!$B$9+(G$1^2)/2)*$A10)/(G$1*SQRT($A10)))-(G$1*SQRT($A10)),TRUE),MonteCarlo!$B$5*EXP(-MonteCarlo!$B$9*$A10)*_xlfn.NORM.S.DIST(-(((LN(MonteCarlo!$B$6/MonteCarlo!$B$5)+(MonteCarlo!$B$9+(G$1^2)/2)*$A10)/(G$1*SQRT($A10)))-(G$1*SQRT($A10))),TRUE)-MonteCarlo!$B$6*_xlfn.NORM.S.DIST(-((LN(MonteCarlo!$B$6/MonteCarlo!$B$5)+(MonteCarlo!$B$9+(G$1^2)/2)*$A10)/(G$1*SQRT($A10))),TRUE)),"")</f>
        <v/>
      </c>
      <c r="H10" t="str">
        <f>IFERROR(IF(OR(MonteCarlo!$B$4="C",MonteCarlo!$B$4="c"),MonteCarlo!$B$6*_xlfn.NORM.S.DIST((LN(MonteCarlo!$B$6/MonteCarlo!$B$5)+(MonteCarlo!$B$9+(H$1^2)/2)*$A10)/(H$1*SQRT($A10)),TRUE)-MonteCarlo!$B$5*EXP(-MonteCarlo!$B$9*$A10)*_xlfn.NORM.S.DIST(((LN(MonteCarlo!$B$6/MonteCarlo!$B$5)+(MonteCarlo!$B$9+(H$1^2)/2)*$A10)/(H$1*SQRT($A10)))-(H$1*SQRT($A10)),TRUE),MonteCarlo!$B$5*EXP(-MonteCarlo!$B$9*$A10)*_xlfn.NORM.S.DIST(-(((LN(MonteCarlo!$B$6/MonteCarlo!$B$5)+(MonteCarlo!$B$9+(H$1^2)/2)*$A10)/(H$1*SQRT($A10)))-(H$1*SQRT($A10))),TRUE)-MonteCarlo!$B$6*_xlfn.NORM.S.DIST(-((LN(MonteCarlo!$B$6/MonteCarlo!$B$5)+(MonteCarlo!$B$9+(H$1^2)/2)*$A10)/(H$1*SQRT($A10))),TRUE)),"")</f>
        <v/>
      </c>
      <c r="I10" t="str">
        <f>IFERROR(IF(OR(MonteCarlo!$B$4="C",MonteCarlo!$B$4="c"),MonteCarlo!$B$6*_xlfn.NORM.S.DIST((LN(MonteCarlo!$B$6/MonteCarlo!$B$5)+(MonteCarlo!$B$9+(I$1^2)/2)*$A10)/(I$1*SQRT($A10)),TRUE)-MonteCarlo!$B$5*EXP(-MonteCarlo!$B$9*$A10)*_xlfn.NORM.S.DIST(((LN(MonteCarlo!$B$6/MonteCarlo!$B$5)+(MonteCarlo!$B$9+(I$1^2)/2)*$A10)/(I$1*SQRT($A10)))-(I$1*SQRT($A10)),TRUE),MonteCarlo!$B$5*EXP(-MonteCarlo!$B$9*$A10)*_xlfn.NORM.S.DIST(-(((LN(MonteCarlo!$B$6/MonteCarlo!$B$5)+(MonteCarlo!$B$9+(I$1^2)/2)*$A10)/(I$1*SQRT($A10)))-(I$1*SQRT($A10))),TRUE)-MonteCarlo!$B$6*_xlfn.NORM.S.DIST(-((LN(MonteCarlo!$B$6/MonteCarlo!$B$5)+(MonteCarlo!$B$9+(I$1^2)/2)*$A10)/(I$1*SQRT($A10))),TRUE)),"")</f>
        <v/>
      </c>
      <c r="J10" t="str">
        <f>IFERROR(IF(OR(MonteCarlo!$B$4="C",MonteCarlo!$B$4="c"),MonteCarlo!$B$6*_xlfn.NORM.S.DIST((LN(MonteCarlo!$B$6/MonteCarlo!$B$5)+(MonteCarlo!$B$9+(J$1^2)/2)*$A10)/(J$1*SQRT($A10)),TRUE)-MonteCarlo!$B$5*EXP(-MonteCarlo!$B$9*$A10)*_xlfn.NORM.S.DIST(((LN(MonteCarlo!$B$6/MonteCarlo!$B$5)+(MonteCarlo!$B$9+(J$1^2)/2)*$A10)/(J$1*SQRT($A10)))-(J$1*SQRT($A10)),TRUE),MonteCarlo!$B$5*EXP(-MonteCarlo!$B$9*$A10)*_xlfn.NORM.S.DIST(-(((LN(MonteCarlo!$B$6/MonteCarlo!$B$5)+(MonteCarlo!$B$9+(J$1^2)/2)*$A10)/(J$1*SQRT($A10)))-(J$1*SQRT($A10))),TRUE)-MonteCarlo!$B$6*_xlfn.NORM.S.DIST(-((LN(MonteCarlo!$B$6/MonteCarlo!$B$5)+(MonteCarlo!$B$9+(J$1^2)/2)*$A10)/(J$1*SQRT($A10))),TRUE)),"")</f>
        <v/>
      </c>
      <c r="K10" t="str">
        <f>IFERROR(IF(OR(MonteCarlo!$B$4="C",MonteCarlo!$B$4="c"),MonteCarlo!$B$6*_xlfn.NORM.S.DIST((LN(MonteCarlo!$B$6/MonteCarlo!$B$5)+(MonteCarlo!$B$9+(K$1^2)/2)*$A10)/(K$1*SQRT($A10)),TRUE)-MonteCarlo!$B$5*EXP(-MonteCarlo!$B$9*$A10)*_xlfn.NORM.S.DIST(((LN(MonteCarlo!$B$6/MonteCarlo!$B$5)+(MonteCarlo!$B$9+(K$1^2)/2)*$A10)/(K$1*SQRT($A10)))-(K$1*SQRT($A10)),TRUE),MonteCarlo!$B$5*EXP(-MonteCarlo!$B$9*$A10)*_xlfn.NORM.S.DIST(-(((LN(MonteCarlo!$B$6/MonteCarlo!$B$5)+(MonteCarlo!$B$9+(K$1^2)/2)*$A10)/(K$1*SQRT($A10)))-(K$1*SQRT($A10))),TRUE)-MonteCarlo!$B$6*_xlfn.NORM.S.DIST(-((LN(MonteCarlo!$B$6/MonteCarlo!$B$5)+(MonteCarlo!$B$9+(K$1^2)/2)*$A10)/(K$1*SQRT($A10))),TRUE)),"")</f>
        <v/>
      </c>
      <c r="L10" t="str">
        <f>IFERROR(IF(OR(MonteCarlo!$B$4="C",MonteCarlo!$B$4="c"),MonteCarlo!$B$6*_xlfn.NORM.S.DIST((LN(MonteCarlo!$B$6/MonteCarlo!$B$5)+(MonteCarlo!$B$9+(L$1^2)/2)*$A10)/(L$1*SQRT($A10)),TRUE)-MonteCarlo!$B$5*EXP(-MonteCarlo!$B$9*$A10)*_xlfn.NORM.S.DIST(((LN(MonteCarlo!$B$6/MonteCarlo!$B$5)+(MonteCarlo!$B$9+(L$1^2)/2)*$A10)/(L$1*SQRT($A10)))-(L$1*SQRT($A10)),TRUE),MonteCarlo!$B$5*EXP(-MonteCarlo!$B$9*$A10)*_xlfn.NORM.S.DIST(-(((LN(MonteCarlo!$B$6/MonteCarlo!$B$5)+(MonteCarlo!$B$9+(L$1^2)/2)*$A10)/(L$1*SQRT($A10)))-(L$1*SQRT($A10))),TRUE)-MonteCarlo!$B$6*_xlfn.NORM.S.DIST(-((LN(MonteCarlo!$B$6/MonteCarlo!$B$5)+(MonteCarlo!$B$9+(L$1^2)/2)*$A10)/(L$1*SQRT($A10))),TRUE)),"")</f>
        <v/>
      </c>
      <c r="M10" t="str">
        <f>IFERROR(IF(OR(MonteCarlo!$B$4="C",MonteCarlo!$B$4="c"),MonteCarlo!$B$6*_xlfn.NORM.S.DIST((LN(MonteCarlo!$B$6/MonteCarlo!$B$5)+(MonteCarlo!$B$9+(M$1^2)/2)*$A10)/(M$1*SQRT($A10)),TRUE)-MonteCarlo!$B$5*EXP(-MonteCarlo!$B$9*$A10)*_xlfn.NORM.S.DIST(((LN(MonteCarlo!$B$6/MonteCarlo!$B$5)+(MonteCarlo!$B$9+(M$1^2)/2)*$A10)/(M$1*SQRT($A10)))-(M$1*SQRT($A10)),TRUE),MonteCarlo!$B$5*EXP(-MonteCarlo!$B$9*$A10)*_xlfn.NORM.S.DIST(-(((LN(MonteCarlo!$B$6/MonteCarlo!$B$5)+(MonteCarlo!$B$9+(M$1^2)/2)*$A10)/(M$1*SQRT($A10)))-(M$1*SQRT($A10))),TRUE)-MonteCarlo!$B$6*_xlfn.NORM.S.DIST(-((LN(MonteCarlo!$B$6/MonteCarlo!$B$5)+(MonteCarlo!$B$9+(M$1^2)/2)*$A10)/(M$1*SQRT($A10))),TRUE)),"")</f>
        <v/>
      </c>
      <c r="N10" t="str">
        <f>IFERROR(IF(OR(MonteCarlo!$B$4="C",MonteCarlo!$B$4="c"),MonteCarlo!$B$6*_xlfn.NORM.S.DIST((LN(MonteCarlo!$B$6/MonteCarlo!$B$5)+(MonteCarlo!$B$9+(N$1^2)/2)*$A10)/(N$1*SQRT($A10)),TRUE)-MonteCarlo!$B$5*EXP(-MonteCarlo!$B$9*$A10)*_xlfn.NORM.S.DIST(((LN(MonteCarlo!$B$6/MonteCarlo!$B$5)+(MonteCarlo!$B$9+(N$1^2)/2)*$A10)/(N$1*SQRT($A10)))-(N$1*SQRT($A10)),TRUE),MonteCarlo!$B$5*EXP(-MonteCarlo!$B$9*$A10)*_xlfn.NORM.S.DIST(-(((LN(MonteCarlo!$B$6/MonteCarlo!$B$5)+(MonteCarlo!$B$9+(N$1^2)/2)*$A10)/(N$1*SQRT($A10)))-(N$1*SQRT($A10))),TRUE)-MonteCarlo!$B$6*_xlfn.NORM.S.DIST(-((LN(MonteCarlo!$B$6/MonteCarlo!$B$5)+(MonteCarlo!$B$9+(N$1^2)/2)*$A10)/(N$1*SQRT($A10))),TRUE)),"")</f>
        <v/>
      </c>
      <c r="O10" t="str">
        <f>IFERROR(IF(OR(MonteCarlo!$B$4="C",MonteCarlo!$B$4="c"),MonteCarlo!$B$6*_xlfn.NORM.S.DIST((LN(MonteCarlo!$B$6/MonteCarlo!$B$5)+(MonteCarlo!$B$9+(O$1^2)/2)*$A10)/(O$1*SQRT($A10)),TRUE)-MonteCarlo!$B$5*EXP(-MonteCarlo!$B$9*$A10)*_xlfn.NORM.S.DIST(((LN(MonteCarlo!$B$6/MonteCarlo!$B$5)+(MonteCarlo!$B$9+(O$1^2)/2)*$A10)/(O$1*SQRT($A10)))-(O$1*SQRT($A10)),TRUE),MonteCarlo!$B$5*EXP(-MonteCarlo!$B$9*$A10)*_xlfn.NORM.S.DIST(-(((LN(MonteCarlo!$B$6/MonteCarlo!$B$5)+(MonteCarlo!$B$9+(O$1^2)/2)*$A10)/(O$1*SQRT($A10)))-(O$1*SQRT($A10))),TRUE)-MonteCarlo!$B$6*_xlfn.NORM.S.DIST(-((LN(MonteCarlo!$B$6/MonteCarlo!$B$5)+(MonteCarlo!$B$9+(O$1^2)/2)*$A10)/(O$1*SQRT($A10))),TRUE)),"")</f>
        <v/>
      </c>
      <c r="P10" t="str">
        <f>IFERROR(IF(OR(MonteCarlo!$B$4="C",MonteCarlo!$B$4="c"),MonteCarlo!$B$6*_xlfn.NORM.S.DIST((LN(MonteCarlo!$B$6/MonteCarlo!$B$5)+(MonteCarlo!$B$9+(P$1^2)/2)*$A10)/(P$1*SQRT($A10)),TRUE)-MonteCarlo!$B$5*EXP(-MonteCarlo!$B$9*$A10)*_xlfn.NORM.S.DIST(((LN(MonteCarlo!$B$6/MonteCarlo!$B$5)+(MonteCarlo!$B$9+(P$1^2)/2)*$A10)/(P$1*SQRT($A10)))-(P$1*SQRT($A10)),TRUE),MonteCarlo!$B$5*EXP(-MonteCarlo!$B$9*$A10)*_xlfn.NORM.S.DIST(-(((LN(MonteCarlo!$B$6/MonteCarlo!$B$5)+(MonteCarlo!$B$9+(P$1^2)/2)*$A10)/(P$1*SQRT($A10)))-(P$1*SQRT($A10))),TRUE)-MonteCarlo!$B$6*_xlfn.NORM.S.DIST(-((LN(MonteCarlo!$B$6/MonteCarlo!$B$5)+(MonteCarlo!$B$9+(P$1^2)/2)*$A10)/(P$1*SQRT($A10))),TRUE)),"")</f>
        <v/>
      </c>
      <c r="Q10" t="str">
        <f>IFERROR(IF(OR(MonteCarlo!$B$4="C",MonteCarlo!$B$4="c"),MonteCarlo!$B$6*_xlfn.NORM.S.DIST((LN(MonteCarlo!$B$6/MonteCarlo!$B$5)+(MonteCarlo!$B$9+(Q$1^2)/2)*$A10)/(Q$1*SQRT($A10)),TRUE)-MonteCarlo!$B$5*EXP(-MonteCarlo!$B$9*$A10)*_xlfn.NORM.S.DIST(((LN(MonteCarlo!$B$6/MonteCarlo!$B$5)+(MonteCarlo!$B$9+(Q$1^2)/2)*$A10)/(Q$1*SQRT($A10)))-(Q$1*SQRT($A10)),TRUE),MonteCarlo!$B$5*EXP(-MonteCarlo!$B$9*$A10)*_xlfn.NORM.S.DIST(-(((LN(MonteCarlo!$B$6/MonteCarlo!$B$5)+(MonteCarlo!$B$9+(Q$1^2)/2)*$A10)/(Q$1*SQRT($A10)))-(Q$1*SQRT($A10))),TRUE)-MonteCarlo!$B$6*_xlfn.NORM.S.DIST(-((LN(MonteCarlo!$B$6/MonteCarlo!$B$5)+(MonteCarlo!$B$9+(Q$1^2)/2)*$A10)/(Q$1*SQRT($A10))),TRUE)),"")</f>
        <v/>
      </c>
      <c r="R10" t="str">
        <f>IFERROR(IF(OR(MonteCarlo!$B$4="C",MonteCarlo!$B$4="c"),MonteCarlo!$B$6*_xlfn.NORM.S.DIST((LN(MonteCarlo!$B$6/MonteCarlo!$B$5)+(MonteCarlo!$B$9+(R$1^2)/2)*$A10)/(R$1*SQRT($A10)),TRUE)-MonteCarlo!$B$5*EXP(-MonteCarlo!$B$9*$A10)*_xlfn.NORM.S.DIST(((LN(MonteCarlo!$B$6/MonteCarlo!$B$5)+(MonteCarlo!$B$9+(R$1^2)/2)*$A10)/(R$1*SQRT($A10)))-(R$1*SQRT($A10)),TRUE),MonteCarlo!$B$5*EXP(-MonteCarlo!$B$9*$A10)*_xlfn.NORM.S.DIST(-(((LN(MonteCarlo!$B$6/MonteCarlo!$B$5)+(MonteCarlo!$B$9+(R$1^2)/2)*$A10)/(R$1*SQRT($A10)))-(R$1*SQRT($A10))),TRUE)-MonteCarlo!$B$6*_xlfn.NORM.S.DIST(-((LN(MonteCarlo!$B$6/MonteCarlo!$B$5)+(MonteCarlo!$B$9+(R$1^2)/2)*$A10)/(R$1*SQRT($A10))),TRUE)),"")</f>
        <v/>
      </c>
      <c r="S10" t="str">
        <f>IFERROR(IF(OR(MonteCarlo!$B$4="C",MonteCarlo!$B$4="c"),MonteCarlo!$B$6*_xlfn.NORM.S.DIST((LN(MonteCarlo!$B$6/MonteCarlo!$B$5)+(MonteCarlo!$B$9+(S$1^2)/2)*$A10)/(S$1*SQRT($A10)),TRUE)-MonteCarlo!$B$5*EXP(-MonteCarlo!$B$9*$A10)*_xlfn.NORM.S.DIST(((LN(MonteCarlo!$B$6/MonteCarlo!$B$5)+(MonteCarlo!$B$9+(S$1^2)/2)*$A10)/(S$1*SQRT($A10)))-(S$1*SQRT($A10)),TRUE),MonteCarlo!$B$5*EXP(-MonteCarlo!$B$9*$A10)*_xlfn.NORM.S.DIST(-(((LN(MonteCarlo!$B$6/MonteCarlo!$B$5)+(MonteCarlo!$B$9+(S$1^2)/2)*$A10)/(S$1*SQRT($A10)))-(S$1*SQRT($A10))),TRUE)-MonteCarlo!$B$6*_xlfn.NORM.S.DIST(-((LN(MonteCarlo!$B$6/MonteCarlo!$B$5)+(MonteCarlo!$B$9+(S$1^2)/2)*$A10)/(S$1*SQRT($A10))),TRUE)),"")</f>
        <v/>
      </c>
      <c r="T10" t="str">
        <f>IFERROR(IF(OR(MonteCarlo!$B$4="C",MonteCarlo!$B$4="c"),MonteCarlo!$B$6*_xlfn.NORM.S.DIST((LN(MonteCarlo!$B$6/MonteCarlo!$B$5)+(MonteCarlo!$B$9+(T$1^2)/2)*$A10)/(T$1*SQRT($A10)),TRUE)-MonteCarlo!$B$5*EXP(-MonteCarlo!$B$9*$A10)*_xlfn.NORM.S.DIST(((LN(MonteCarlo!$B$6/MonteCarlo!$B$5)+(MonteCarlo!$B$9+(T$1^2)/2)*$A10)/(T$1*SQRT($A10)))-(T$1*SQRT($A10)),TRUE),MonteCarlo!$B$5*EXP(-MonteCarlo!$B$9*$A10)*_xlfn.NORM.S.DIST(-(((LN(MonteCarlo!$B$6/MonteCarlo!$B$5)+(MonteCarlo!$B$9+(T$1^2)/2)*$A10)/(T$1*SQRT($A10)))-(T$1*SQRT($A10))),TRUE)-MonteCarlo!$B$6*_xlfn.NORM.S.DIST(-((LN(MonteCarlo!$B$6/MonteCarlo!$B$5)+(MonteCarlo!$B$9+(T$1^2)/2)*$A10)/(T$1*SQRT($A10))),TRUE)),"")</f>
        <v/>
      </c>
      <c r="U10" t="str">
        <f>IFERROR(IF(OR(MonteCarlo!$B$4="C",MonteCarlo!$B$4="c"),MonteCarlo!$B$6*_xlfn.NORM.S.DIST((LN(MonteCarlo!$B$6/MonteCarlo!$B$5)+(MonteCarlo!$B$9+(U$1^2)/2)*$A10)/(U$1*SQRT($A10)),TRUE)-MonteCarlo!$B$5*EXP(-MonteCarlo!$B$9*$A10)*_xlfn.NORM.S.DIST(((LN(MonteCarlo!$B$6/MonteCarlo!$B$5)+(MonteCarlo!$B$9+(U$1^2)/2)*$A10)/(U$1*SQRT($A10)))-(U$1*SQRT($A10)),TRUE),MonteCarlo!$B$5*EXP(-MonteCarlo!$B$9*$A10)*_xlfn.NORM.S.DIST(-(((LN(MonteCarlo!$B$6/MonteCarlo!$B$5)+(MonteCarlo!$B$9+(U$1^2)/2)*$A10)/(U$1*SQRT($A10)))-(U$1*SQRT($A10))),TRUE)-MonteCarlo!$B$6*_xlfn.NORM.S.DIST(-((LN(MonteCarlo!$B$6/MonteCarlo!$B$5)+(MonteCarlo!$B$9+(U$1^2)/2)*$A10)/(U$1*SQRT($A10))),TRUE)),"")</f>
        <v/>
      </c>
      <c r="V10" t="str">
        <f>IFERROR(IF(OR(MonteCarlo!$B$4="C",MonteCarlo!$B$4="c"),MonteCarlo!$B$6*_xlfn.NORM.S.DIST((LN(MonteCarlo!$B$6/MonteCarlo!$B$5)+(MonteCarlo!$B$9+(V$1^2)/2)*$A10)/(V$1*SQRT($A10)),TRUE)-MonteCarlo!$B$5*EXP(-MonteCarlo!$B$9*$A10)*_xlfn.NORM.S.DIST(((LN(MonteCarlo!$B$6/MonteCarlo!$B$5)+(MonteCarlo!$B$9+(V$1^2)/2)*$A10)/(V$1*SQRT($A10)))-(V$1*SQRT($A10)),TRUE),MonteCarlo!$B$5*EXP(-MonteCarlo!$B$9*$A10)*_xlfn.NORM.S.DIST(-(((LN(MonteCarlo!$B$6/MonteCarlo!$B$5)+(MonteCarlo!$B$9+(V$1^2)/2)*$A10)/(V$1*SQRT($A10)))-(V$1*SQRT($A10))),TRUE)-MonteCarlo!$B$6*_xlfn.NORM.S.DIST(-((LN(MonteCarlo!$B$6/MonteCarlo!$B$5)+(MonteCarlo!$B$9+(V$1^2)/2)*$A10)/(V$1*SQRT($A10))),TRUE)),"")</f>
        <v/>
      </c>
      <c r="W10" t="str">
        <f>IFERROR(IF(OR(MonteCarlo!$B$4="C",MonteCarlo!$B$4="c"),MonteCarlo!$B$6*_xlfn.NORM.S.DIST((LN(MonteCarlo!$B$6/MonteCarlo!$B$5)+(MonteCarlo!$B$9+(W$1^2)/2)*$A10)/(W$1*SQRT($A10)),TRUE)-MonteCarlo!$B$5*EXP(-MonteCarlo!$B$9*$A10)*_xlfn.NORM.S.DIST(((LN(MonteCarlo!$B$6/MonteCarlo!$B$5)+(MonteCarlo!$B$9+(W$1^2)/2)*$A10)/(W$1*SQRT($A10)))-(W$1*SQRT($A10)),TRUE),MonteCarlo!$B$5*EXP(-MonteCarlo!$B$9*$A10)*_xlfn.NORM.S.DIST(-(((LN(MonteCarlo!$B$6/MonteCarlo!$B$5)+(MonteCarlo!$B$9+(W$1^2)/2)*$A10)/(W$1*SQRT($A10)))-(W$1*SQRT($A10))),TRUE)-MonteCarlo!$B$6*_xlfn.NORM.S.DIST(-((LN(MonteCarlo!$B$6/MonteCarlo!$B$5)+(MonteCarlo!$B$9+(W$1^2)/2)*$A10)/(W$1*SQRT($A10))),TRUE)),"")</f>
        <v/>
      </c>
      <c r="X10" t="str">
        <f>IFERROR(IF(OR(MonteCarlo!$B$4="C",MonteCarlo!$B$4="c"),MonteCarlo!$B$6*_xlfn.NORM.S.DIST((LN(MonteCarlo!$B$6/MonteCarlo!$B$5)+(MonteCarlo!$B$9+(X$1^2)/2)*$A10)/(X$1*SQRT($A10)),TRUE)-MonteCarlo!$B$5*EXP(-MonteCarlo!$B$9*$A10)*_xlfn.NORM.S.DIST(((LN(MonteCarlo!$B$6/MonteCarlo!$B$5)+(MonteCarlo!$B$9+(X$1^2)/2)*$A10)/(X$1*SQRT($A10)))-(X$1*SQRT($A10)),TRUE),MonteCarlo!$B$5*EXP(-MonteCarlo!$B$9*$A10)*_xlfn.NORM.S.DIST(-(((LN(MonteCarlo!$B$6/MonteCarlo!$B$5)+(MonteCarlo!$B$9+(X$1^2)/2)*$A10)/(X$1*SQRT($A10)))-(X$1*SQRT($A10))),TRUE)-MonteCarlo!$B$6*_xlfn.NORM.S.DIST(-((LN(MonteCarlo!$B$6/MonteCarlo!$B$5)+(MonteCarlo!$B$9+(X$1^2)/2)*$A10)/(X$1*SQRT($A10))),TRUE)),"")</f>
        <v/>
      </c>
      <c r="Y10" t="str">
        <f>IFERROR(IF(OR(MonteCarlo!$B$4="C",MonteCarlo!$B$4="c"),MonteCarlo!$B$6*_xlfn.NORM.S.DIST((LN(MonteCarlo!$B$6/MonteCarlo!$B$5)+(MonteCarlo!$B$9+(Y$1^2)/2)*$A10)/(Y$1*SQRT($A10)),TRUE)-MonteCarlo!$B$5*EXP(-MonteCarlo!$B$9*$A10)*_xlfn.NORM.S.DIST(((LN(MonteCarlo!$B$6/MonteCarlo!$B$5)+(MonteCarlo!$B$9+(Y$1^2)/2)*$A10)/(Y$1*SQRT($A10)))-(Y$1*SQRT($A10)),TRUE),MonteCarlo!$B$5*EXP(-MonteCarlo!$B$9*$A10)*_xlfn.NORM.S.DIST(-(((LN(MonteCarlo!$B$6/MonteCarlo!$B$5)+(MonteCarlo!$B$9+(Y$1^2)/2)*$A10)/(Y$1*SQRT($A10)))-(Y$1*SQRT($A10))),TRUE)-MonteCarlo!$B$6*_xlfn.NORM.S.DIST(-((LN(MonteCarlo!$B$6/MonteCarlo!$B$5)+(MonteCarlo!$B$9+(Y$1^2)/2)*$A10)/(Y$1*SQRT($A10))),TRUE)),"")</f>
        <v/>
      </c>
      <c r="Z10" t="str">
        <f>IFERROR(IF(OR(MonteCarlo!$B$4="C",MonteCarlo!$B$4="c"),MonteCarlo!$B$6*_xlfn.NORM.S.DIST((LN(MonteCarlo!$B$6/MonteCarlo!$B$5)+(MonteCarlo!$B$9+(Z$1^2)/2)*$A10)/(Z$1*SQRT($A10)),TRUE)-MonteCarlo!$B$5*EXP(-MonteCarlo!$B$9*$A10)*_xlfn.NORM.S.DIST(((LN(MonteCarlo!$B$6/MonteCarlo!$B$5)+(MonteCarlo!$B$9+(Z$1^2)/2)*$A10)/(Z$1*SQRT($A10)))-(Z$1*SQRT($A10)),TRUE),MonteCarlo!$B$5*EXP(-MonteCarlo!$B$9*$A10)*_xlfn.NORM.S.DIST(-(((LN(MonteCarlo!$B$6/MonteCarlo!$B$5)+(MonteCarlo!$B$9+(Z$1^2)/2)*$A10)/(Z$1*SQRT($A10)))-(Z$1*SQRT($A10))),TRUE)-MonteCarlo!$B$6*_xlfn.NORM.S.DIST(-((LN(MonteCarlo!$B$6/MonteCarlo!$B$5)+(MonteCarlo!$B$9+(Z$1^2)/2)*$A10)/(Z$1*SQRT($A10))),TRUE)),"")</f>
        <v/>
      </c>
      <c r="AA10" t="str">
        <f>IFERROR(IF(OR(MonteCarlo!$B$4="C",MonteCarlo!$B$4="c"),MonteCarlo!$B$6*_xlfn.NORM.S.DIST((LN(MonteCarlo!$B$6/MonteCarlo!$B$5)+(MonteCarlo!$B$9+(AA$1^2)/2)*$A10)/(AA$1*SQRT($A10)),TRUE)-MonteCarlo!$B$5*EXP(-MonteCarlo!$B$9*$A10)*_xlfn.NORM.S.DIST(((LN(MonteCarlo!$B$6/MonteCarlo!$B$5)+(MonteCarlo!$B$9+(AA$1^2)/2)*$A10)/(AA$1*SQRT($A10)))-(AA$1*SQRT($A10)),TRUE),MonteCarlo!$B$5*EXP(-MonteCarlo!$B$9*$A10)*_xlfn.NORM.S.DIST(-(((LN(MonteCarlo!$B$6/MonteCarlo!$B$5)+(MonteCarlo!$B$9+(AA$1^2)/2)*$A10)/(AA$1*SQRT($A10)))-(AA$1*SQRT($A10))),TRUE)-MonteCarlo!$B$6*_xlfn.NORM.S.DIST(-((LN(MonteCarlo!$B$6/MonteCarlo!$B$5)+(MonteCarlo!$B$9+(AA$1^2)/2)*$A10)/(AA$1*SQRT($A10))),TRUE)),"")</f>
        <v/>
      </c>
      <c r="AB10" t="str">
        <f>IFERROR(IF(OR(MonteCarlo!$B$4="C",MonteCarlo!$B$4="c"),MonteCarlo!$B$6*_xlfn.NORM.S.DIST((LN(MonteCarlo!$B$6/MonteCarlo!$B$5)+(MonteCarlo!$B$9+(AB$1^2)/2)*$A10)/(AB$1*SQRT($A10)),TRUE)-MonteCarlo!$B$5*EXP(-MonteCarlo!$B$9*$A10)*_xlfn.NORM.S.DIST(((LN(MonteCarlo!$B$6/MonteCarlo!$B$5)+(MonteCarlo!$B$9+(AB$1^2)/2)*$A10)/(AB$1*SQRT($A10)))-(AB$1*SQRT($A10)),TRUE),MonteCarlo!$B$5*EXP(-MonteCarlo!$B$9*$A10)*_xlfn.NORM.S.DIST(-(((LN(MonteCarlo!$B$6/MonteCarlo!$B$5)+(MonteCarlo!$B$9+(AB$1^2)/2)*$A10)/(AB$1*SQRT($A10)))-(AB$1*SQRT($A10))),TRUE)-MonteCarlo!$B$6*_xlfn.NORM.S.DIST(-((LN(MonteCarlo!$B$6/MonteCarlo!$B$5)+(MonteCarlo!$B$9+(AB$1^2)/2)*$A10)/(AB$1*SQRT($A10))),TRUE)),"")</f>
        <v/>
      </c>
      <c r="AC10" t="str">
        <f>IFERROR(IF(OR(MonteCarlo!$B$4="C",MonteCarlo!$B$4="c"),MonteCarlo!$B$6*_xlfn.NORM.S.DIST((LN(MonteCarlo!$B$6/MonteCarlo!$B$5)+(MonteCarlo!$B$9+(AC$1^2)/2)*$A10)/(AC$1*SQRT($A10)),TRUE)-MonteCarlo!$B$5*EXP(-MonteCarlo!$B$9*$A10)*_xlfn.NORM.S.DIST(((LN(MonteCarlo!$B$6/MonteCarlo!$B$5)+(MonteCarlo!$B$9+(AC$1^2)/2)*$A10)/(AC$1*SQRT($A10)))-(AC$1*SQRT($A10)),TRUE),MonteCarlo!$B$5*EXP(-MonteCarlo!$B$9*$A10)*_xlfn.NORM.S.DIST(-(((LN(MonteCarlo!$B$6/MonteCarlo!$B$5)+(MonteCarlo!$B$9+(AC$1^2)/2)*$A10)/(AC$1*SQRT($A10)))-(AC$1*SQRT($A10))),TRUE)-MonteCarlo!$B$6*_xlfn.NORM.S.DIST(-((LN(MonteCarlo!$B$6/MonteCarlo!$B$5)+(MonteCarlo!$B$9+(AC$1^2)/2)*$A10)/(AC$1*SQRT($A10))),TRUE)),"")</f>
        <v/>
      </c>
      <c r="AD10" t="str">
        <f>IFERROR(IF(OR(MonteCarlo!$B$4="C",MonteCarlo!$B$4="c"),MonteCarlo!$B$6*_xlfn.NORM.S.DIST((LN(MonteCarlo!$B$6/MonteCarlo!$B$5)+(MonteCarlo!$B$9+(AD$1^2)/2)*$A10)/(AD$1*SQRT($A10)),TRUE)-MonteCarlo!$B$5*EXP(-MonteCarlo!$B$9*$A10)*_xlfn.NORM.S.DIST(((LN(MonteCarlo!$B$6/MonteCarlo!$B$5)+(MonteCarlo!$B$9+(AD$1^2)/2)*$A10)/(AD$1*SQRT($A10)))-(AD$1*SQRT($A10)),TRUE),MonteCarlo!$B$5*EXP(-MonteCarlo!$B$9*$A10)*_xlfn.NORM.S.DIST(-(((LN(MonteCarlo!$B$6/MonteCarlo!$B$5)+(MonteCarlo!$B$9+(AD$1^2)/2)*$A10)/(AD$1*SQRT($A10)))-(AD$1*SQRT($A10))),TRUE)-MonteCarlo!$B$6*_xlfn.NORM.S.DIST(-((LN(MonteCarlo!$B$6/MonteCarlo!$B$5)+(MonteCarlo!$B$9+(AD$1^2)/2)*$A10)/(AD$1*SQRT($A10))),TRUE)),"")</f>
        <v/>
      </c>
      <c r="AE10" t="str">
        <f>IFERROR(IF(OR(MonteCarlo!$B$4="C",MonteCarlo!$B$4="c"),MonteCarlo!$B$6*_xlfn.NORM.S.DIST((LN(MonteCarlo!$B$6/MonteCarlo!$B$5)+(MonteCarlo!$B$9+(AE$1^2)/2)*$A10)/(AE$1*SQRT($A10)),TRUE)-MonteCarlo!$B$5*EXP(-MonteCarlo!$B$9*$A10)*_xlfn.NORM.S.DIST(((LN(MonteCarlo!$B$6/MonteCarlo!$B$5)+(MonteCarlo!$B$9+(AE$1^2)/2)*$A10)/(AE$1*SQRT($A10)))-(AE$1*SQRT($A10)),TRUE),MonteCarlo!$B$5*EXP(-MonteCarlo!$B$9*$A10)*_xlfn.NORM.S.DIST(-(((LN(MonteCarlo!$B$6/MonteCarlo!$B$5)+(MonteCarlo!$B$9+(AE$1^2)/2)*$A10)/(AE$1*SQRT($A10)))-(AE$1*SQRT($A10))),TRUE)-MonteCarlo!$B$6*_xlfn.NORM.S.DIST(-((LN(MonteCarlo!$B$6/MonteCarlo!$B$5)+(MonteCarlo!$B$9+(AE$1^2)/2)*$A10)/(AE$1*SQRT($A10))),TRUE)),"")</f>
        <v/>
      </c>
      <c r="AF10" t="str">
        <f>IFERROR(IF(OR(MonteCarlo!$B$4="C",MonteCarlo!$B$4="c"),MonteCarlo!$B$6*_xlfn.NORM.S.DIST((LN(MonteCarlo!$B$6/MonteCarlo!$B$5)+(MonteCarlo!$B$9+(AF$1^2)/2)*$A10)/(AF$1*SQRT($A10)),TRUE)-MonteCarlo!$B$5*EXP(-MonteCarlo!$B$9*$A10)*_xlfn.NORM.S.DIST(((LN(MonteCarlo!$B$6/MonteCarlo!$B$5)+(MonteCarlo!$B$9+(AF$1^2)/2)*$A10)/(AF$1*SQRT($A10)))-(AF$1*SQRT($A10)),TRUE),MonteCarlo!$B$5*EXP(-MonteCarlo!$B$9*$A10)*_xlfn.NORM.S.DIST(-(((LN(MonteCarlo!$B$6/MonteCarlo!$B$5)+(MonteCarlo!$B$9+(AF$1^2)/2)*$A10)/(AF$1*SQRT($A10)))-(AF$1*SQRT($A10))),TRUE)-MonteCarlo!$B$6*_xlfn.NORM.S.DIST(-((LN(MonteCarlo!$B$6/MonteCarlo!$B$5)+(MonteCarlo!$B$9+(AF$1^2)/2)*$A10)/(AF$1*SQRT($A10))),TRUE)),"")</f>
        <v/>
      </c>
    </row>
    <row r="11" spans="2:32" x14ac:dyDescent="0.25">
      <c r="B11" t="str">
        <f>IFERROR(IF(OR(MonteCarlo!$B$4="C",MonteCarlo!$B$4="c"),MonteCarlo!$B$6*_xlfn.NORM.S.DIST((LN(MonteCarlo!$B$6/MonteCarlo!$B$5)+(MonteCarlo!$B$9+(B$1^2)/2)*$A11)/(B$1*SQRT($A11)),TRUE)-MonteCarlo!$B$5*EXP(-MonteCarlo!$B$9*$A11)*_xlfn.NORM.S.DIST(((LN(MonteCarlo!$B$6/MonteCarlo!$B$5)+(MonteCarlo!$B$9+(B$1^2)/2)*$A11)/(B$1*SQRT($A11)))-(B$1*SQRT($A11)),TRUE),MonteCarlo!$B$5*EXP(-MonteCarlo!$B$9*$A11)*_xlfn.NORM.S.DIST(-(((LN(MonteCarlo!$B$6/MonteCarlo!$B$5)+(MonteCarlo!$B$9+(B$1^2)/2)*$A11)/(B$1*SQRT($A11)))-(B$1*SQRT($A11))),TRUE)-MonteCarlo!$B$6*_xlfn.NORM.S.DIST(-((LN(MonteCarlo!$B$6/MonteCarlo!$B$5)+(MonteCarlo!$B$9+(B$1^2)/2)*$A11)/(B$1*SQRT($A11))),TRUE)),"")</f>
        <v/>
      </c>
      <c r="C11" t="str">
        <f>IFERROR(IF(OR(MonteCarlo!$B$4="C",MonteCarlo!$B$4="c"),MonteCarlo!$B$6*_xlfn.NORM.S.DIST((LN(MonteCarlo!$B$6/MonteCarlo!$B$5)+(MonteCarlo!$B$9+(C$1^2)/2)*$A11)/(C$1*SQRT($A11)),TRUE)-MonteCarlo!$B$5*EXP(-MonteCarlo!$B$9*$A11)*_xlfn.NORM.S.DIST(((LN(MonteCarlo!$B$6/MonteCarlo!$B$5)+(MonteCarlo!$B$9+(C$1^2)/2)*$A11)/(C$1*SQRT($A11)))-(C$1*SQRT($A11)),TRUE),MonteCarlo!$B$5*EXP(-MonteCarlo!$B$9*$A11)*_xlfn.NORM.S.DIST(-(((LN(MonteCarlo!$B$6/MonteCarlo!$B$5)+(MonteCarlo!$B$9+(C$1^2)/2)*$A11)/(C$1*SQRT($A11)))-(C$1*SQRT($A11))),TRUE)-MonteCarlo!$B$6*_xlfn.NORM.S.DIST(-((LN(MonteCarlo!$B$6/MonteCarlo!$B$5)+(MonteCarlo!$B$9+(C$1^2)/2)*$A11)/(C$1*SQRT($A11))),TRUE)),"")</f>
        <v/>
      </c>
      <c r="D11" t="str">
        <f>IFERROR(IF(OR(MonteCarlo!$B$4="C",MonteCarlo!$B$4="c"),MonteCarlo!$B$6*_xlfn.NORM.S.DIST((LN(MonteCarlo!$B$6/MonteCarlo!$B$5)+(MonteCarlo!$B$9+(D$1^2)/2)*$A11)/(D$1*SQRT($A11)),TRUE)-MonteCarlo!$B$5*EXP(-MonteCarlo!$B$9*$A11)*_xlfn.NORM.S.DIST(((LN(MonteCarlo!$B$6/MonteCarlo!$B$5)+(MonteCarlo!$B$9+(D$1^2)/2)*$A11)/(D$1*SQRT($A11)))-(D$1*SQRT($A11)),TRUE),MonteCarlo!$B$5*EXP(-MonteCarlo!$B$9*$A11)*_xlfn.NORM.S.DIST(-(((LN(MonteCarlo!$B$6/MonteCarlo!$B$5)+(MonteCarlo!$B$9+(D$1^2)/2)*$A11)/(D$1*SQRT($A11)))-(D$1*SQRT($A11))),TRUE)-MonteCarlo!$B$6*_xlfn.NORM.S.DIST(-((LN(MonteCarlo!$B$6/MonteCarlo!$B$5)+(MonteCarlo!$B$9+(D$1^2)/2)*$A11)/(D$1*SQRT($A11))),TRUE)),"")</f>
        <v/>
      </c>
      <c r="E11" t="str">
        <f>IFERROR(IF(OR(MonteCarlo!$B$4="C",MonteCarlo!$B$4="c"),MonteCarlo!$B$6*_xlfn.NORM.S.DIST((LN(MonteCarlo!$B$6/MonteCarlo!$B$5)+(MonteCarlo!$B$9+(E$1^2)/2)*$A11)/(E$1*SQRT($A11)),TRUE)-MonteCarlo!$B$5*EXP(-MonteCarlo!$B$9*$A11)*_xlfn.NORM.S.DIST(((LN(MonteCarlo!$B$6/MonteCarlo!$B$5)+(MonteCarlo!$B$9+(E$1^2)/2)*$A11)/(E$1*SQRT($A11)))-(E$1*SQRT($A11)),TRUE),MonteCarlo!$B$5*EXP(-MonteCarlo!$B$9*$A11)*_xlfn.NORM.S.DIST(-(((LN(MonteCarlo!$B$6/MonteCarlo!$B$5)+(MonteCarlo!$B$9+(E$1^2)/2)*$A11)/(E$1*SQRT($A11)))-(E$1*SQRT($A11))),TRUE)-MonteCarlo!$B$6*_xlfn.NORM.S.DIST(-((LN(MonteCarlo!$B$6/MonteCarlo!$B$5)+(MonteCarlo!$B$9+(E$1^2)/2)*$A11)/(E$1*SQRT($A11))),TRUE)),"")</f>
        <v/>
      </c>
      <c r="F11" t="str">
        <f>IFERROR(IF(OR(MonteCarlo!$B$4="C",MonteCarlo!$B$4="c"),MonteCarlo!$B$6*_xlfn.NORM.S.DIST((LN(MonteCarlo!$B$6/MonteCarlo!$B$5)+(MonteCarlo!$B$9+(F$1^2)/2)*$A11)/(F$1*SQRT($A11)),TRUE)-MonteCarlo!$B$5*EXP(-MonteCarlo!$B$9*$A11)*_xlfn.NORM.S.DIST(((LN(MonteCarlo!$B$6/MonteCarlo!$B$5)+(MonteCarlo!$B$9+(F$1^2)/2)*$A11)/(F$1*SQRT($A11)))-(F$1*SQRT($A11)),TRUE),MonteCarlo!$B$5*EXP(-MonteCarlo!$B$9*$A11)*_xlfn.NORM.S.DIST(-(((LN(MonteCarlo!$B$6/MonteCarlo!$B$5)+(MonteCarlo!$B$9+(F$1^2)/2)*$A11)/(F$1*SQRT($A11)))-(F$1*SQRT($A11))),TRUE)-MonteCarlo!$B$6*_xlfn.NORM.S.DIST(-((LN(MonteCarlo!$B$6/MonteCarlo!$B$5)+(MonteCarlo!$B$9+(F$1^2)/2)*$A11)/(F$1*SQRT($A11))),TRUE)),"")</f>
        <v/>
      </c>
      <c r="G11" t="str">
        <f>IFERROR(IF(OR(MonteCarlo!$B$4="C",MonteCarlo!$B$4="c"),MonteCarlo!$B$6*_xlfn.NORM.S.DIST((LN(MonteCarlo!$B$6/MonteCarlo!$B$5)+(MonteCarlo!$B$9+(G$1^2)/2)*$A11)/(G$1*SQRT($A11)),TRUE)-MonteCarlo!$B$5*EXP(-MonteCarlo!$B$9*$A11)*_xlfn.NORM.S.DIST(((LN(MonteCarlo!$B$6/MonteCarlo!$B$5)+(MonteCarlo!$B$9+(G$1^2)/2)*$A11)/(G$1*SQRT($A11)))-(G$1*SQRT($A11)),TRUE),MonteCarlo!$B$5*EXP(-MonteCarlo!$B$9*$A11)*_xlfn.NORM.S.DIST(-(((LN(MonteCarlo!$B$6/MonteCarlo!$B$5)+(MonteCarlo!$B$9+(G$1^2)/2)*$A11)/(G$1*SQRT($A11)))-(G$1*SQRT($A11))),TRUE)-MonteCarlo!$B$6*_xlfn.NORM.S.DIST(-((LN(MonteCarlo!$B$6/MonteCarlo!$B$5)+(MonteCarlo!$B$9+(G$1^2)/2)*$A11)/(G$1*SQRT($A11))),TRUE)),"")</f>
        <v/>
      </c>
      <c r="H11" t="str">
        <f>IFERROR(IF(OR(MonteCarlo!$B$4="C",MonteCarlo!$B$4="c"),MonteCarlo!$B$6*_xlfn.NORM.S.DIST((LN(MonteCarlo!$B$6/MonteCarlo!$B$5)+(MonteCarlo!$B$9+(H$1^2)/2)*$A11)/(H$1*SQRT($A11)),TRUE)-MonteCarlo!$B$5*EXP(-MonteCarlo!$B$9*$A11)*_xlfn.NORM.S.DIST(((LN(MonteCarlo!$B$6/MonteCarlo!$B$5)+(MonteCarlo!$B$9+(H$1^2)/2)*$A11)/(H$1*SQRT($A11)))-(H$1*SQRT($A11)),TRUE),MonteCarlo!$B$5*EXP(-MonteCarlo!$B$9*$A11)*_xlfn.NORM.S.DIST(-(((LN(MonteCarlo!$B$6/MonteCarlo!$B$5)+(MonteCarlo!$B$9+(H$1^2)/2)*$A11)/(H$1*SQRT($A11)))-(H$1*SQRT($A11))),TRUE)-MonteCarlo!$B$6*_xlfn.NORM.S.DIST(-((LN(MonteCarlo!$B$6/MonteCarlo!$B$5)+(MonteCarlo!$B$9+(H$1^2)/2)*$A11)/(H$1*SQRT($A11))),TRUE)),"")</f>
        <v/>
      </c>
      <c r="I11" t="str">
        <f>IFERROR(IF(OR(MonteCarlo!$B$4="C",MonteCarlo!$B$4="c"),MonteCarlo!$B$6*_xlfn.NORM.S.DIST((LN(MonteCarlo!$B$6/MonteCarlo!$B$5)+(MonteCarlo!$B$9+(I$1^2)/2)*$A11)/(I$1*SQRT($A11)),TRUE)-MonteCarlo!$B$5*EXP(-MonteCarlo!$B$9*$A11)*_xlfn.NORM.S.DIST(((LN(MonteCarlo!$B$6/MonteCarlo!$B$5)+(MonteCarlo!$B$9+(I$1^2)/2)*$A11)/(I$1*SQRT($A11)))-(I$1*SQRT($A11)),TRUE),MonteCarlo!$B$5*EXP(-MonteCarlo!$B$9*$A11)*_xlfn.NORM.S.DIST(-(((LN(MonteCarlo!$B$6/MonteCarlo!$B$5)+(MonteCarlo!$B$9+(I$1^2)/2)*$A11)/(I$1*SQRT($A11)))-(I$1*SQRT($A11))),TRUE)-MonteCarlo!$B$6*_xlfn.NORM.S.DIST(-((LN(MonteCarlo!$B$6/MonteCarlo!$B$5)+(MonteCarlo!$B$9+(I$1^2)/2)*$A11)/(I$1*SQRT($A11))),TRUE)),"")</f>
        <v/>
      </c>
      <c r="J11" t="str">
        <f>IFERROR(IF(OR(MonteCarlo!$B$4="C",MonteCarlo!$B$4="c"),MonteCarlo!$B$6*_xlfn.NORM.S.DIST((LN(MonteCarlo!$B$6/MonteCarlo!$B$5)+(MonteCarlo!$B$9+(J$1^2)/2)*$A11)/(J$1*SQRT($A11)),TRUE)-MonteCarlo!$B$5*EXP(-MonteCarlo!$B$9*$A11)*_xlfn.NORM.S.DIST(((LN(MonteCarlo!$B$6/MonteCarlo!$B$5)+(MonteCarlo!$B$9+(J$1^2)/2)*$A11)/(J$1*SQRT($A11)))-(J$1*SQRT($A11)),TRUE),MonteCarlo!$B$5*EXP(-MonteCarlo!$B$9*$A11)*_xlfn.NORM.S.DIST(-(((LN(MonteCarlo!$B$6/MonteCarlo!$B$5)+(MonteCarlo!$B$9+(J$1^2)/2)*$A11)/(J$1*SQRT($A11)))-(J$1*SQRT($A11))),TRUE)-MonteCarlo!$B$6*_xlfn.NORM.S.DIST(-((LN(MonteCarlo!$B$6/MonteCarlo!$B$5)+(MonteCarlo!$B$9+(J$1^2)/2)*$A11)/(J$1*SQRT($A11))),TRUE)),"")</f>
        <v/>
      </c>
      <c r="K11" t="str">
        <f>IFERROR(IF(OR(MonteCarlo!$B$4="C",MonteCarlo!$B$4="c"),MonteCarlo!$B$6*_xlfn.NORM.S.DIST((LN(MonteCarlo!$B$6/MonteCarlo!$B$5)+(MonteCarlo!$B$9+(K$1^2)/2)*$A11)/(K$1*SQRT($A11)),TRUE)-MonteCarlo!$B$5*EXP(-MonteCarlo!$B$9*$A11)*_xlfn.NORM.S.DIST(((LN(MonteCarlo!$B$6/MonteCarlo!$B$5)+(MonteCarlo!$B$9+(K$1^2)/2)*$A11)/(K$1*SQRT($A11)))-(K$1*SQRT($A11)),TRUE),MonteCarlo!$B$5*EXP(-MonteCarlo!$B$9*$A11)*_xlfn.NORM.S.DIST(-(((LN(MonteCarlo!$B$6/MonteCarlo!$B$5)+(MonteCarlo!$B$9+(K$1^2)/2)*$A11)/(K$1*SQRT($A11)))-(K$1*SQRT($A11))),TRUE)-MonteCarlo!$B$6*_xlfn.NORM.S.DIST(-((LN(MonteCarlo!$B$6/MonteCarlo!$B$5)+(MonteCarlo!$B$9+(K$1^2)/2)*$A11)/(K$1*SQRT($A11))),TRUE)),"")</f>
        <v/>
      </c>
      <c r="L11" t="str">
        <f>IFERROR(IF(OR(MonteCarlo!$B$4="C",MonteCarlo!$B$4="c"),MonteCarlo!$B$6*_xlfn.NORM.S.DIST((LN(MonteCarlo!$B$6/MonteCarlo!$B$5)+(MonteCarlo!$B$9+(L$1^2)/2)*$A11)/(L$1*SQRT($A11)),TRUE)-MonteCarlo!$B$5*EXP(-MonteCarlo!$B$9*$A11)*_xlfn.NORM.S.DIST(((LN(MonteCarlo!$B$6/MonteCarlo!$B$5)+(MonteCarlo!$B$9+(L$1^2)/2)*$A11)/(L$1*SQRT($A11)))-(L$1*SQRT($A11)),TRUE),MonteCarlo!$B$5*EXP(-MonteCarlo!$B$9*$A11)*_xlfn.NORM.S.DIST(-(((LN(MonteCarlo!$B$6/MonteCarlo!$B$5)+(MonteCarlo!$B$9+(L$1^2)/2)*$A11)/(L$1*SQRT($A11)))-(L$1*SQRT($A11))),TRUE)-MonteCarlo!$B$6*_xlfn.NORM.S.DIST(-((LN(MonteCarlo!$B$6/MonteCarlo!$B$5)+(MonteCarlo!$B$9+(L$1^2)/2)*$A11)/(L$1*SQRT($A11))),TRUE)),"")</f>
        <v/>
      </c>
      <c r="M11" t="str">
        <f>IFERROR(IF(OR(MonteCarlo!$B$4="C",MonteCarlo!$B$4="c"),MonteCarlo!$B$6*_xlfn.NORM.S.DIST((LN(MonteCarlo!$B$6/MonteCarlo!$B$5)+(MonteCarlo!$B$9+(M$1^2)/2)*$A11)/(M$1*SQRT($A11)),TRUE)-MonteCarlo!$B$5*EXP(-MonteCarlo!$B$9*$A11)*_xlfn.NORM.S.DIST(((LN(MonteCarlo!$B$6/MonteCarlo!$B$5)+(MonteCarlo!$B$9+(M$1^2)/2)*$A11)/(M$1*SQRT($A11)))-(M$1*SQRT($A11)),TRUE),MonteCarlo!$B$5*EXP(-MonteCarlo!$B$9*$A11)*_xlfn.NORM.S.DIST(-(((LN(MonteCarlo!$B$6/MonteCarlo!$B$5)+(MonteCarlo!$B$9+(M$1^2)/2)*$A11)/(M$1*SQRT($A11)))-(M$1*SQRT($A11))),TRUE)-MonteCarlo!$B$6*_xlfn.NORM.S.DIST(-((LN(MonteCarlo!$B$6/MonteCarlo!$B$5)+(MonteCarlo!$B$9+(M$1^2)/2)*$A11)/(M$1*SQRT($A11))),TRUE)),"")</f>
        <v/>
      </c>
      <c r="N11" t="str">
        <f>IFERROR(IF(OR(MonteCarlo!$B$4="C",MonteCarlo!$B$4="c"),MonteCarlo!$B$6*_xlfn.NORM.S.DIST((LN(MonteCarlo!$B$6/MonteCarlo!$B$5)+(MonteCarlo!$B$9+(N$1^2)/2)*$A11)/(N$1*SQRT($A11)),TRUE)-MonteCarlo!$B$5*EXP(-MonteCarlo!$B$9*$A11)*_xlfn.NORM.S.DIST(((LN(MonteCarlo!$B$6/MonteCarlo!$B$5)+(MonteCarlo!$B$9+(N$1^2)/2)*$A11)/(N$1*SQRT($A11)))-(N$1*SQRT($A11)),TRUE),MonteCarlo!$B$5*EXP(-MonteCarlo!$B$9*$A11)*_xlfn.NORM.S.DIST(-(((LN(MonteCarlo!$B$6/MonteCarlo!$B$5)+(MonteCarlo!$B$9+(N$1^2)/2)*$A11)/(N$1*SQRT($A11)))-(N$1*SQRT($A11))),TRUE)-MonteCarlo!$B$6*_xlfn.NORM.S.DIST(-((LN(MonteCarlo!$B$6/MonteCarlo!$B$5)+(MonteCarlo!$B$9+(N$1^2)/2)*$A11)/(N$1*SQRT($A11))),TRUE)),"")</f>
        <v/>
      </c>
      <c r="O11" t="str">
        <f>IFERROR(IF(OR(MonteCarlo!$B$4="C",MonteCarlo!$B$4="c"),MonteCarlo!$B$6*_xlfn.NORM.S.DIST((LN(MonteCarlo!$B$6/MonteCarlo!$B$5)+(MonteCarlo!$B$9+(O$1^2)/2)*$A11)/(O$1*SQRT($A11)),TRUE)-MonteCarlo!$B$5*EXP(-MonteCarlo!$B$9*$A11)*_xlfn.NORM.S.DIST(((LN(MonteCarlo!$B$6/MonteCarlo!$B$5)+(MonteCarlo!$B$9+(O$1^2)/2)*$A11)/(O$1*SQRT($A11)))-(O$1*SQRT($A11)),TRUE),MonteCarlo!$B$5*EXP(-MonteCarlo!$B$9*$A11)*_xlfn.NORM.S.DIST(-(((LN(MonteCarlo!$B$6/MonteCarlo!$B$5)+(MonteCarlo!$B$9+(O$1^2)/2)*$A11)/(O$1*SQRT($A11)))-(O$1*SQRT($A11))),TRUE)-MonteCarlo!$B$6*_xlfn.NORM.S.DIST(-((LN(MonteCarlo!$B$6/MonteCarlo!$B$5)+(MonteCarlo!$B$9+(O$1^2)/2)*$A11)/(O$1*SQRT($A11))),TRUE)),"")</f>
        <v/>
      </c>
      <c r="P11" t="str">
        <f>IFERROR(IF(OR(MonteCarlo!$B$4="C",MonteCarlo!$B$4="c"),MonteCarlo!$B$6*_xlfn.NORM.S.DIST((LN(MonteCarlo!$B$6/MonteCarlo!$B$5)+(MonteCarlo!$B$9+(P$1^2)/2)*$A11)/(P$1*SQRT($A11)),TRUE)-MonteCarlo!$B$5*EXP(-MonteCarlo!$B$9*$A11)*_xlfn.NORM.S.DIST(((LN(MonteCarlo!$B$6/MonteCarlo!$B$5)+(MonteCarlo!$B$9+(P$1^2)/2)*$A11)/(P$1*SQRT($A11)))-(P$1*SQRT($A11)),TRUE),MonteCarlo!$B$5*EXP(-MonteCarlo!$B$9*$A11)*_xlfn.NORM.S.DIST(-(((LN(MonteCarlo!$B$6/MonteCarlo!$B$5)+(MonteCarlo!$B$9+(P$1^2)/2)*$A11)/(P$1*SQRT($A11)))-(P$1*SQRT($A11))),TRUE)-MonteCarlo!$B$6*_xlfn.NORM.S.DIST(-((LN(MonteCarlo!$B$6/MonteCarlo!$B$5)+(MonteCarlo!$B$9+(P$1^2)/2)*$A11)/(P$1*SQRT($A11))),TRUE)),"")</f>
        <v/>
      </c>
      <c r="Q11" t="str">
        <f>IFERROR(IF(OR(MonteCarlo!$B$4="C",MonteCarlo!$B$4="c"),MonteCarlo!$B$6*_xlfn.NORM.S.DIST((LN(MonteCarlo!$B$6/MonteCarlo!$B$5)+(MonteCarlo!$B$9+(Q$1^2)/2)*$A11)/(Q$1*SQRT($A11)),TRUE)-MonteCarlo!$B$5*EXP(-MonteCarlo!$B$9*$A11)*_xlfn.NORM.S.DIST(((LN(MonteCarlo!$B$6/MonteCarlo!$B$5)+(MonteCarlo!$B$9+(Q$1^2)/2)*$A11)/(Q$1*SQRT($A11)))-(Q$1*SQRT($A11)),TRUE),MonteCarlo!$B$5*EXP(-MonteCarlo!$B$9*$A11)*_xlfn.NORM.S.DIST(-(((LN(MonteCarlo!$B$6/MonteCarlo!$B$5)+(MonteCarlo!$B$9+(Q$1^2)/2)*$A11)/(Q$1*SQRT($A11)))-(Q$1*SQRT($A11))),TRUE)-MonteCarlo!$B$6*_xlfn.NORM.S.DIST(-((LN(MonteCarlo!$B$6/MonteCarlo!$B$5)+(MonteCarlo!$B$9+(Q$1^2)/2)*$A11)/(Q$1*SQRT($A11))),TRUE)),"")</f>
        <v/>
      </c>
      <c r="R11" t="str">
        <f>IFERROR(IF(OR(MonteCarlo!$B$4="C",MonteCarlo!$B$4="c"),MonteCarlo!$B$6*_xlfn.NORM.S.DIST((LN(MonteCarlo!$B$6/MonteCarlo!$B$5)+(MonteCarlo!$B$9+(R$1^2)/2)*$A11)/(R$1*SQRT($A11)),TRUE)-MonteCarlo!$B$5*EXP(-MonteCarlo!$B$9*$A11)*_xlfn.NORM.S.DIST(((LN(MonteCarlo!$B$6/MonteCarlo!$B$5)+(MonteCarlo!$B$9+(R$1^2)/2)*$A11)/(R$1*SQRT($A11)))-(R$1*SQRT($A11)),TRUE),MonteCarlo!$B$5*EXP(-MonteCarlo!$B$9*$A11)*_xlfn.NORM.S.DIST(-(((LN(MonteCarlo!$B$6/MonteCarlo!$B$5)+(MonteCarlo!$B$9+(R$1^2)/2)*$A11)/(R$1*SQRT($A11)))-(R$1*SQRT($A11))),TRUE)-MonteCarlo!$B$6*_xlfn.NORM.S.DIST(-((LN(MonteCarlo!$B$6/MonteCarlo!$B$5)+(MonteCarlo!$B$9+(R$1^2)/2)*$A11)/(R$1*SQRT($A11))),TRUE)),"")</f>
        <v/>
      </c>
      <c r="S11" t="str">
        <f>IFERROR(IF(OR(MonteCarlo!$B$4="C",MonteCarlo!$B$4="c"),MonteCarlo!$B$6*_xlfn.NORM.S.DIST((LN(MonteCarlo!$B$6/MonteCarlo!$B$5)+(MonteCarlo!$B$9+(S$1^2)/2)*$A11)/(S$1*SQRT($A11)),TRUE)-MonteCarlo!$B$5*EXP(-MonteCarlo!$B$9*$A11)*_xlfn.NORM.S.DIST(((LN(MonteCarlo!$B$6/MonteCarlo!$B$5)+(MonteCarlo!$B$9+(S$1^2)/2)*$A11)/(S$1*SQRT($A11)))-(S$1*SQRT($A11)),TRUE),MonteCarlo!$B$5*EXP(-MonteCarlo!$B$9*$A11)*_xlfn.NORM.S.DIST(-(((LN(MonteCarlo!$B$6/MonteCarlo!$B$5)+(MonteCarlo!$B$9+(S$1^2)/2)*$A11)/(S$1*SQRT($A11)))-(S$1*SQRT($A11))),TRUE)-MonteCarlo!$B$6*_xlfn.NORM.S.DIST(-((LN(MonteCarlo!$B$6/MonteCarlo!$B$5)+(MonteCarlo!$B$9+(S$1^2)/2)*$A11)/(S$1*SQRT($A11))),TRUE)),"")</f>
        <v/>
      </c>
      <c r="T11" t="str">
        <f>IFERROR(IF(OR(MonteCarlo!$B$4="C",MonteCarlo!$B$4="c"),MonteCarlo!$B$6*_xlfn.NORM.S.DIST((LN(MonteCarlo!$B$6/MonteCarlo!$B$5)+(MonteCarlo!$B$9+(T$1^2)/2)*$A11)/(T$1*SQRT($A11)),TRUE)-MonteCarlo!$B$5*EXP(-MonteCarlo!$B$9*$A11)*_xlfn.NORM.S.DIST(((LN(MonteCarlo!$B$6/MonteCarlo!$B$5)+(MonteCarlo!$B$9+(T$1^2)/2)*$A11)/(T$1*SQRT($A11)))-(T$1*SQRT($A11)),TRUE),MonteCarlo!$B$5*EXP(-MonteCarlo!$B$9*$A11)*_xlfn.NORM.S.DIST(-(((LN(MonteCarlo!$B$6/MonteCarlo!$B$5)+(MonteCarlo!$B$9+(T$1^2)/2)*$A11)/(T$1*SQRT($A11)))-(T$1*SQRT($A11))),TRUE)-MonteCarlo!$B$6*_xlfn.NORM.S.DIST(-((LN(MonteCarlo!$B$6/MonteCarlo!$B$5)+(MonteCarlo!$B$9+(T$1^2)/2)*$A11)/(T$1*SQRT($A11))),TRUE)),"")</f>
        <v/>
      </c>
      <c r="U11" t="str">
        <f>IFERROR(IF(OR(MonteCarlo!$B$4="C",MonteCarlo!$B$4="c"),MonteCarlo!$B$6*_xlfn.NORM.S.DIST((LN(MonteCarlo!$B$6/MonteCarlo!$B$5)+(MonteCarlo!$B$9+(U$1^2)/2)*$A11)/(U$1*SQRT($A11)),TRUE)-MonteCarlo!$B$5*EXP(-MonteCarlo!$B$9*$A11)*_xlfn.NORM.S.DIST(((LN(MonteCarlo!$B$6/MonteCarlo!$B$5)+(MonteCarlo!$B$9+(U$1^2)/2)*$A11)/(U$1*SQRT($A11)))-(U$1*SQRT($A11)),TRUE),MonteCarlo!$B$5*EXP(-MonteCarlo!$B$9*$A11)*_xlfn.NORM.S.DIST(-(((LN(MonteCarlo!$B$6/MonteCarlo!$B$5)+(MonteCarlo!$B$9+(U$1^2)/2)*$A11)/(U$1*SQRT($A11)))-(U$1*SQRT($A11))),TRUE)-MonteCarlo!$B$6*_xlfn.NORM.S.DIST(-((LN(MonteCarlo!$B$6/MonteCarlo!$B$5)+(MonteCarlo!$B$9+(U$1^2)/2)*$A11)/(U$1*SQRT($A11))),TRUE)),"")</f>
        <v/>
      </c>
      <c r="V11" t="str">
        <f>IFERROR(IF(OR(MonteCarlo!$B$4="C",MonteCarlo!$B$4="c"),MonteCarlo!$B$6*_xlfn.NORM.S.DIST((LN(MonteCarlo!$B$6/MonteCarlo!$B$5)+(MonteCarlo!$B$9+(V$1^2)/2)*$A11)/(V$1*SQRT($A11)),TRUE)-MonteCarlo!$B$5*EXP(-MonteCarlo!$B$9*$A11)*_xlfn.NORM.S.DIST(((LN(MonteCarlo!$B$6/MonteCarlo!$B$5)+(MonteCarlo!$B$9+(V$1^2)/2)*$A11)/(V$1*SQRT($A11)))-(V$1*SQRT($A11)),TRUE),MonteCarlo!$B$5*EXP(-MonteCarlo!$B$9*$A11)*_xlfn.NORM.S.DIST(-(((LN(MonteCarlo!$B$6/MonteCarlo!$B$5)+(MonteCarlo!$B$9+(V$1^2)/2)*$A11)/(V$1*SQRT($A11)))-(V$1*SQRT($A11))),TRUE)-MonteCarlo!$B$6*_xlfn.NORM.S.DIST(-((LN(MonteCarlo!$B$6/MonteCarlo!$B$5)+(MonteCarlo!$B$9+(V$1^2)/2)*$A11)/(V$1*SQRT($A11))),TRUE)),"")</f>
        <v/>
      </c>
      <c r="W11" t="str">
        <f>IFERROR(IF(OR(MonteCarlo!$B$4="C",MonteCarlo!$B$4="c"),MonteCarlo!$B$6*_xlfn.NORM.S.DIST((LN(MonteCarlo!$B$6/MonteCarlo!$B$5)+(MonteCarlo!$B$9+(W$1^2)/2)*$A11)/(W$1*SQRT($A11)),TRUE)-MonteCarlo!$B$5*EXP(-MonteCarlo!$B$9*$A11)*_xlfn.NORM.S.DIST(((LN(MonteCarlo!$B$6/MonteCarlo!$B$5)+(MonteCarlo!$B$9+(W$1^2)/2)*$A11)/(W$1*SQRT($A11)))-(W$1*SQRT($A11)),TRUE),MonteCarlo!$B$5*EXP(-MonteCarlo!$B$9*$A11)*_xlfn.NORM.S.DIST(-(((LN(MonteCarlo!$B$6/MonteCarlo!$B$5)+(MonteCarlo!$B$9+(W$1^2)/2)*$A11)/(W$1*SQRT($A11)))-(W$1*SQRT($A11))),TRUE)-MonteCarlo!$B$6*_xlfn.NORM.S.DIST(-((LN(MonteCarlo!$B$6/MonteCarlo!$B$5)+(MonteCarlo!$B$9+(W$1^2)/2)*$A11)/(W$1*SQRT($A11))),TRUE)),"")</f>
        <v/>
      </c>
      <c r="X11" t="str">
        <f>IFERROR(IF(OR(MonteCarlo!$B$4="C",MonteCarlo!$B$4="c"),MonteCarlo!$B$6*_xlfn.NORM.S.DIST((LN(MonteCarlo!$B$6/MonteCarlo!$B$5)+(MonteCarlo!$B$9+(X$1^2)/2)*$A11)/(X$1*SQRT($A11)),TRUE)-MonteCarlo!$B$5*EXP(-MonteCarlo!$B$9*$A11)*_xlfn.NORM.S.DIST(((LN(MonteCarlo!$B$6/MonteCarlo!$B$5)+(MonteCarlo!$B$9+(X$1^2)/2)*$A11)/(X$1*SQRT($A11)))-(X$1*SQRT($A11)),TRUE),MonteCarlo!$B$5*EXP(-MonteCarlo!$B$9*$A11)*_xlfn.NORM.S.DIST(-(((LN(MonteCarlo!$B$6/MonteCarlo!$B$5)+(MonteCarlo!$B$9+(X$1^2)/2)*$A11)/(X$1*SQRT($A11)))-(X$1*SQRT($A11))),TRUE)-MonteCarlo!$B$6*_xlfn.NORM.S.DIST(-((LN(MonteCarlo!$B$6/MonteCarlo!$B$5)+(MonteCarlo!$B$9+(X$1^2)/2)*$A11)/(X$1*SQRT($A11))),TRUE)),"")</f>
        <v/>
      </c>
      <c r="Y11" t="str">
        <f>IFERROR(IF(OR(MonteCarlo!$B$4="C",MonteCarlo!$B$4="c"),MonteCarlo!$B$6*_xlfn.NORM.S.DIST((LN(MonteCarlo!$B$6/MonteCarlo!$B$5)+(MonteCarlo!$B$9+(Y$1^2)/2)*$A11)/(Y$1*SQRT($A11)),TRUE)-MonteCarlo!$B$5*EXP(-MonteCarlo!$B$9*$A11)*_xlfn.NORM.S.DIST(((LN(MonteCarlo!$B$6/MonteCarlo!$B$5)+(MonteCarlo!$B$9+(Y$1^2)/2)*$A11)/(Y$1*SQRT($A11)))-(Y$1*SQRT($A11)),TRUE),MonteCarlo!$B$5*EXP(-MonteCarlo!$B$9*$A11)*_xlfn.NORM.S.DIST(-(((LN(MonteCarlo!$B$6/MonteCarlo!$B$5)+(MonteCarlo!$B$9+(Y$1^2)/2)*$A11)/(Y$1*SQRT($A11)))-(Y$1*SQRT($A11))),TRUE)-MonteCarlo!$B$6*_xlfn.NORM.S.DIST(-((LN(MonteCarlo!$B$6/MonteCarlo!$B$5)+(MonteCarlo!$B$9+(Y$1^2)/2)*$A11)/(Y$1*SQRT($A11))),TRUE)),"")</f>
        <v/>
      </c>
      <c r="Z11" t="str">
        <f>IFERROR(IF(OR(MonteCarlo!$B$4="C",MonteCarlo!$B$4="c"),MonteCarlo!$B$6*_xlfn.NORM.S.DIST((LN(MonteCarlo!$B$6/MonteCarlo!$B$5)+(MonteCarlo!$B$9+(Z$1^2)/2)*$A11)/(Z$1*SQRT($A11)),TRUE)-MonteCarlo!$B$5*EXP(-MonteCarlo!$B$9*$A11)*_xlfn.NORM.S.DIST(((LN(MonteCarlo!$B$6/MonteCarlo!$B$5)+(MonteCarlo!$B$9+(Z$1^2)/2)*$A11)/(Z$1*SQRT($A11)))-(Z$1*SQRT($A11)),TRUE),MonteCarlo!$B$5*EXP(-MonteCarlo!$B$9*$A11)*_xlfn.NORM.S.DIST(-(((LN(MonteCarlo!$B$6/MonteCarlo!$B$5)+(MonteCarlo!$B$9+(Z$1^2)/2)*$A11)/(Z$1*SQRT($A11)))-(Z$1*SQRT($A11))),TRUE)-MonteCarlo!$B$6*_xlfn.NORM.S.DIST(-((LN(MonteCarlo!$B$6/MonteCarlo!$B$5)+(MonteCarlo!$B$9+(Z$1^2)/2)*$A11)/(Z$1*SQRT($A11))),TRUE)),"")</f>
        <v/>
      </c>
      <c r="AA11" t="str">
        <f>IFERROR(IF(OR(MonteCarlo!$B$4="C",MonteCarlo!$B$4="c"),MonteCarlo!$B$6*_xlfn.NORM.S.DIST((LN(MonteCarlo!$B$6/MonteCarlo!$B$5)+(MonteCarlo!$B$9+(AA$1^2)/2)*$A11)/(AA$1*SQRT($A11)),TRUE)-MonteCarlo!$B$5*EXP(-MonteCarlo!$B$9*$A11)*_xlfn.NORM.S.DIST(((LN(MonteCarlo!$B$6/MonteCarlo!$B$5)+(MonteCarlo!$B$9+(AA$1^2)/2)*$A11)/(AA$1*SQRT($A11)))-(AA$1*SQRT($A11)),TRUE),MonteCarlo!$B$5*EXP(-MonteCarlo!$B$9*$A11)*_xlfn.NORM.S.DIST(-(((LN(MonteCarlo!$B$6/MonteCarlo!$B$5)+(MonteCarlo!$B$9+(AA$1^2)/2)*$A11)/(AA$1*SQRT($A11)))-(AA$1*SQRT($A11))),TRUE)-MonteCarlo!$B$6*_xlfn.NORM.S.DIST(-((LN(MonteCarlo!$B$6/MonteCarlo!$B$5)+(MonteCarlo!$B$9+(AA$1^2)/2)*$A11)/(AA$1*SQRT($A11))),TRUE)),"")</f>
        <v/>
      </c>
      <c r="AB11" t="str">
        <f>IFERROR(IF(OR(MonteCarlo!$B$4="C",MonteCarlo!$B$4="c"),MonteCarlo!$B$6*_xlfn.NORM.S.DIST((LN(MonteCarlo!$B$6/MonteCarlo!$B$5)+(MonteCarlo!$B$9+(AB$1^2)/2)*$A11)/(AB$1*SQRT($A11)),TRUE)-MonteCarlo!$B$5*EXP(-MonteCarlo!$B$9*$A11)*_xlfn.NORM.S.DIST(((LN(MonteCarlo!$B$6/MonteCarlo!$B$5)+(MonteCarlo!$B$9+(AB$1^2)/2)*$A11)/(AB$1*SQRT($A11)))-(AB$1*SQRT($A11)),TRUE),MonteCarlo!$B$5*EXP(-MonteCarlo!$B$9*$A11)*_xlfn.NORM.S.DIST(-(((LN(MonteCarlo!$B$6/MonteCarlo!$B$5)+(MonteCarlo!$B$9+(AB$1^2)/2)*$A11)/(AB$1*SQRT($A11)))-(AB$1*SQRT($A11))),TRUE)-MonteCarlo!$B$6*_xlfn.NORM.S.DIST(-((LN(MonteCarlo!$B$6/MonteCarlo!$B$5)+(MonteCarlo!$B$9+(AB$1^2)/2)*$A11)/(AB$1*SQRT($A11))),TRUE)),"")</f>
        <v/>
      </c>
      <c r="AC11" t="str">
        <f>IFERROR(IF(OR(MonteCarlo!$B$4="C",MonteCarlo!$B$4="c"),MonteCarlo!$B$6*_xlfn.NORM.S.DIST((LN(MonteCarlo!$B$6/MonteCarlo!$B$5)+(MonteCarlo!$B$9+(AC$1^2)/2)*$A11)/(AC$1*SQRT($A11)),TRUE)-MonteCarlo!$B$5*EXP(-MonteCarlo!$B$9*$A11)*_xlfn.NORM.S.DIST(((LN(MonteCarlo!$B$6/MonteCarlo!$B$5)+(MonteCarlo!$B$9+(AC$1^2)/2)*$A11)/(AC$1*SQRT($A11)))-(AC$1*SQRT($A11)),TRUE),MonteCarlo!$B$5*EXP(-MonteCarlo!$B$9*$A11)*_xlfn.NORM.S.DIST(-(((LN(MonteCarlo!$B$6/MonteCarlo!$B$5)+(MonteCarlo!$B$9+(AC$1^2)/2)*$A11)/(AC$1*SQRT($A11)))-(AC$1*SQRT($A11))),TRUE)-MonteCarlo!$B$6*_xlfn.NORM.S.DIST(-((LN(MonteCarlo!$B$6/MonteCarlo!$B$5)+(MonteCarlo!$B$9+(AC$1^2)/2)*$A11)/(AC$1*SQRT($A11))),TRUE)),"")</f>
        <v/>
      </c>
      <c r="AD11" t="str">
        <f>IFERROR(IF(OR(MonteCarlo!$B$4="C",MonteCarlo!$B$4="c"),MonteCarlo!$B$6*_xlfn.NORM.S.DIST((LN(MonteCarlo!$B$6/MonteCarlo!$B$5)+(MonteCarlo!$B$9+(AD$1^2)/2)*$A11)/(AD$1*SQRT($A11)),TRUE)-MonteCarlo!$B$5*EXP(-MonteCarlo!$B$9*$A11)*_xlfn.NORM.S.DIST(((LN(MonteCarlo!$B$6/MonteCarlo!$B$5)+(MonteCarlo!$B$9+(AD$1^2)/2)*$A11)/(AD$1*SQRT($A11)))-(AD$1*SQRT($A11)),TRUE),MonteCarlo!$B$5*EXP(-MonteCarlo!$B$9*$A11)*_xlfn.NORM.S.DIST(-(((LN(MonteCarlo!$B$6/MonteCarlo!$B$5)+(MonteCarlo!$B$9+(AD$1^2)/2)*$A11)/(AD$1*SQRT($A11)))-(AD$1*SQRT($A11))),TRUE)-MonteCarlo!$B$6*_xlfn.NORM.S.DIST(-((LN(MonteCarlo!$B$6/MonteCarlo!$B$5)+(MonteCarlo!$B$9+(AD$1^2)/2)*$A11)/(AD$1*SQRT($A11))),TRUE)),"")</f>
        <v/>
      </c>
      <c r="AE11" t="str">
        <f>IFERROR(IF(OR(MonteCarlo!$B$4="C",MonteCarlo!$B$4="c"),MonteCarlo!$B$6*_xlfn.NORM.S.DIST((LN(MonteCarlo!$B$6/MonteCarlo!$B$5)+(MonteCarlo!$B$9+(AE$1^2)/2)*$A11)/(AE$1*SQRT($A11)),TRUE)-MonteCarlo!$B$5*EXP(-MonteCarlo!$B$9*$A11)*_xlfn.NORM.S.DIST(((LN(MonteCarlo!$B$6/MonteCarlo!$B$5)+(MonteCarlo!$B$9+(AE$1^2)/2)*$A11)/(AE$1*SQRT($A11)))-(AE$1*SQRT($A11)),TRUE),MonteCarlo!$B$5*EXP(-MonteCarlo!$B$9*$A11)*_xlfn.NORM.S.DIST(-(((LN(MonteCarlo!$B$6/MonteCarlo!$B$5)+(MonteCarlo!$B$9+(AE$1^2)/2)*$A11)/(AE$1*SQRT($A11)))-(AE$1*SQRT($A11))),TRUE)-MonteCarlo!$B$6*_xlfn.NORM.S.DIST(-((LN(MonteCarlo!$B$6/MonteCarlo!$B$5)+(MonteCarlo!$B$9+(AE$1^2)/2)*$A11)/(AE$1*SQRT($A11))),TRUE)),"")</f>
        <v/>
      </c>
      <c r="AF11" t="str">
        <f>IFERROR(IF(OR(MonteCarlo!$B$4="C",MonteCarlo!$B$4="c"),MonteCarlo!$B$6*_xlfn.NORM.S.DIST((LN(MonteCarlo!$B$6/MonteCarlo!$B$5)+(MonteCarlo!$B$9+(AF$1^2)/2)*$A11)/(AF$1*SQRT($A11)),TRUE)-MonteCarlo!$B$5*EXP(-MonteCarlo!$B$9*$A11)*_xlfn.NORM.S.DIST(((LN(MonteCarlo!$B$6/MonteCarlo!$B$5)+(MonteCarlo!$B$9+(AF$1^2)/2)*$A11)/(AF$1*SQRT($A11)))-(AF$1*SQRT($A11)),TRUE),MonteCarlo!$B$5*EXP(-MonteCarlo!$B$9*$A11)*_xlfn.NORM.S.DIST(-(((LN(MonteCarlo!$B$6/MonteCarlo!$B$5)+(MonteCarlo!$B$9+(AF$1^2)/2)*$A11)/(AF$1*SQRT($A11)))-(AF$1*SQRT($A11))),TRUE)-MonteCarlo!$B$6*_xlfn.NORM.S.DIST(-((LN(MonteCarlo!$B$6/MonteCarlo!$B$5)+(MonteCarlo!$B$9+(AF$1^2)/2)*$A11)/(AF$1*SQRT($A11))),TRUE)),"")</f>
        <v/>
      </c>
    </row>
    <row r="12" spans="2:32" x14ac:dyDescent="0.25">
      <c r="B12" t="str">
        <f>IFERROR(IF(OR(MonteCarlo!$B$4="C",MonteCarlo!$B$4="c"),MonteCarlo!$B$6*_xlfn.NORM.S.DIST((LN(MonteCarlo!$B$6/MonteCarlo!$B$5)+(MonteCarlo!$B$9+(B$1^2)/2)*$A12)/(B$1*SQRT($A12)),TRUE)-MonteCarlo!$B$5*EXP(-MonteCarlo!$B$9*$A12)*_xlfn.NORM.S.DIST(((LN(MonteCarlo!$B$6/MonteCarlo!$B$5)+(MonteCarlo!$B$9+(B$1^2)/2)*$A12)/(B$1*SQRT($A12)))-(B$1*SQRT($A12)),TRUE),MonteCarlo!$B$5*EXP(-MonteCarlo!$B$9*$A12)*_xlfn.NORM.S.DIST(-(((LN(MonteCarlo!$B$6/MonteCarlo!$B$5)+(MonteCarlo!$B$9+(B$1^2)/2)*$A12)/(B$1*SQRT($A12)))-(B$1*SQRT($A12))),TRUE)-MonteCarlo!$B$6*_xlfn.NORM.S.DIST(-((LN(MonteCarlo!$B$6/MonteCarlo!$B$5)+(MonteCarlo!$B$9+(B$1^2)/2)*$A12)/(B$1*SQRT($A12))),TRUE)),"")</f>
        <v/>
      </c>
      <c r="C12" t="str">
        <f>IFERROR(IF(OR(MonteCarlo!$B$4="C",MonteCarlo!$B$4="c"),MonteCarlo!$B$6*_xlfn.NORM.S.DIST((LN(MonteCarlo!$B$6/MonteCarlo!$B$5)+(MonteCarlo!$B$9+(C$1^2)/2)*$A12)/(C$1*SQRT($A12)),TRUE)-MonteCarlo!$B$5*EXP(-MonteCarlo!$B$9*$A12)*_xlfn.NORM.S.DIST(((LN(MonteCarlo!$B$6/MonteCarlo!$B$5)+(MonteCarlo!$B$9+(C$1^2)/2)*$A12)/(C$1*SQRT($A12)))-(C$1*SQRT($A12)),TRUE),MonteCarlo!$B$5*EXP(-MonteCarlo!$B$9*$A12)*_xlfn.NORM.S.DIST(-(((LN(MonteCarlo!$B$6/MonteCarlo!$B$5)+(MonteCarlo!$B$9+(C$1^2)/2)*$A12)/(C$1*SQRT($A12)))-(C$1*SQRT($A12))),TRUE)-MonteCarlo!$B$6*_xlfn.NORM.S.DIST(-((LN(MonteCarlo!$B$6/MonteCarlo!$B$5)+(MonteCarlo!$B$9+(C$1^2)/2)*$A12)/(C$1*SQRT($A12))),TRUE)),"")</f>
        <v/>
      </c>
      <c r="D12" t="str">
        <f>IFERROR(IF(OR(MonteCarlo!$B$4="C",MonteCarlo!$B$4="c"),MonteCarlo!$B$6*_xlfn.NORM.S.DIST((LN(MonteCarlo!$B$6/MonteCarlo!$B$5)+(MonteCarlo!$B$9+(D$1^2)/2)*$A12)/(D$1*SQRT($A12)),TRUE)-MonteCarlo!$B$5*EXP(-MonteCarlo!$B$9*$A12)*_xlfn.NORM.S.DIST(((LN(MonteCarlo!$B$6/MonteCarlo!$B$5)+(MonteCarlo!$B$9+(D$1^2)/2)*$A12)/(D$1*SQRT($A12)))-(D$1*SQRT($A12)),TRUE),MonteCarlo!$B$5*EXP(-MonteCarlo!$B$9*$A12)*_xlfn.NORM.S.DIST(-(((LN(MonteCarlo!$B$6/MonteCarlo!$B$5)+(MonteCarlo!$B$9+(D$1^2)/2)*$A12)/(D$1*SQRT($A12)))-(D$1*SQRT($A12))),TRUE)-MonteCarlo!$B$6*_xlfn.NORM.S.DIST(-((LN(MonteCarlo!$B$6/MonteCarlo!$B$5)+(MonteCarlo!$B$9+(D$1^2)/2)*$A12)/(D$1*SQRT($A12))),TRUE)),"")</f>
        <v/>
      </c>
      <c r="E12" t="str">
        <f>IFERROR(IF(OR(MonteCarlo!$B$4="C",MonteCarlo!$B$4="c"),MonteCarlo!$B$6*_xlfn.NORM.S.DIST((LN(MonteCarlo!$B$6/MonteCarlo!$B$5)+(MonteCarlo!$B$9+(E$1^2)/2)*$A12)/(E$1*SQRT($A12)),TRUE)-MonteCarlo!$B$5*EXP(-MonteCarlo!$B$9*$A12)*_xlfn.NORM.S.DIST(((LN(MonteCarlo!$B$6/MonteCarlo!$B$5)+(MonteCarlo!$B$9+(E$1^2)/2)*$A12)/(E$1*SQRT($A12)))-(E$1*SQRT($A12)),TRUE),MonteCarlo!$B$5*EXP(-MonteCarlo!$B$9*$A12)*_xlfn.NORM.S.DIST(-(((LN(MonteCarlo!$B$6/MonteCarlo!$B$5)+(MonteCarlo!$B$9+(E$1^2)/2)*$A12)/(E$1*SQRT($A12)))-(E$1*SQRT($A12))),TRUE)-MonteCarlo!$B$6*_xlfn.NORM.S.DIST(-((LN(MonteCarlo!$B$6/MonteCarlo!$B$5)+(MonteCarlo!$B$9+(E$1^2)/2)*$A12)/(E$1*SQRT($A12))),TRUE)),"")</f>
        <v/>
      </c>
      <c r="F12" t="str">
        <f>IFERROR(IF(OR(MonteCarlo!$B$4="C",MonteCarlo!$B$4="c"),MonteCarlo!$B$6*_xlfn.NORM.S.DIST((LN(MonteCarlo!$B$6/MonteCarlo!$B$5)+(MonteCarlo!$B$9+(F$1^2)/2)*$A12)/(F$1*SQRT($A12)),TRUE)-MonteCarlo!$B$5*EXP(-MonteCarlo!$B$9*$A12)*_xlfn.NORM.S.DIST(((LN(MonteCarlo!$B$6/MonteCarlo!$B$5)+(MonteCarlo!$B$9+(F$1^2)/2)*$A12)/(F$1*SQRT($A12)))-(F$1*SQRT($A12)),TRUE),MonteCarlo!$B$5*EXP(-MonteCarlo!$B$9*$A12)*_xlfn.NORM.S.DIST(-(((LN(MonteCarlo!$B$6/MonteCarlo!$B$5)+(MonteCarlo!$B$9+(F$1^2)/2)*$A12)/(F$1*SQRT($A12)))-(F$1*SQRT($A12))),TRUE)-MonteCarlo!$B$6*_xlfn.NORM.S.DIST(-((LN(MonteCarlo!$B$6/MonteCarlo!$B$5)+(MonteCarlo!$B$9+(F$1^2)/2)*$A12)/(F$1*SQRT($A12))),TRUE)),"")</f>
        <v/>
      </c>
      <c r="G12" t="str">
        <f>IFERROR(IF(OR(MonteCarlo!$B$4="C",MonteCarlo!$B$4="c"),MonteCarlo!$B$6*_xlfn.NORM.S.DIST((LN(MonteCarlo!$B$6/MonteCarlo!$B$5)+(MonteCarlo!$B$9+(G$1^2)/2)*$A12)/(G$1*SQRT($A12)),TRUE)-MonteCarlo!$B$5*EXP(-MonteCarlo!$B$9*$A12)*_xlfn.NORM.S.DIST(((LN(MonteCarlo!$B$6/MonteCarlo!$B$5)+(MonteCarlo!$B$9+(G$1^2)/2)*$A12)/(G$1*SQRT($A12)))-(G$1*SQRT($A12)),TRUE),MonteCarlo!$B$5*EXP(-MonteCarlo!$B$9*$A12)*_xlfn.NORM.S.DIST(-(((LN(MonteCarlo!$B$6/MonteCarlo!$B$5)+(MonteCarlo!$B$9+(G$1^2)/2)*$A12)/(G$1*SQRT($A12)))-(G$1*SQRT($A12))),TRUE)-MonteCarlo!$B$6*_xlfn.NORM.S.DIST(-((LN(MonteCarlo!$B$6/MonteCarlo!$B$5)+(MonteCarlo!$B$9+(G$1^2)/2)*$A12)/(G$1*SQRT($A12))),TRUE)),"")</f>
        <v/>
      </c>
      <c r="H12" t="str">
        <f>IFERROR(IF(OR(MonteCarlo!$B$4="C",MonteCarlo!$B$4="c"),MonteCarlo!$B$6*_xlfn.NORM.S.DIST((LN(MonteCarlo!$B$6/MonteCarlo!$B$5)+(MonteCarlo!$B$9+(H$1^2)/2)*$A12)/(H$1*SQRT($A12)),TRUE)-MonteCarlo!$B$5*EXP(-MonteCarlo!$B$9*$A12)*_xlfn.NORM.S.DIST(((LN(MonteCarlo!$B$6/MonteCarlo!$B$5)+(MonteCarlo!$B$9+(H$1^2)/2)*$A12)/(H$1*SQRT($A12)))-(H$1*SQRT($A12)),TRUE),MonteCarlo!$B$5*EXP(-MonteCarlo!$B$9*$A12)*_xlfn.NORM.S.DIST(-(((LN(MonteCarlo!$B$6/MonteCarlo!$B$5)+(MonteCarlo!$B$9+(H$1^2)/2)*$A12)/(H$1*SQRT($A12)))-(H$1*SQRT($A12))),TRUE)-MonteCarlo!$B$6*_xlfn.NORM.S.DIST(-((LN(MonteCarlo!$B$6/MonteCarlo!$B$5)+(MonteCarlo!$B$9+(H$1^2)/2)*$A12)/(H$1*SQRT($A12))),TRUE)),"")</f>
        <v/>
      </c>
      <c r="I12" t="str">
        <f>IFERROR(IF(OR(MonteCarlo!$B$4="C",MonteCarlo!$B$4="c"),MonteCarlo!$B$6*_xlfn.NORM.S.DIST((LN(MonteCarlo!$B$6/MonteCarlo!$B$5)+(MonteCarlo!$B$9+(I$1^2)/2)*$A12)/(I$1*SQRT($A12)),TRUE)-MonteCarlo!$B$5*EXP(-MonteCarlo!$B$9*$A12)*_xlfn.NORM.S.DIST(((LN(MonteCarlo!$B$6/MonteCarlo!$B$5)+(MonteCarlo!$B$9+(I$1^2)/2)*$A12)/(I$1*SQRT($A12)))-(I$1*SQRT($A12)),TRUE),MonteCarlo!$B$5*EXP(-MonteCarlo!$B$9*$A12)*_xlfn.NORM.S.DIST(-(((LN(MonteCarlo!$B$6/MonteCarlo!$B$5)+(MonteCarlo!$B$9+(I$1^2)/2)*$A12)/(I$1*SQRT($A12)))-(I$1*SQRT($A12))),TRUE)-MonteCarlo!$B$6*_xlfn.NORM.S.DIST(-((LN(MonteCarlo!$B$6/MonteCarlo!$B$5)+(MonteCarlo!$B$9+(I$1^2)/2)*$A12)/(I$1*SQRT($A12))),TRUE)),"")</f>
        <v/>
      </c>
      <c r="J12" t="str">
        <f>IFERROR(IF(OR(MonteCarlo!$B$4="C",MonteCarlo!$B$4="c"),MonteCarlo!$B$6*_xlfn.NORM.S.DIST((LN(MonteCarlo!$B$6/MonteCarlo!$B$5)+(MonteCarlo!$B$9+(J$1^2)/2)*$A12)/(J$1*SQRT($A12)),TRUE)-MonteCarlo!$B$5*EXP(-MonteCarlo!$B$9*$A12)*_xlfn.NORM.S.DIST(((LN(MonteCarlo!$B$6/MonteCarlo!$B$5)+(MonteCarlo!$B$9+(J$1^2)/2)*$A12)/(J$1*SQRT($A12)))-(J$1*SQRT($A12)),TRUE),MonteCarlo!$B$5*EXP(-MonteCarlo!$B$9*$A12)*_xlfn.NORM.S.DIST(-(((LN(MonteCarlo!$B$6/MonteCarlo!$B$5)+(MonteCarlo!$B$9+(J$1^2)/2)*$A12)/(J$1*SQRT($A12)))-(J$1*SQRT($A12))),TRUE)-MonteCarlo!$B$6*_xlfn.NORM.S.DIST(-((LN(MonteCarlo!$B$6/MonteCarlo!$B$5)+(MonteCarlo!$B$9+(J$1^2)/2)*$A12)/(J$1*SQRT($A12))),TRUE)),"")</f>
        <v/>
      </c>
      <c r="K12" t="str">
        <f>IFERROR(IF(OR(MonteCarlo!$B$4="C",MonteCarlo!$B$4="c"),MonteCarlo!$B$6*_xlfn.NORM.S.DIST((LN(MonteCarlo!$B$6/MonteCarlo!$B$5)+(MonteCarlo!$B$9+(K$1^2)/2)*$A12)/(K$1*SQRT($A12)),TRUE)-MonteCarlo!$B$5*EXP(-MonteCarlo!$B$9*$A12)*_xlfn.NORM.S.DIST(((LN(MonteCarlo!$B$6/MonteCarlo!$B$5)+(MonteCarlo!$B$9+(K$1^2)/2)*$A12)/(K$1*SQRT($A12)))-(K$1*SQRT($A12)),TRUE),MonteCarlo!$B$5*EXP(-MonteCarlo!$B$9*$A12)*_xlfn.NORM.S.DIST(-(((LN(MonteCarlo!$B$6/MonteCarlo!$B$5)+(MonteCarlo!$B$9+(K$1^2)/2)*$A12)/(K$1*SQRT($A12)))-(K$1*SQRT($A12))),TRUE)-MonteCarlo!$B$6*_xlfn.NORM.S.DIST(-((LN(MonteCarlo!$B$6/MonteCarlo!$B$5)+(MonteCarlo!$B$9+(K$1^2)/2)*$A12)/(K$1*SQRT($A12))),TRUE)),"")</f>
        <v/>
      </c>
      <c r="L12" t="str">
        <f>IFERROR(IF(OR(MonteCarlo!$B$4="C",MonteCarlo!$B$4="c"),MonteCarlo!$B$6*_xlfn.NORM.S.DIST((LN(MonteCarlo!$B$6/MonteCarlo!$B$5)+(MonteCarlo!$B$9+(L$1^2)/2)*$A12)/(L$1*SQRT($A12)),TRUE)-MonteCarlo!$B$5*EXP(-MonteCarlo!$B$9*$A12)*_xlfn.NORM.S.DIST(((LN(MonteCarlo!$B$6/MonteCarlo!$B$5)+(MonteCarlo!$B$9+(L$1^2)/2)*$A12)/(L$1*SQRT($A12)))-(L$1*SQRT($A12)),TRUE),MonteCarlo!$B$5*EXP(-MonteCarlo!$B$9*$A12)*_xlfn.NORM.S.DIST(-(((LN(MonteCarlo!$B$6/MonteCarlo!$B$5)+(MonteCarlo!$B$9+(L$1^2)/2)*$A12)/(L$1*SQRT($A12)))-(L$1*SQRT($A12))),TRUE)-MonteCarlo!$B$6*_xlfn.NORM.S.DIST(-((LN(MonteCarlo!$B$6/MonteCarlo!$B$5)+(MonteCarlo!$B$9+(L$1^2)/2)*$A12)/(L$1*SQRT($A12))),TRUE)),"")</f>
        <v/>
      </c>
      <c r="M12" t="str">
        <f>IFERROR(IF(OR(MonteCarlo!$B$4="C",MonteCarlo!$B$4="c"),MonteCarlo!$B$6*_xlfn.NORM.S.DIST((LN(MonteCarlo!$B$6/MonteCarlo!$B$5)+(MonteCarlo!$B$9+(M$1^2)/2)*$A12)/(M$1*SQRT($A12)),TRUE)-MonteCarlo!$B$5*EXP(-MonteCarlo!$B$9*$A12)*_xlfn.NORM.S.DIST(((LN(MonteCarlo!$B$6/MonteCarlo!$B$5)+(MonteCarlo!$B$9+(M$1^2)/2)*$A12)/(M$1*SQRT($A12)))-(M$1*SQRT($A12)),TRUE),MonteCarlo!$B$5*EXP(-MonteCarlo!$B$9*$A12)*_xlfn.NORM.S.DIST(-(((LN(MonteCarlo!$B$6/MonteCarlo!$B$5)+(MonteCarlo!$B$9+(M$1^2)/2)*$A12)/(M$1*SQRT($A12)))-(M$1*SQRT($A12))),TRUE)-MonteCarlo!$B$6*_xlfn.NORM.S.DIST(-((LN(MonteCarlo!$B$6/MonteCarlo!$B$5)+(MonteCarlo!$B$9+(M$1^2)/2)*$A12)/(M$1*SQRT($A12))),TRUE)),"")</f>
        <v/>
      </c>
      <c r="N12" t="str">
        <f>IFERROR(IF(OR(MonteCarlo!$B$4="C",MonteCarlo!$B$4="c"),MonteCarlo!$B$6*_xlfn.NORM.S.DIST((LN(MonteCarlo!$B$6/MonteCarlo!$B$5)+(MonteCarlo!$B$9+(N$1^2)/2)*$A12)/(N$1*SQRT($A12)),TRUE)-MonteCarlo!$B$5*EXP(-MonteCarlo!$B$9*$A12)*_xlfn.NORM.S.DIST(((LN(MonteCarlo!$B$6/MonteCarlo!$B$5)+(MonteCarlo!$B$9+(N$1^2)/2)*$A12)/(N$1*SQRT($A12)))-(N$1*SQRT($A12)),TRUE),MonteCarlo!$B$5*EXP(-MonteCarlo!$B$9*$A12)*_xlfn.NORM.S.DIST(-(((LN(MonteCarlo!$B$6/MonteCarlo!$B$5)+(MonteCarlo!$B$9+(N$1^2)/2)*$A12)/(N$1*SQRT($A12)))-(N$1*SQRT($A12))),TRUE)-MonteCarlo!$B$6*_xlfn.NORM.S.DIST(-((LN(MonteCarlo!$B$6/MonteCarlo!$B$5)+(MonteCarlo!$B$9+(N$1^2)/2)*$A12)/(N$1*SQRT($A12))),TRUE)),"")</f>
        <v/>
      </c>
      <c r="O12" t="str">
        <f>IFERROR(IF(OR(MonteCarlo!$B$4="C",MonteCarlo!$B$4="c"),MonteCarlo!$B$6*_xlfn.NORM.S.DIST((LN(MonteCarlo!$B$6/MonteCarlo!$B$5)+(MonteCarlo!$B$9+(O$1^2)/2)*$A12)/(O$1*SQRT($A12)),TRUE)-MonteCarlo!$B$5*EXP(-MonteCarlo!$B$9*$A12)*_xlfn.NORM.S.DIST(((LN(MonteCarlo!$B$6/MonteCarlo!$B$5)+(MonteCarlo!$B$9+(O$1^2)/2)*$A12)/(O$1*SQRT($A12)))-(O$1*SQRT($A12)),TRUE),MonteCarlo!$B$5*EXP(-MonteCarlo!$B$9*$A12)*_xlfn.NORM.S.DIST(-(((LN(MonteCarlo!$B$6/MonteCarlo!$B$5)+(MonteCarlo!$B$9+(O$1^2)/2)*$A12)/(O$1*SQRT($A12)))-(O$1*SQRT($A12))),TRUE)-MonteCarlo!$B$6*_xlfn.NORM.S.DIST(-((LN(MonteCarlo!$B$6/MonteCarlo!$B$5)+(MonteCarlo!$B$9+(O$1^2)/2)*$A12)/(O$1*SQRT($A12))),TRUE)),"")</f>
        <v/>
      </c>
      <c r="P12" t="str">
        <f>IFERROR(IF(OR(MonteCarlo!$B$4="C",MonteCarlo!$B$4="c"),MonteCarlo!$B$6*_xlfn.NORM.S.DIST((LN(MonteCarlo!$B$6/MonteCarlo!$B$5)+(MonteCarlo!$B$9+(P$1^2)/2)*$A12)/(P$1*SQRT($A12)),TRUE)-MonteCarlo!$B$5*EXP(-MonteCarlo!$B$9*$A12)*_xlfn.NORM.S.DIST(((LN(MonteCarlo!$B$6/MonteCarlo!$B$5)+(MonteCarlo!$B$9+(P$1^2)/2)*$A12)/(P$1*SQRT($A12)))-(P$1*SQRT($A12)),TRUE),MonteCarlo!$B$5*EXP(-MonteCarlo!$B$9*$A12)*_xlfn.NORM.S.DIST(-(((LN(MonteCarlo!$B$6/MonteCarlo!$B$5)+(MonteCarlo!$B$9+(P$1^2)/2)*$A12)/(P$1*SQRT($A12)))-(P$1*SQRT($A12))),TRUE)-MonteCarlo!$B$6*_xlfn.NORM.S.DIST(-((LN(MonteCarlo!$B$6/MonteCarlo!$B$5)+(MonteCarlo!$B$9+(P$1^2)/2)*$A12)/(P$1*SQRT($A12))),TRUE)),"")</f>
        <v/>
      </c>
      <c r="Q12" t="str">
        <f>IFERROR(IF(OR(MonteCarlo!$B$4="C",MonteCarlo!$B$4="c"),MonteCarlo!$B$6*_xlfn.NORM.S.DIST((LN(MonteCarlo!$B$6/MonteCarlo!$B$5)+(MonteCarlo!$B$9+(Q$1^2)/2)*$A12)/(Q$1*SQRT($A12)),TRUE)-MonteCarlo!$B$5*EXP(-MonteCarlo!$B$9*$A12)*_xlfn.NORM.S.DIST(((LN(MonteCarlo!$B$6/MonteCarlo!$B$5)+(MonteCarlo!$B$9+(Q$1^2)/2)*$A12)/(Q$1*SQRT($A12)))-(Q$1*SQRT($A12)),TRUE),MonteCarlo!$B$5*EXP(-MonteCarlo!$B$9*$A12)*_xlfn.NORM.S.DIST(-(((LN(MonteCarlo!$B$6/MonteCarlo!$B$5)+(MonteCarlo!$B$9+(Q$1^2)/2)*$A12)/(Q$1*SQRT($A12)))-(Q$1*SQRT($A12))),TRUE)-MonteCarlo!$B$6*_xlfn.NORM.S.DIST(-((LN(MonteCarlo!$B$6/MonteCarlo!$B$5)+(MonteCarlo!$B$9+(Q$1^2)/2)*$A12)/(Q$1*SQRT($A12))),TRUE)),"")</f>
        <v/>
      </c>
      <c r="R12" t="str">
        <f>IFERROR(IF(OR(MonteCarlo!$B$4="C",MonteCarlo!$B$4="c"),MonteCarlo!$B$6*_xlfn.NORM.S.DIST((LN(MonteCarlo!$B$6/MonteCarlo!$B$5)+(MonteCarlo!$B$9+(R$1^2)/2)*$A12)/(R$1*SQRT($A12)),TRUE)-MonteCarlo!$B$5*EXP(-MonteCarlo!$B$9*$A12)*_xlfn.NORM.S.DIST(((LN(MonteCarlo!$B$6/MonteCarlo!$B$5)+(MonteCarlo!$B$9+(R$1^2)/2)*$A12)/(R$1*SQRT($A12)))-(R$1*SQRT($A12)),TRUE),MonteCarlo!$B$5*EXP(-MonteCarlo!$B$9*$A12)*_xlfn.NORM.S.DIST(-(((LN(MonteCarlo!$B$6/MonteCarlo!$B$5)+(MonteCarlo!$B$9+(R$1^2)/2)*$A12)/(R$1*SQRT($A12)))-(R$1*SQRT($A12))),TRUE)-MonteCarlo!$B$6*_xlfn.NORM.S.DIST(-((LN(MonteCarlo!$B$6/MonteCarlo!$B$5)+(MonteCarlo!$B$9+(R$1^2)/2)*$A12)/(R$1*SQRT($A12))),TRUE)),"")</f>
        <v/>
      </c>
      <c r="S12" t="str">
        <f>IFERROR(IF(OR(MonteCarlo!$B$4="C",MonteCarlo!$B$4="c"),MonteCarlo!$B$6*_xlfn.NORM.S.DIST((LN(MonteCarlo!$B$6/MonteCarlo!$B$5)+(MonteCarlo!$B$9+(S$1^2)/2)*$A12)/(S$1*SQRT($A12)),TRUE)-MonteCarlo!$B$5*EXP(-MonteCarlo!$B$9*$A12)*_xlfn.NORM.S.DIST(((LN(MonteCarlo!$B$6/MonteCarlo!$B$5)+(MonteCarlo!$B$9+(S$1^2)/2)*$A12)/(S$1*SQRT($A12)))-(S$1*SQRT($A12)),TRUE),MonteCarlo!$B$5*EXP(-MonteCarlo!$B$9*$A12)*_xlfn.NORM.S.DIST(-(((LN(MonteCarlo!$B$6/MonteCarlo!$B$5)+(MonteCarlo!$B$9+(S$1^2)/2)*$A12)/(S$1*SQRT($A12)))-(S$1*SQRT($A12))),TRUE)-MonteCarlo!$B$6*_xlfn.NORM.S.DIST(-((LN(MonteCarlo!$B$6/MonteCarlo!$B$5)+(MonteCarlo!$B$9+(S$1^2)/2)*$A12)/(S$1*SQRT($A12))),TRUE)),"")</f>
        <v/>
      </c>
      <c r="T12" t="str">
        <f>IFERROR(IF(OR(MonteCarlo!$B$4="C",MonteCarlo!$B$4="c"),MonteCarlo!$B$6*_xlfn.NORM.S.DIST((LN(MonteCarlo!$B$6/MonteCarlo!$B$5)+(MonteCarlo!$B$9+(T$1^2)/2)*$A12)/(T$1*SQRT($A12)),TRUE)-MonteCarlo!$B$5*EXP(-MonteCarlo!$B$9*$A12)*_xlfn.NORM.S.DIST(((LN(MonteCarlo!$B$6/MonteCarlo!$B$5)+(MonteCarlo!$B$9+(T$1^2)/2)*$A12)/(T$1*SQRT($A12)))-(T$1*SQRT($A12)),TRUE),MonteCarlo!$B$5*EXP(-MonteCarlo!$B$9*$A12)*_xlfn.NORM.S.DIST(-(((LN(MonteCarlo!$B$6/MonteCarlo!$B$5)+(MonteCarlo!$B$9+(T$1^2)/2)*$A12)/(T$1*SQRT($A12)))-(T$1*SQRT($A12))),TRUE)-MonteCarlo!$B$6*_xlfn.NORM.S.DIST(-((LN(MonteCarlo!$B$6/MonteCarlo!$B$5)+(MonteCarlo!$B$9+(T$1^2)/2)*$A12)/(T$1*SQRT($A12))),TRUE)),"")</f>
        <v/>
      </c>
      <c r="U12" t="str">
        <f>IFERROR(IF(OR(MonteCarlo!$B$4="C",MonteCarlo!$B$4="c"),MonteCarlo!$B$6*_xlfn.NORM.S.DIST((LN(MonteCarlo!$B$6/MonteCarlo!$B$5)+(MonteCarlo!$B$9+(U$1^2)/2)*$A12)/(U$1*SQRT($A12)),TRUE)-MonteCarlo!$B$5*EXP(-MonteCarlo!$B$9*$A12)*_xlfn.NORM.S.DIST(((LN(MonteCarlo!$B$6/MonteCarlo!$B$5)+(MonteCarlo!$B$9+(U$1^2)/2)*$A12)/(U$1*SQRT($A12)))-(U$1*SQRT($A12)),TRUE),MonteCarlo!$B$5*EXP(-MonteCarlo!$B$9*$A12)*_xlfn.NORM.S.DIST(-(((LN(MonteCarlo!$B$6/MonteCarlo!$B$5)+(MonteCarlo!$B$9+(U$1^2)/2)*$A12)/(U$1*SQRT($A12)))-(U$1*SQRT($A12))),TRUE)-MonteCarlo!$B$6*_xlfn.NORM.S.DIST(-((LN(MonteCarlo!$B$6/MonteCarlo!$B$5)+(MonteCarlo!$B$9+(U$1^2)/2)*$A12)/(U$1*SQRT($A12))),TRUE)),"")</f>
        <v/>
      </c>
      <c r="V12" t="str">
        <f>IFERROR(IF(OR(MonteCarlo!$B$4="C",MonteCarlo!$B$4="c"),MonteCarlo!$B$6*_xlfn.NORM.S.DIST((LN(MonteCarlo!$B$6/MonteCarlo!$B$5)+(MonteCarlo!$B$9+(V$1^2)/2)*$A12)/(V$1*SQRT($A12)),TRUE)-MonteCarlo!$B$5*EXP(-MonteCarlo!$B$9*$A12)*_xlfn.NORM.S.DIST(((LN(MonteCarlo!$B$6/MonteCarlo!$B$5)+(MonteCarlo!$B$9+(V$1^2)/2)*$A12)/(V$1*SQRT($A12)))-(V$1*SQRT($A12)),TRUE),MonteCarlo!$B$5*EXP(-MonteCarlo!$B$9*$A12)*_xlfn.NORM.S.DIST(-(((LN(MonteCarlo!$B$6/MonteCarlo!$B$5)+(MonteCarlo!$B$9+(V$1^2)/2)*$A12)/(V$1*SQRT($A12)))-(V$1*SQRT($A12))),TRUE)-MonteCarlo!$B$6*_xlfn.NORM.S.DIST(-((LN(MonteCarlo!$B$6/MonteCarlo!$B$5)+(MonteCarlo!$B$9+(V$1^2)/2)*$A12)/(V$1*SQRT($A12))),TRUE)),"")</f>
        <v/>
      </c>
      <c r="W12" t="str">
        <f>IFERROR(IF(OR(MonteCarlo!$B$4="C",MonteCarlo!$B$4="c"),MonteCarlo!$B$6*_xlfn.NORM.S.DIST((LN(MonteCarlo!$B$6/MonteCarlo!$B$5)+(MonteCarlo!$B$9+(W$1^2)/2)*$A12)/(W$1*SQRT($A12)),TRUE)-MonteCarlo!$B$5*EXP(-MonteCarlo!$B$9*$A12)*_xlfn.NORM.S.DIST(((LN(MonteCarlo!$B$6/MonteCarlo!$B$5)+(MonteCarlo!$B$9+(W$1^2)/2)*$A12)/(W$1*SQRT($A12)))-(W$1*SQRT($A12)),TRUE),MonteCarlo!$B$5*EXP(-MonteCarlo!$B$9*$A12)*_xlfn.NORM.S.DIST(-(((LN(MonteCarlo!$B$6/MonteCarlo!$B$5)+(MonteCarlo!$B$9+(W$1^2)/2)*$A12)/(W$1*SQRT($A12)))-(W$1*SQRT($A12))),TRUE)-MonteCarlo!$B$6*_xlfn.NORM.S.DIST(-((LN(MonteCarlo!$B$6/MonteCarlo!$B$5)+(MonteCarlo!$B$9+(W$1^2)/2)*$A12)/(W$1*SQRT($A12))),TRUE)),"")</f>
        <v/>
      </c>
      <c r="X12" t="str">
        <f>IFERROR(IF(OR(MonteCarlo!$B$4="C",MonteCarlo!$B$4="c"),MonteCarlo!$B$6*_xlfn.NORM.S.DIST((LN(MonteCarlo!$B$6/MonteCarlo!$B$5)+(MonteCarlo!$B$9+(X$1^2)/2)*$A12)/(X$1*SQRT($A12)),TRUE)-MonteCarlo!$B$5*EXP(-MonteCarlo!$B$9*$A12)*_xlfn.NORM.S.DIST(((LN(MonteCarlo!$B$6/MonteCarlo!$B$5)+(MonteCarlo!$B$9+(X$1^2)/2)*$A12)/(X$1*SQRT($A12)))-(X$1*SQRT($A12)),TRUE),MonteCarlo!$B$5*EXP(-MonteCarlo!$B$9*$A12)*_xlfn.NORM.S.DIST(-(((LN(MonteCarlo!$B$6/MonteCarlo!$B$5)+(MonteCarlo!$B$9+(X$1^2)/2)*$A12)/(X$1*SQRT($A12)))-(X$1*SQRT($A12))),TRUE)-MonteCarlo!$B$6*_xlfn.NORM.S.DIST(-((LN(MonteCarlo!$B$6/MonteCarlo!$B$5)+(MonteCarlo!$B$9+(X$1^2)/2)*$A12)/(X$1*SQRT($A12))),TRUE)),"")</f>
        <v/>
      </c>
      <c r="Y12" t="str">
        <f>IFERROR(IF(OR(MonteCarlo!$B$4="C",MonteCarlo!$B$4="c"),MonteCarlo!$B$6*_xlfn.NORM.S.DIST((LN(MonteCarlo!$B$6/MonteCarlo!$B$5)+(MonteCarlo!$B$9+(Y$1^2)/2)*$A12)/(Y$1*SQRT($A12)),TRUE)-MonteCarlo!$B$5*EXP(-MonteCarlo!$B$9*$A12)*_xlfn.NORM.S.DIST(((LN(MonteCarlo!$B$6/MonteCarlo!$B$5)+(MonteCarlo!$B$9+(Y$1^2)/2)*$A12)/(Y$1*SQRT($A12)))-(Y$1*SQRT($A12)),TRUE),MonteCarlo!$B$5*EXP(-MonteCarlo!$B$9*$A12)*_xlfn.NORM.S.DIST(-(((LN(MonteCarlo!$B$6/MonteCarlo!$B$5)+(MonteCarlo!$B$9+(Y$1^2)/2)*$A12)/(Y$1*SQRT($A12)))-(Y$1*SQRT($A12))),TRUE)-MonteCarlo!$B$6*_xlfn.NORM.S.DIST(-((LN(MonteCarlo!$B$6/MonteCarlo!$B$5)+(MonteCarlo!$B$9+(Y$1^2)/2)*$A12)/(Y$1*SQRT($A12))),TRUE)),"")</f>
        <v/>
      </c>
      <c r="Z12" t="str">
        <f>IFERROR(IF(OR(MonteCarlo!$B$4="C",MonteCarlo!$B$4="c"),MonteCarlo!$B$6*_xlfn.NORM.S.DIST((LN(MonteCarlo!$B$6/MonteCarlo!$B$5)+(MonteCarlo!$B$9+(Z$1^2)/2)*$A12)/(Z$1*SQRT($A12)),TRUE)-MonteCarlo!$B$5*EXP(-MonteCarlo!$B$9*$A12)*_xlfn.NORM.S.DIST(((LN(MonteCarlo!$B$6/MonteCarlo!$B$5)+(MonteCarlo!$B$9+(Z$1^2)/2)*$A12)/(Z$1*SQRT($A12)))-(Z$1*SQRT($A12)),TRUE),MonteCarlo!$B$5*EXP(-MonteCarlo!$B$9*$A12)*_xlfn.NORM.S.DIST(-(((LN(MonteCarlo!$B$6/MonteCarlo!$B$5)+(MonteCarlo!$B$9+(Z$1^2)/2)*$A12)/(Z$1*SQRT($A12)))-(Z$1*SQRT($A12))),TRUE)-MonteCarlo!$B$6*_xlfn.NORM.S.DIST(-((LN(MonteCarlo!$B$6/MonteCarlo!$B$5)+(MonteCarlo!$B$9+(Z$1^2)/2)*$A12)/(Z$1*SQRT($A12))),TRUE)),"")</f>
        <v/>
      </c>
      <c r="AA12" t="str">
        <f>IFERROR(IF(OR(MonteCarlo!$B$4="C",MonteCarlo!$B$4="c"),MonteCarlo!$B$6*_xlfn.NORM.S.DIST((LN(MonteCarlo!$B$6/MonteCarlo!$B$5)+(MonteCarlo!$B$9+(AA$1^2)/2)*$A12)/(AA$1*SQRT($A12)),TRUE)-MonteCarlo!$B$5*EXP(-MonteCarlo!$B$9*$A12)*_xlfn.NORM.S.DIST(((LN(MonteCarlo!$B$6/MonteCarlo!$B$5)+(MonteCarlo!$B$9+(AA$1^2)/2)*$A12)/(AA$1*SQRT($A12)))-(AA$1*SQRT($A12)),TRUE),MonteCarlo!$B$5*EXP(-MonteCarlo!$B$9*$A12)*_xlfn.NORM.S.DIST(-(((LN(MonteCarlo!$B$6/MonteCarlo!$B$5)+(MonteCarlo!$B$9+(AA$1^2)/2)*$A12)/(AA$1*SQRT($A12)))-(AA$1*SQRT($A12))),TRUE)-MonteCarlo!$B$6*_xlfn.NORM.S.DIST(-((LN(MonteCarlo!$B$6/MonteCarlo!$B$5)+(MonteCarlo!$B$9+(AA$1^2)/2)*$A12)/(AA$1*SQRT($A12))),TRUE)),"")</f>
        <v/>
      </c>
      <c r="AB12" t="str">
        <f>IFERROR(IF(OR(MonteCarlo!$B$4="C",MonteCarlo!$B$4="c"),MonteCarlo!$B$6*_xlfn.NORM.S.DIST((LN(MonteCarlo!$B$6/MonteCarlo!$B$5)+(MonteCarlo!$B$9+(AB$1^2)/2)*$A12)/(AB$1*SQRT($A12)),TRUE)-MonteCarlo!$B$5*EXP(-MonteCarlo!$B$9*$A12)*_xlfn.NORM.S.DIST(((LN(MonteCarlo!$B$6/MonteCarlo!$B$5)+(MonteCarlo!$B$9+(AB$1^2)/2)*$A12)/(AB$1*SQRT($A12)))-(AB$1*SQRT($A12)),TRUE),MonteCarlo!$B$5*EXP(-MonteCarlo!$B$9*$A12)*_xlfn.NORM.S.DIST(-(((LN(MonteCarlo!$B$6/MonteCarlo!$B$5)+(MonteCarlo!$B$9+(AB$1^2)/2)*$A12)/(AB$1*SQRT($A12)))-(AB$1*SQRT($A12))),TRUE)-MonteCarlo!$B$6*_xlfn.NORM.S.DIST(-((LN(MonteCarlo!$B$6/MonteCarlo!$B$5)+(MonteCarlo!$B$9+(AB$1^2)/2)*$A12)/(AB$1*SQRT($A12))),TRUE)),"")</f>
        <v/>
      </c>
      <c r="AC12" t="str">
        <f>IFERROR(IF(OR(MonteCarlo!$B$4="C",MonteCarlo!$B$4="c"),MonteCarlo!$B$6*_xlfn.NORM.S.DIST((LN(MonteCarlo!$B$6/MonteCarlo!$B$5)+(MonteCarlo!$B$9+(AC$1^2)/2)*$A12)/(AC$1*SQRT($A12)),TRUE)-MonteCarlo!$B$5*EXP(-MonteCarlo!$B$9*$A12)*_xlfn.NORM.S.DIST(((LN(MonteCarlo!$B$6/MonteCarlo!$B$5)+(MonteCarlo!$B$9+(AC$1^2)/2)*$A12)/(AC$1*SQRT($A12)))-(AC$1*SQRT($A12)),TRUE),MonteCarlo!$B$5*EXP(-MonteCarlo!$B$9*$A12)*_xlfn.NORM.S.DIST(-(((LN(MonteCarlo!$B$6/MonteCarlo!$B$5)+(MonteCarlo!$B$9+(AC$1^2)/2)*$A12)/(AC$1*SQRT($A12)))-(AC$1*SQRT($A12))),TRUE)-MonteCarlo!$B$6*_xlfn.NORM.S.DIST(-((LN(MonteCarlo!$B$6/MonteCarlo!$B$5)+(MonteCarlo!$B$9+(AC$1^2)/2)*$A12)/(AC$1*SQRT($A12))),TRUE)),"")</f>
        <v/>
      </c>
      <c r="AD12" t="str">
        <f>IFERROR(IF(OR(MonteCarlo!$B$4="C",MonteCarlo!$B$4="c"),MonteCarlo!$B$6*_xlfn.NORM.S.DIST((LN(MonteCarlo!$B$6/MonteCarlo!$B$5)+(MonteCarlo!$B$9+(AD$1^2)/2)*$A12)/(AD$1*SQRT($A12)),TRUE)-MonteCarlo!$B$5*EXP(-MonteCarlo!$B$9*$A12)*_xlfn.NORM.S.DIST(((LN(MonteCarlo!$B$6/MonteCarlo!$B$5)+(MonteCarlo!$B$9+(AD$1^2)/2)*$A12)/(AD$1*SQRT($A12)))-(AD$1*SQRT($A12)),TRUE),MonteCarlo!$B$5*EXP(-MonteCarlo!$B$9*$A12)*_xlfn.NORM.S.DIST(-(((LN(MonteCarlo!$B$6/MonteCarlo!$B$5)+(MonteCarlo!$B$9+(AD$1^2)/2)*$A12)/(AD$1*SQRT($A12)))-(AD$1*SQRT($A12))),TRUE)-MonteCarlo!$B$6*_xlfn.NORM.S.DIST(-((LN(MonteCarlo!$B$6/MonteCarlo!$B$5)+(MonteCarlo!$B$9+(AD$1^2)/2)*$A12)/(AD$1*SQRT($A12))),TRUE)),"")</f>
        <v/>
      </c>
      <c r="AE12" t="str">
        <f>IFERROR(IF(OR(MonteCarlo!$B$4="C",MonteCarlo!$B$4="c"),MonteCarlo!$B$6*_xlfn.NORM.S.DIST((LN(MonteCarlo!$B$6/MonteCarlo!$B$5)+(MonteCarlo!$B$9+(AE$1^2)/2)*$A12)/(AE$1*SQRT($A12)),TRUE)-MonteCarlo!$B$5*EXP(-MonteCarlo!$B$9*$A12)*_xlfn.NORM.S.DIST(((LN(MonteCarlo!$B$6/MonteCarlo!$B$5)+(MonteCarlo!$B$9+(AE$1^2)/2)*$A12)/(AE$1*SQRT($A12)))-(AE$1*SQRT($A12)),TRUE),MonteCarlo!$B$5*EXP(-MonteCarlo!$B$9*$A12)*_xlfn.NORM.S.DIST(-(((LN(MonteCarlo!$B$6/MonteCarlo!$B$5)+(MonteCarlo!$B$9+(AE$1^2)/2)*$A12)/(AE$1*SQRT($A12)))-(AE$1*SQRT($A12))),TRUE)-MonteCarlo!$B$6*_xlfn.NORM.S.DIST(-((LN(MonteCarlo!$B$6/MonteCarlo!$B$5)+(MonteCarlo!$B$9+(AE$1^2)/2)*$A12)/(AE$1*SQRT($A12))),TRUE)),"")</f>
        <v/>
      </c>
      <c r="AF12" t="str">
        <f>IFERROR(IF(OR(MonteCarlo!$B$4="C",MonteCarlo!$B$4="c"),MonteCarlo!$B$6*_xlfn.NORM.S.DIST((LN(MonteCarlo!$B$6/MonteCarlo!$B$5)+(MonteCarlo!$B$9+(AF$1^2)/2)*$A12)/(AF$1*SQRT($A12)),TRUE)-MonteCarlo!$B$5*EXP(-MonteCarlo!$B$9*$A12)*_xlfn.NORM.S.DIST(((LN(MonteCarlo!$B$6/MonteCarlo!$B$5)+(MonteCarlo!$B$9+(AF$1^2)/2)*$A12)/(AF$1*SQRT($A12)))-(AF$1*SQRT($A12)),TRUE),MonteCarlo!$B$5*EXP(-MonteCarlo!$B$9*$A12)*_xlfn.NORM.S.DIST(-(((LN(MonteCarlo!$B$6/MonteCarlo!$B$5)+(MonteCarlo!$B$9+(AF$1^2)/2)*$A12)/(AF$1*SQRT($A12)))-(AF$1*SQRT($A12))),TRUE)-MonteCarlo!$B$6*_xlfn.NORM.S.DIST(-((LN(MonteCarlo!$B$6/MonteCarlo!$B$5)+(MonteCarlo!$B$9+(AF$1^2)/2)*$A12)/(AF$1*SQRT($A12))),TRUE)),"")</f>
        <v/>
      </c>
    </row>
    <row r="13" spans="2:32" x14ac:dyDescent="0.25">
      <c r="B13" t="str">
        <f>IFERROR(IF(OR(MonteCarlo!$B$4="C",MonteCarlo!$B$4="c"),MonteCarlo!$B$6*_xlfn.NORM.S.DIST((LN(MonteCarlo!$B$6/MonteCarlo!$B$5)+(MonteCarlo!$B$9+(B$1^2)/2)*$A13)/(B$1*SQRT($A13)),TRUE)-MonteCarlo!$B$5*EXP(-MonteCarlo!$B$9*$A13)*_xlfn.NORM.S.DIST(((LN(MonteCarlo!$B$6/MonteCarlo!$B$5)+(MonteCarlo!$B$9+(B$1^2)/2)*$A13)/(B$1*SQRT($A13)))-(B$1*SQRT($A13)),TRUE),MonteCarlo!$B$5*EXP(-MonteCarlo!$B$9*$A13)*_xlfn.NORM.S.DIST(-(((LN(MonteCarlo!$B$6/MonteCarlo!$B$5)+(MonteCarlo!$B$9+(B$1^2)/2)*$A13)/(B$1*SQRT($A13)))-(B$1*SQRT($A13))),TRUE)-MonteCarlo!$B$6*_xlfn.NORM.S.DIST(-((LN(MonteCarlo!$B$6/MonteCarlo!$B$5)+(MonteCarlo!$B$9+(B$1^2)/2)*$A13)/(B$1*SQRT($A13))),TRUE)),"")</f>
        <v/>
      </c>
      <c r="C13" t="str">
        <f>IFERROR(IF(OR(MonteCarlo!$B$4="C",MonteCarlo!$B$4="c"),MonteCarlo!$B$6*_xlfn.NORM.S.DIST((LN(MonteCarlo!$B$6/MonteCarlo!$B$5)+(MonteCarlo!$B$9+(C$1^2)/2)*$A13)/(C$1*SQRT($A13)),TRUE)-MonteCarlo!$B$5*EXP(-MonteCarlo!$B$9*$A13)*_xlfn.NORM.S.DIST(((LN(MonteCarlo!$B$6/MonteCarlo!$B$5)+(MonteCarlo!$B$9+(C$1^2)/2)*$A13)/(C$1*SQRT($A13)))-(C$1*SQRT($A13)),TRUE),MonteCarlo!$B$5*EXP(-MonteCarlo!$B$9*$A13)*_xlfn.NORM.S.DIST(-(((LN(MonteCarlo!$B$6/MonteCarlo!$B$5)+(MonteCarlo!$B$9+(C$1^2)/2)*$A13)/(C$1*SQRT($A13)))-(C$1*SQRT($A13))),TRUE)-MonteCarlo!$B$6*_xlfn.NORM.S.DIST(-((LN(MonteCarlo!$B$6/MonteCarlo!$B$5)+(MonteCarlo!$B$9+(C$1^2)/2)*$A13)/(C$1*SQRT($A13))),TRUE)),"")</f>
        <v/>
      </c>
      <c r="D13" t="str">
        <f>IFERROR(IF(OR(MonteCarlo!$B$4="C",MonteCarlo!$B$4="c"),MonteCarlo!$B$6*_xlfn.NORM.S.DIST((LN(MonteCarlo!$B$6/MonteCarlo!$B$5)+(MonteCarlo!$B$9+(D$1^2)/2)*$A13)/(D$1*SQRT($A13)),TRUE)-MonteCarlo!$B$5*EXP(-MonteCarlo!$B$9*$A13)*_xlfn.NORM.S.DIST(((LN(MonteCarlo!$B$6/MonteCarlo!$B$5)+(MonteCarlo!$B$9+(D$1^2)/2)*$A13)/(D$1*SQRT($A13)))-(D$1*SQRT($A13)),TRUE),MonteCarlo!$B$5*EXP(-MonteCarlo!$B$9*$A13)*_xlfn.NORM.S.DIST(-(((LN(MonteCarlo!$B$6/MonteCarlo!$B$5)+(MonteCarlo!$B$9+(D$1^2)/2)*$A13)/(D$1*SQRT($A13)))-(D$1*SQRT($A13))),TRUE)-MonteCarlo!$B$6*_xlfn.NORM.S.DIST(-((LN(MonteCarlo!$B$6/MonteCarlo!$B$5)+(MonteCarlo!$B$9+(D$1^2)/2)*$A13)/(D$1*SQRT($A13))),TRUE)),"")</f>
        <v/>
      </c>
      <c r="E13" t="str">
        <f>IFERROR(IF(OR(MonteCarlo!$B$4="C",MonteCarlo!$B$4="c"),MonteCarlo!$B$6*_xlfn.NORM.S.DIST((LN(MonteCarlo!$B$6/MonteCarlo!$B$5)+(MonteCarlo!$B$9+(E$1^2)/2)*$A13)/(E$1*SQRT($A13)),TRUE)-MonteCarlo!$B$5*EXP(-MonteCarlo!$B$9*$A13)*_xlfn.NORM.S.DIST(((LN(MonteCarlo!$B$6/MonteCarlo!$B$5)+(MonteCarlo!$B$9+(E$1^2)/2)*$A13)/(E$1*SQRT($A13)))-(E$1*SQRT($A13)),TRUE),MonteCarlo!$B$5*EXP(-MonteCarlo!$B$9*$A13)*_xlfn.NORM.S.DIST(-(((LN(MonteCarlo!$B$6/MonteCarlo!$B$5)+(MonteCarlo!$B$9+(E$1^2)/2)*$A13)/(E$1*SQRT($A13)))-(E$1*SQRT($A13))),TRUE)-MonteCarlo!$B$6*_xlfn.NORM.S.DIST(-((LN(MonteCarlo!$B$6/MonteCarlo!$B$5)+(MonteCarlo!$B$9+(E$1^2)/2)*$A13)/(E$1*SQRT($A13))),TRUE)),"")</f>
        <v/>
      </c>
      <c r="F13" t="str">
        <f>IFERROR(IF(OR(MonteCarlo!$B$4="C",MonteCarlo!$B$4="c"),MonteCarlo!$B$6*_xlfn.NORM.S.DIST((LN(MonteCarlo!$B$6/MonteCarlo!$B$5)+(MonteCarlo!$B$9+(F$1^2)/2)*$A13)/(F$1*SQRT($A13)),TRUE)-MonteCarlo!$B$5*EXP(-MonteCarlo!$B$9*$A13)*_xlfn.NORM.S.DIST(((LN(MonteCarlo!$B$6/MonteCarlo!$B$5)+(MonteCarlo!$B$9+(F$1^2)/2)*$A13)/(F$1*SQRT($A13)))-(F$1*SQRT($A13)),TRUE),MonteCarlo!$B$5*EXP(-MonteCarlo!$B$9*$A13)*_xlfn.NORM.S.DIST(-(((LN(MonteCarlo!$B$6/MonteCarlo!$B$5)+(MonteCarlo!$B$9+(F$1^2)/2)*$A13)/(F$1*SQRT($A13)))-(F$1*SQRT($A13))),TRUE)-MonteCarlo!$B$6*_xlfn.NORM.S.DIST(-((LN(MonteCarlo!$B$6/MonteCarlo!$B$5)+(MonteCarlo!$B$9+(F$1^2)/2)*$A13)/(F$1*SQRT($A13))),TRUE)),"")</f>
        <v/>
      </c>
      <c r="G13" t="str">
        <f>IFERROR(IF(OR(MonteCarlo!$B$4="C",MonteCarlo!$B$4="c"),MonteCarlo!$B$6*_xlfn.NORM.S.DIST((LN(MonteCarlo!$B$6/MonteCarlo!$B$5)+(MonteCarlo!$B$9+(G$1^2)/2)*$A13)/(G$1*SQRT($A13)),TRUE)-MonteCarlo!$B$5*EXP(-MonteCarlo!$B$9*$A13)*_xlfn.NORM.S.DIST(((LN(MonteCarlo!$B$6/MonteCarlo!$B$5)+(MonteCarlo!$B$9+(G$1^2)/2)*$A13)/(G$1*SQRT($A13)))-(G$1*SQRT($A13)),TRUE),MonteCarlo!$B$5*EXP(-MonteCarlo!$B$9*$A13)*_xlfn.NORM.S.DIST(-(((LN(MonteCarlo!$B$6/MonteCarlo!$B$5)+(MonteCarlo!$B$9+(G$1^2)/2)*$A13)/(G$1*SQRT($A13)))-(G$1*SQRT($A13))),TRUE)-MonteCarlo!$B$6*_xlfn.NORM.S.DIST(-((LN(MonteCarlo!$B$6/MonteCarlo!$B$5)+(MonteCarlo!$B$9+(G$1^2)/2)*$A13)/(G$1*SQRT($A13))),TRUE)),"")</f>
        <v/>
      </c>
      <c r="H13" t="str">
        <f>IFERROR(IF(OR(MonteCarlo!$B$4="C",MonteCarlo!$B$4="c"),MonteCarlo!$B$6*_xlfn.NORM.S.DIST((LN(MonteCarlo!$B$6/MonteCarlo!$B$5)+(MonteCarlo!$B$9+(H$1^2)/2)*$A13)/(H$1*SQRT($A13)),TRUE)-MonteCarlo!$B$5*EXP(-MonteCarlo!$B$9*$A13)*_xlfn.NORM.S.DIST(((LN(MonteCarlo!$B$6/MonteCarlo!$B$5)+(MonteCarlo!$B$9+(H$1^2)/2)*$A13)/(H$1*SQRT($A13)))-(H$1*SQRT($A13)),TRUE),MonteCarlo!$B$5*EXP(-MonteCarlo!$B$9*$A13)*_xlfn.NORM.S.DIST(-(((LN(MonteCarlo!$B$6/MonteCarlo!$B$5)+(MonteCarlo!$B$9+(H$1^2)/2)*$A13)/(H$1*SQRT($A13)))-(H$1*SQRT($A13))),TRUE)-MonteCarlo!$B$6*_xlfn.NORM.S.DIST(-((LN(MonteCarlo!$B$6/MonteCarlo!$B$5)+(MonteCarlo!$B$9+(H$1^2)/2)*$A13)/(H$1*SQRT($A13))),TRUE)),"")</f>
        <v/>
      </c>
      <c r="I13" t="str">
        <f>IFERROR(IF(OR(MonteCarlo!$B$4="C",MonteCarlo!$B$4="c"),MonteCarlo!$B$6*_xlfn.NORM.S.DIST((LN(MonteCarlo!$B$6/MonteCarlo!$B$5)+(MonteCarlo!$B$9+(I$1^2)/2)*$A13)/(I$1*SQRT($A13)),TRUE)-MonteCarlo!$B$5*EXP(-MonteCarlo!$B$9*$A13)*_xlfn.NORM.S.DIST(((LN(MonteCarlo!$B$6/MonteCarlo!$B$5)+(MonteCarlo!$B$9+(I$1^2)/2)*$A13)/(I$1*SQRT($A13)))-(I$1*SQRT($A13)),TRUE),MonteCarlo!$B$5*EXP(-MonteCarlo!$B$9*$A13)*_xlfn.NORM.S.DIST(-(((LN(MonteCarlo!$B$6/MonteCarlo!$B$5)+(MonteCarlo!$B$9+(I$1^2)/2)*$A13)/(I$1*SQRT($A13)))-(I$1*SQRT($A13))),TRUE)-MonteCarlo!$B$6*_xlfn.NORM.S.DIST(-((LN(MonteCarlo!$B$6/MonteCarlo!$B$5)+(MonteCarlo!$B$9+(I$1^2)/2)*$A13)/(I$1*SQRT($A13))),TRUE)),"")</f>
        <v/>
      </c>
      <c r="J13" t="str">
        <f>IFERROR(IF(OR(MonteCarlo!$B$4="C",MonteCarlo!$B$4="c"),MonteCarlo!$B$6*_xlfn.NORM.S.DIST((LN(MonteCarlo!$B$6/MonteCarlo!$B$5)+(MonteCarlo!$B$9+(J$1^2)/2)*$A13)/(J$1*SQRT($A13)),TRUE)-MonteCarlo!$B$5*EXP(-MonteCarlo!$B$9*$A13)*_xlfn.NORM.S.DIST(((LN(MonteCarlo!$B$6/MonteCarlo!$B$5)+(MonteCarlo!$B$9+(J$1^2)/2)*$A13)/(J$1*SQRT($A13)))-(J$1*SQRT($A13)),TRUE),MonteCarlo!$B$5*EXP(-MonteCarlo!$B$9*$A13)*_xlfn.NORM.S.DIST(-(((LN(MonteCarlo!$B$6/MonteCarlo!$B$5)+(MonteCarlo!$B$9+(J$1^2)/2)*$A13)/(J$1*SQRT($A13)))-(J$1*SQRT($A13))),TRUE)-MonteCarlo!$B$6*_xlfn.NORM.S.DIST(-((LN(MonteCarlo!$B$6/MonteCarlo!$B$5)+(MonteCarlo!$B$9+(J$1^2)/2)*$A13)/(J$1*SQRT($A13))),TRUE)),"")</f>
        <v/>
      </c>
      <c r="K13" t="str">
        <f>IFERROR(IF(OR(MonteCarlo!$B$4="C",MonteCarlo!$B$4="c"),MonteCarlo!$B$6*_xlfn.NORM.S.DIST((LN(MonteCarlo!$B$6/MonteCarlo!$B$5)+(MonteCarlo!$B$9+(K$1^2)/2)*$A13)/(K$1*SQRT($A13)),TRUE)-MonteCarlo!$B$5*EXP(-MonteCarlo!$B$9*$A13)*_xlfn.NORM.S.DIST(((LN(MonteCarlo!$B$6/MonteCarlo!$B$5)+(MonteCarlo!$B$9+(K$1^2)/2)*$A13)/(K$1*SQRT($A13)))-(K$1*SQRT($A13)),TRUE),MonteCarlo!$B$5*EXP(-MonteCarlo!$B$9*$A13)*_xlfn.NORM.S.DIST(-(((LN(MonteCarlo!$B$6/MonteCarlo!$B$5)+(MonteCarlo!$B$9+(K$1^2)/2)*$A13)/(K$1*SQRT($A13)))-(K$1*SQRT($A13))),TRUE)-MonteCarlo!$B$6*_xlfn.NORM.S.DIST(-((LN(MonteCarlo!$B$6/MonteCarlo!$B$5)+(MonteCarlo!$B$9+(K$1^2)/2)*$A13)/(K$1*SQRT($A13))),TRUE)),"")</f>
        <v/>
      </c>
      <c r="L13" t="str">
        <f>IFERROR(IF(OR(MonteCarlo!$B$4="C",MonteCarlo!$B$4="c"),MonteCarlo!$B$6*_xlfn.NORM.S.DIST((LN(MonteCarlo!$B$6/MonteCarlo!$B$5)+(MonteCarlo!$B$9+(L$1^2)/2)*$A13)/(L$1*SQRT($A13)),TRUE)-MonteCarlo!$B$5*EXP(-MonteCarlo!$B$9*$A13)*_xlfn.NORM.S.DIST(((LN(MonteCarlo!$B$6/MonteCarlo!$B$5)+(MonteCarlo!$B$9+(L$1^2)/2)*$A13)/(L$1*SQRT($A13)))-(L$1*SQRT($A13)),TRUE),MonteCarlo!$B$5*EXP(-MonteCarlo!$B$9*$A13)*_xlfn.NORM.S.DIST(-(((LN(MonteCarlo!$B$6/MonteCarlo!$B$5)+(MonteCarlo!$B$9+(L$1^2)/2)*$A13)/(L$1*SQRT($A13)))-(L$1*SQRT($A13))),TRUE)-MonteCarlo!$B$6*_xlfn.NORM.S.DIST(-((LN(MonteCarlo!$B$6/MonteCarlo!$B$5)+(MonteCarlo!$B$9+(L$1^2)/2)*$A13)/(L$1*SQRT($A13))),TRUE)),"")</f>
        <v/>
      </c>
      <c r="M13" t="str">
        <f>IFERROR(IF(OR(MonteCarlo!$B$4="C",MonteCarlo!$B$4="c"),MonteCarlo!$B$6*_xlfn.NORM.S.DIST((LN(MonteCarlo!$B$6/MonteCarlo!$B$5)+(MonteCarlo!$B$9+(M$1^2)/2)*$A13)/(M$1*SQRT($A13)),TRUE)-MonteCarlo!$B$5*EXP(-MonteCarlo!$B$9*$A13)*_xlfn.NORM.S.DIST(((LN(MonteCarlo!$B$6/MonteCarlo!$B$5)+(MonteCarlo!$B$9+(M$1^2)/2)*$A13)/(M$1*SQRT($A13)))-(M$1*SQRT($A13)),TRUE),MonteCarlo!$B$5*EXP(-MonteCarlo!$B$9*$A13)*_xlfn.NORM.S.DIST(-(((LN(MonteCarlo!$B$6/MonteCarlo!$B$5)+(MonteCarlo!$B$9+(M$1^2)/2)*$A13)/(M$1*SQRT($A13)))-(M$1*SQRT($A13))),TRUE)-MonteCarlo!$B$6*_xlfn.NORM.S.DIST(-((LN(MonteCarlo!$B$6/MonteCarlo!$B$5)+(MonteCarlo!$B$9+(M$1^2)/2)*$A13)/(M$1*SQRT($A13))),TRUE)),"")</f>
        <v/>
      </c>
      <c r="N13" t="str">
        <f>IFERROR(IF(OR(MonteCarlo!$B$4="C",MonteCarlo!$B$4="c"),MonteCarlo!$B$6*_xlfn.NORM.S.DIST((LN(MonteCarlo!$B$6/MonteCarlo!$B$5)+(MonteCarlo!$B$9+(N$1^2)/2)*$A13)/(N$1*SQRT($A13)),TRUE)-MonteCarlo!$B$5*EXP(-MonteCarlo!$B$9*$A13)*_xlfn.NORM.S.DIST(((LN(MonteCarlo!$B$6/MonteCarlo!$B$5)+(MonteCarlo!$B$9+(N$1^2)/2)*$A13)/(N$1*SQRT($A13)))-(N$1*SQRT($A13)),TRUE),MonteCarlo!$B$5*EXP(-MonteCarlo!$B$9*$A13)*_xlfn.NORM.S.DIST(-(((LN(MonteCarlo!$B$6/MonteCarlo!$B$5)+(MonteCarlo!$B$9+(N$1^2)/2)*$A13)/(N$1*SQRT($A13)))-(N$1*SQRT($A13))),TRUE)-MonteCarlo!$B$6*_xlfn.NORM.S.DIST(-((LN(MonteCarlo!$B$6/MonteCarlo!$B$5)+(MonteCarlo!$B$9+(N$1^2)/2)*$A13)/(N$1*SQRT($A13))),TRUE)),"")</f>
        <v/>
      </c>
      <c r="O13" t="str">
        <f>IFERROR(IF(OR(MonteCarlo!$B$4="C",MonteCarlo!$B$4="c"),MonteCarlo!$B$6*_xlfn.NORM.S.DIST((LN(MonteCarlo!$B$6/MonteCarlo!$B$5)+(MonteCarlo!$B$9+(O$1^2)/2)*$A13)/(O$1*SQRT($A13)),TRUE)-MonteCarlo!$B$5*EXP(-MonteCarlo!$B$9*$A13)*_xlfn.NORM.S.DIST(((LN(MonteCarlo!$B$6/MonteCarlo!$B$5)+(MonteCarlo!$B$9+(O$1^2)/2)*$A13)/(O$1*SQRT($A13)))-(O$1*SQRT($A13)),TRUE),MonteCarlo!$B$5*EXP(-MonteCarlo!$B$9*$A13)*_xlfn.NORM.S.DIST(-(((LN(MonteCarlo!$B$6/MonteCarlo!$B$5)+(MonteCarlo!$B$9+(O$1^2)/2)*$A13)/(O$1*SQRT($A13)))-(O$1*SQRT($A13))),TRUE)-MonteCarlo!$B$6*_xlfn.NORM.S.DIST(-((LN(MonteCarlo!$B$6/MonteCarlo!$B$5)+(MonteCarlo!$B$9+(O$1^2)/2)*$A13)/(O$1*SQRT($A13))),TRUE)),"")</f>
        <v/>
      </c>
      <c r="P13" t="str">
        <f>IFERROR(IF(OR(MonteCarlo!$B$4="C",MonteCarlo!$B$4="c"),MonteCarlo!$B$6*_xlfn.NORM.S.DIST((LN(MonteCarlo!$B$6/MonteCarlo!$B$5)+(MonteCarlo!$B$9+(P$1^2)/2)*$A13)/(P$1*SQRT($A13)),TRUE)-MonteCarlo!$B$5*EXP(-MonteCarlo!$B$9*$A13)*_xlfn.NORM.S.DIST(((LN(MonteCarlo!$B$6/MonteCarlo!$B$5)+(MonteCarlo!$B$9+(P$1^2)/2)*$A13)/(P$1*SQRT($A13)))-(P$1*SQRT($A13)),TRUE),MonteCarlo!$B$5*EXP(-MonteCarlo!$B$9*$A13)*_xlfn.NORM.S.DIST(-(((LN(MonteCarlo!$B$6/MonteCarlo!$B$5)+(MonteCarlo!$B$9+(P$1^2)/2)*$A13)/(P$1*SQRT($A13)))-(P$1*SQRT($A13))),TRUE)-MonteCarlo!$B$6*_xlfn.NORM.S.DIST(-((LN(MonteCarlo!$B$6/MonteCarlo!$B$5)+(MonteCarlo!$B$9+(P$1^2)/2)*$A13)/(P$1*SQRT($A13))),TRUE)),"")</f>
        <v/>
      </c>
      <c r="Q13" t="str">
        <f>IFERROR(IF(OR(MonteCarlo!$B$4="C",MonteCarlo!$B$4="c"),MonteCarlo!$B$6*_xlfn.NORM.S.DIST((LN(MonteCarlo!$B$6/MonteCarlo!$B$5)+(MonteCarlo!$B$9+(Q$1^2)/2)*$A13)/(Q$1*SQRT($A13)),TRUE)-MonteCarlo!$B$5*EXP(-MonteCarlo!$B$9*$A13)*_xlfn.NORM.S.DIST(((LN(MonteCarlo!$B$6/MonteCarlo!$B$5)+(MonteCarlo!$B$9+(Q$1^2)/2)*$A13)/(Q$1*SQRT($A13)))-(Q$1*SQRT($A13)),TRUE),MonteCarlo!$B$5*EXP(-MonteCarlo!$B$9*$A13)*_xlfn.NORM.S.DIST(-(((LN(MonteCarlo!$B$6/MonteCarlo!$B$5)+(MonteCarlo!$B$9+(Q$1^2)/2)*$A13)/(Q$1*SQRT($A13)))-(Q$1*SQRT($A13))),TRUE)-MonteCarlo!$B$6*_xlfn.NORM.S.DIST(-((LN(MonteCarlo!$B$6/MonteCarlo!$B$5)+(MonteCarlo!$B$9+(Q$1^2)/2)*$A13)/(Q$1*SQRT($A13))),TRUE)),"")</f>
        <v/>
      </c>
      <c r="R13" t="str">
        <f>IFERROR(IF(OR(MonteCarlo!$B$4="C",MonteCarlo!$B$4="c"),MonteCarlo!$B$6*_xlfn.NORM.S.DIST((LN(MonteCarlo!$B$6/MonteCarlo!$B$5)+(MonteCarlo!$B$9+(R$1^2)/2)*$A13)/(R$1*SQRT($A13)),TRUE)-MonteCarlo!$B$5*EXP(-MonteCarlo!$B$9*$A13)*_xlfn.NORM.S.DIST(((LN(MonteCarlo!$B$6/MonteCarlo!$B$5)+(MonteCarlo!$B$9+(R$1^2)/2)*$A13)/(R$1*SQRT($A13)))-(R$1*SQRT($A13)),TRUE),MonteCarlo!$B$5*EXP(-MonteCarlo!$B$9*$A13)*_xlfn.NORM.S.DIST(-(((LN(MonteCarlo!$B$6/MonteCarlo!$B$5)+(MonteCarlo!$B$9+(R$1^2)/2)*$A13)/(R$1*SQRT($A13)))-(R$1*SQRT($A13))),TRUE)-MonteCarlo!$B$6*_xlfn.NORM.S.DIST(-((LN(MonteCarlo!$B$6/MonteCarlo!$B$5)+(MonteCarlo!$B$9+(R$1^2)/2)*$A13)/(R$1*SQRT($A13))),TRUE)),"")</f>
        <v/>
      </c>
      <c r="S13" t="str">
        <f>IFERROR(IF(OR(MonteCarlo!$B$4="C",MonteCarlo!$B$4="c"),MonteCarlo!$B$6*_xlfn.NORM.S.DIST((LN(MonteCarlo!$B$6/MonteCarlo!$B$5)+(MonteCarlo!$B$9+(S$1^2)/2)*$A13)/(S$1*SQRT($A13)),TRUE)-MonteCarlo!$B$5*EXP(-MonteCarlo!$B$9*$A13)*_xlfn.NORM.S.DIST(((LN(MonteCarlo!$B$6/MonteCarlo!$B$5)+(MonteCarlo!$B$9+(S$1^2)/2)*$A13)/(S$1*SQRT($A13)))-(S$1*SQRT($A13)),TRUE),MonteCarlo!$B$5*EXP(-MonteCarlo!$B$9*$A13)*_xlfn.NORM.S.DIST(-(((LN(MonteCarlo!$B$6/MonteCarlo!$B$5)+(MonteCarlo!$B$9+(S$1^2)/2)*$A13)/(S$1*SQRT($A13)))-(S$1*SQRT($A13))),TRUE)-MonteCarlo!$B$6*_xlfn.NORM.S.DIST(-((LN(MonteCarlo!$B$6/MonteCarlo!$B$5)+(MonteCarlo!$B$9+(S$1^2)/2)*$A13)/(S$1*SQRT($A13))),TRUE)),"")</f>
        <v/>
      </c>
      <c r="T13" t="str">
        <f>IFERROR(IF(OR(MonteCarlo!$B$4="C",MonteCarlo!$B$4="c"),MonteCarlo!$B$6*_xlfn.NORM.S.DIST((LN(MonteCarlo!$B$6/MonteCarlo!$B$5)+(MonteCarlo!$B$9+(T$1^2)/2)*$A13)/(T$1*SQRT($A13)),TRUE)-MonteCarlo!$B$5*EXP(-MonteCarlo!$B$9*$A13)*_xlfn.NORM.S.DIST(((LN(MonteCarlo!$B$6/MonteCarlo!$B$5)+(MonteCarlo!$B$9+(T$1^2)/2)*$A13)/(T$1*SQRT($A13)))-(T$1*SQRT($A13)),TRUE),MonteCarlo!$B$5*EXP(-MonteCarlo!$B$9*$A13)*_xlfn.NORM.S.DIST(-(((LN(MonteCarlo!$B$6/MonteCarlo!$B$5)+(MonteCarlo!$B$9+(T$1^2)/2)*$A13)/(T$1*SQRT($A13)))-(T$1*SQRT($A13))),TRUE)-MonteCarlo!$B$6*_xlfn.NORM.S.DIST(-((LN(MonteCarlo!$B$6/MonteCarlo!$B$5)+(MonteCarlo!$B$9+(T$1^2)/2)*$A13)/(T$1*SQRT($A13))),TRUE)),"")</f>
        <v/>
      </c>
      <c r="U13" t="str">
        <f>IFERROR(IF(OR(MonteCarlo!$B$4="C",MonteCarlo!$B$4="c"),MonteCarlo!$B$6*_xlfn.NORM.S.DIST((LN(MonteCarlo!$B$6/MonteCarlo!$B$5)+(MonteCarlo!$B$9+(U$1^2)/2)*$A13)/(U$1*SQRT($A13)),TRUE)-MonteCarlo!$B$5*EXP(-MonteCarlo!$B$9*$A13)*_xlfn.NORM.S.DIST(((LN(MonteCarlo!$B$6/MonteCarlo!$B$5)+(MonteCarlo!$B$9+(U$1^2)/2)*$A13)/(U$1*SQRT($A13)))-(U$1*SQRT($A13)),TRUE),MonteCarlo!$B$5*EXP(-MonteCarlo!$B$9*$A13)*_xlfn.NORM.S.DIST(-(((LN(MonteCarlo!$B$6/MonteCarlo!$B$5)+(MonteCarlo!$B$9+(U$1^2)/2)*$A13)/(U$1*SQRT($A13)))-(U$1*SQRT($A13))),TRUE)-MonteCarlo!$B$6*_xlfn.NORM.S.DIST(-((LN(MonteCarlo!$B$6/MonteCarlo!$B$5)+(MonteCarlo!$B$9+(U$1^2)/2)*$A13)/(U$1*SQRT($A13))),TRUE)),"")</f>
        <v/>
      </c>
      <c r="V13" t="str">
        <f>IFERROR(IF(OR(MonteCarlo!$B$4="C",MonteCarlo!$B$4="c"),MonteCarlo!$B$6*_xlfn.NORM.S.DIST((LN(MonteCarlo!$B$6/MonteCarlo!$B$5)+(MonteCarlo!$B$9+(V$1^2)/2)*$A13)/(V$1*SQRT($A13)),TRUE)-MonteCarlo!$B$5*EXP(-MonteCarlo!$B$9*$A13)*_xlfn.NORM.S.DIST(((LN(MonteCarlo!$B$6/MonteCarlo!$B$5)+(MonteCarlo!$B$9+(V$1^2)/2)*$A13)/(V$1*SQRT($A13)))-(V$1*SQRT($A13)),TRUE),MonteCarlo!$B$5*EXP(-MonteCarlo!$B$9*$A13)*_xlfn.NORM.S.DIST(-(((LN(MonteCarlo!$B$6/MonteCarlo!$B$5)+(MonteCarlo!$B$9+(V$1^2)/2)*$A13)/(V$1*SQRT($A13)))-(V$1*SQRT($A13))),TRUE)-MonteCarlo!$B$6*_xlfn.NORM.S.DIST(-((LN(MonteCarlo!$B$6/MonteCarlo!$B$5)+(MonteCarlo!$B$9+(V$1^2)/2)*$A13)/(V$1*SQRT($A13))),TRUE)),"")</f>
        <v/>
      </c>
      <c r="W13" t="str">
        <f>IFERROR(IF(OR(MonteCarlo!$B$4="C",MonteCarlo!$B$4="c"),MonteCarlo!$B$6*_xlfn.NORM.S.DIST((LN(MonteCarlo!$B$6/MonteCarlo!$B$5)+(MonteCarlo!$B$9+(W$1^2)/2)*$A13)/(W$1*SQRT($A13)),TRUE)-MonteCarlo!$B$5*EXP(-MonteCarlo!$B$9*$A13)*_xlfn.NORM.S.DIST(((LN(MonteCarlo!$B$6/MonteCarlo!$B$5)+(MonteCarlo!$B$9+(W$1^2)/2)*$A13)/(W$1*SQRT($A13)))-(W$1*SQRT($A13)),TRUE),MonteCarlo!$B$5*EXP(-MonteCarlo!$B$9*$A13)*_xlfn.NORM.S.DIST(-(((LN(MonteCarlo!$B$6/MonteCarlo!$B$5)+(MonteCarlo!$B$9+(W$1^2)/2)*$A13)/(W$1*SQRT($A13)))-(W$1*SQRT($A13))),TRUE)-MonteCarlo!$B$6*_xlfn.NORM.S.DIST(-((LN(MonteCarlo!$B$6/MonteCarlo!$B$5)+(MonteCarlo!$B$9+(W$1^2)/2)*$A13)/(W$1*SQRT($A13))),TRUE)),"")</f>
        <v/>
      </c>
      <c r="X13" t="str">
        <f>IFERROR(IF(OR(MonteCarlo!$B$4="C",MonteCarlo!$B$4="c"),MonteCarlo!$B$6*_xlfn.NORM.S.DIST((LN(MonteCarlo!$B$6/MonteCarlo!$B$5)+(MonteCarlo!$B$9+(X$1^2)/2)*$A13)/(X$1*SQRT($A13)),TRUE)-MonteCarlo!$B$5*EXP(-MonteCarlo!$B$9*$A13)*_xlfn.NORM.S.DIST(((LN(MonteCarlo!$B$6/MonteCarlo!$B$5)+(MonteCarlo!$B$9+(X$1^2)/2)*$A13)/(X$1*SQRT($A13)))-(X$1*SQRT($A13)),TRUE),MonteCarlo!$B$5*EXP(-MonteCarlo!$B$9*$A13)*_xlfn.NORM.S.DIST(-(((LN(MonteCarlo!$B$6/MonteCarlo!$B$5)+(MonteCarlo!$B$9+(X$1^2)/2)*$A13)/(X$1*SQRT($A13)))-(X$1*SQRT($A13))),TRUE)-MonteCarlo!$B$6*_xlfn.NORM.S.DIST(-((LN(MonteCarlo!$B$6/MonteCarlo!$B$5)+(MonteCarlo!$B$9+(X$1^2)/2)*$A13)/(X$1*SQRT($A13))),TRUE)),"")</f>
        <v/>
      </c>
      <c r="Y13" t="str">
        <f>IFERROR(IF(OR(MonteCarlo!$B$4="C",MonteCarlo!$B$4="c"),MonteCarlo!$B$6*_xlfn.NORM.S.DIST((LN(MonteCarlo!$B$6/MonteCarlo!$B$5)+(MonteCarlo!$B$9+(Y$1^2)/2)*$A13)/(Y$1*SQRT($A13)),TRUE)-MonteCarlo!$B$5*EXP(-MonteCarlo!$B$9*$A13)*_xlfn.NORM.S.DIST(((LN(MonteCarlo!$B$6/MonteCarlo!$B$5)+(MonteCarlo!$B$9+(Y$1^2)/2)*$A13)/(Y$1*SQRT($A13)))-(Y$1*SQRT($A13)),TRUE),MonteCarlo!$B$5*EXP(-MonteCarlo!$B$9*$A13)*_xlfn.NORM.S.DIST(-(((LN(MonteCarlo!$B$6/MonteCarlo!$B$5)+(MonteCarlo!$B$9+(Y$1^2)/2)*$A13)/(Y$1*SQRT($A13)))-(Y$1*SQRT($A13))),TRUE)-MonteCarlo!$B$6*_xlfn.NORM.S.DIST(-((LN(MonteCarlo!$B$6/MonteCarlo!$B$5)+(MonteCarlo!$B$9+(Y$1^2)/2)*$A13)/(Y$1*SQRT($A13))),TRUE)),"")</f>
        <v/>
      </c>
      <c r="Z13" t="str">
        <f>IFERROR(IF(OR(MonteCarlo!$B$4="C",MonteCarlo!$B$4="c"),MonteCarlo!$B$6*_xlfn.NORM.S.DIST((LN(MonteCarlo!$B$6/MonteCarlo!$B$5)+(MonteCarlo!$B$9+(Z$1^2)/2)*$A13)/(Z$1*SQRT($A13)),TRUE)-MonteCarlo!$B$5*EXP(-MonteCarlo!$B$9*$A13)*_xlfn.NORM.S.DIST(((LN(MonteCarlo!$B$6/MonteCarlo!$B$5)+(MonteCarlo!$B$9+(Z$1^2)/2)*$A13)/(Z$1*SQRT($A13)))-(Z$1*SQRT($A13)),TRUE),MonteCarlo!$B$5*EXP(-MonteCarlo!$B$9*$A13)*_xlfn.NORM.S.DIST(-(((LN(MonteCarlo!$B$6/MonteCarlo!$B$5)+(MonteCarlo!$B$9+(Z$1^2)/2)*$A13)/(Z$1*SQRT($A13)))-(Z$1*SQRT($A13))),TRUE)-MonteCarlo!$B$6*_xlfn.NORM.S.DIST(-((LN(MonteCarlo!$B$6/MonteCarlo!$B$5)+(MonteCarlo!$B$9+(Z$1^2)/2)*$A13)/(Z$1*SQRT($A13))),TRUE)),"")</f>
        <v/>
      </c>
      <c r="AA13" t="str">
        <f>IFERROR(IF(OR(MonteCarlo!$B$4="C",MonteCarlo!$B$4="c"),MonteCarlo!$B$6*_xlfn.NORM.S.DIST((LN(MonteCarlo!$B$6/MonteCarlo!$B$5)+(MonteCarlo!$B$9+(AA$1^2)/2)*$A13)/(AA$1*SQRT($A13)),TRUE)-MonteCarlo!$B$5*EXP(-MonteCarlo!$B$9*$A13)*_xlfn.NORM.S.DIST(((LN(MonteCarlo!$B$6/MonteCarlo!$B$5)+(MonteCarlo!$B$9+(AA$1^2)/2)*$A13)/(AA$1*SQRT($A13)))-(AA$1*SQRT($A13)),TRUE),MonteCarlo!$B$5*EXP(-MonteCarlo!$B$9*$A13)*_xlfn.NORM.S.DIST(-(((LN(MonteCarlo!$B$6/MonteCarlo!$B$5)+(MonteCarlo!$B$9+(AA$1^2)/2)*$A13)/(AA$1*SQRT($A13)))-(AA$1*SQRT($A13))),TRUE)-MonteCarlo!$B$6*_xlfn.NORM.S.DIST(-((LN(MonteCarlo!$B$6/MonteCarlo!$B$5)+(MonteCarlo!$B$9+(AA$1^2)/2)*$A13)/(AA$1*SQRT($A13))),TRUE)),"")</f>
        <v/>
      </c>
      <c r="AB13" t="str">
        <f>IFERROR(IF(OR(MonteCarlo!$B$4="C",MonteCarlo!$B$4="c"),MonteCarlo!$B$6*_xlfn.NORM.S.DIST((LN(MonteCarlo!$B$6/MonteCarlo!$B$5)+(MonteCarlo!$B$9+(AB$1^2)/2)*$A13)/(AB$1*SQRT($A13)),TRUE)-MonteCarlo!$B$5*EXP(-MonteCarlo!$B$9*$A13)*_xlfn.NORM.S.DIST(((LN(MonteCarlo!$B$6/MonteCarlo!$B$5)+(MonteCarlo!$B$9+(AB$1^2)/2)*$A13)/(AB$1*SQRT($A13)))-(AB$1*SQRT($A13)),TRUE),MonteCarlo!$B$5*EXP(-MonteCarlo!$B$9*$A13)*_xlfn.NORM.S.DIST(-(((LN(MonteCarlo!$B$6/MonteCarlo!$B$5)+(MonteCarlo!$B$9+(AB$1^2)/2)*$A13)/(AB$1*SQRT($A13)))-(AB$1*SQRT($A13))),TRUE)-MonteCarlo!$B$6*_xlfn.NORM.S.DIST(-((LN(MonteCarlo!$B$6/MonteCarlo!$B$5)+(MonteCarlo!$B$9+(AB$1^2)/2)*$A13)/(AB$1*SQRT($A13))),TRUE)),"")</f>
        <v/>
      </c>
      <c r="AC13" t="str">
        <f>IFERROR(IF(OR(MonteCarlo!$B$4="C",MonteCarlo!$B$4="c"),MonteCarlo!$B$6*_xlfn.NORM.S.DIST((LN(MonteCarlo!$B$6/MonteCarlo!$B$5)+(MonteCarlo!$B$9+(AC$1^2)/2)*$A13)/(AC$1*SQRT($A13)),TRUE)-MonteCarlo!$B$5*EXP(-MonteCarlo!$B$9*$A13)*_xlfn.NORM.S.DIST(((LN(MonteCarlo!$B$6/MonteCarlo!$B$5)+(MonteCarlo!$B$9+(AC$1^2)/2)*$A13)/(AC$1*SQRT($A13)))-(AC$1*SQRT($A13)),TRUE),MonteCarlo!$B$5*EXP(-MonteCarlo!$B$9*$A13)*_xlfn.NORM.S.DIST(-(((LN(MonteCarlo!$B$6/MonteCarlo!$B$5)+(MonteCarlo!$B$9+(AC$1^2)/2)*$A13)/(AC$1*SQRT($A13)))-(AC$1*SQRT($A13))),TRUE)-MonteCarlo!$B$6*_xlfn.NORM.S.DIST(-((LN(MonteCarlo!$B$6/MonteCarlo!$B$5)+(MonteCarlo!$B$9+(AC$1^2)/2)*$A13)/(AC$1*SQRT($A13))),TRUE)),"")</f>
        <v/>
      </c>
      <c r="AD13" t="str">
        <f>IFERROR(IF(OR(MonteCarlo!$B$4="C",MonteCarlo!$B$4="c"),MonteCarlo!$B$6*_xlfn.NORM.S.DIST((LN(MonteCarlo!$B$6/MonteCarlo!$B$5)+(MonteCarlo!$B$9+(AD$1^2)/2)*$A13)/(AD$1*SQRT($A13)),TRUE)-MonteCarlo!$B$5*EXP(-MonteCarlo!$B$9*$A13)*_xlfn.NORM.S.DIST(((LN(MonteCarlo!$B$6/MonteCarlo!$B$5)+(MonteCarlo!$B$9+(AD$1^2)/2)*$A13)/(AD$1*SQRT($A13)))-(AD$1*SQRT($A13)),TRUE),MonteCarlo!$B$5*EXP(-MonteCarlo!$B$9*$A13)*_xlfn.NORM.S.DIST(-(((LN(MonteCarlo!$B$6/MonteCarlo!$B$5)+(MonteCarlo!$B$9+(AD$1^2)/2)*$A13)/(AD$1*SQRT($A13)))-(AD$1*SQRT($A13))),TRUE)-MonteCarlo!$B$6*_xlfn.NORM.S.DIST(-((LN(MonteCarlo!$B$6/MonteCarlo!$B$5)+(MonteCarlo!$B$9+(AD$1^2)/2)*$A13)/(AD$1*SQRT($A13))),TRUE)),"")</f>
        <v/>
      </c>
      <c r="AE13" t="str">
        <f>IFERROR(IF(OR(MonteCarlo!$B$4="C",MonteCarlo!$B$4="c"),MonteCarlo!$B$6*_xlfn.NORM.S.DIST((LN(MonteCarlo!$B$6/MonteCarlo!$B$5)+(MonteCarlo!$B$9+(AE$1^2)/2)*$A13)/(AE$1*SQRT($A13)),TRUE)-MonteCarlo!$B$5*EXP(-MonteCarlo!$B$9*$A13)*_xlfn.NORM.S.DIST(((LN(MonteCarlo!$B$6/MonteCarlo!$B$5)+(MonteCarlo!$B$9+(AE$1^2)/2)*$A13)/(AE$1*SQRT($A13)))-(AE$1*SQRT($A13)),TRUE),MonteCarlo!$B$5*EXP(-MonteCarlo!$B$9*$A13)*_xlfn.NORM.S.DIST(-(((LN(MonteCarlo!$B$6/MonteCarlo!$B$5)+(MonteCarlo!$B$9+(AE$1^2)/2)*$A13)/(AE$1*SQRT($A13)))-(AE$1*SQRT($A13))),TRUE)-MonteCarlo!$B$6*_xlfn.NORM.S.DIST(-((LN(MonteCarlo!$B$6/MonteCarlo!$B$5)+(MonteCarlo!$B$9+(AE$1^2)/2)*$A13)/(AE$1*SQRT($A13))),TRUE)),"")</f>
        <v/>
      </c>
      <c r="AF13" t="str">
        <f>IFERROR(IF(OR(MonteCarlo!$B$4="C",MonteCarlo!$B$4="c"),MonteCarlo!$B$6*_xlfn.NORM.S.DIST((LN(MonteCarlo!$B$6/MonteCarlo!$B$5)+(MonteCarlo!$B$9+(AF$1^2)/2)*$A13)/(AF$1*SQRT($A13)),TRUE)-MonteCarlo!$B$5*EXP(-MonteCarlo!$B$9*$A13)*_xlfn.NORM.S.DIST(((LN(MonteCarlo!$B$6/MonteCarlo!$B$5)+(MonteCarlo!$B$9+(AF$1^2)/2)*$A13)/(AF$1*SQRT($A13)))-(AF$1*SQRT($A13)),TRUE),MonteCarlo!$B$5*EXP(-MonteCarlo!$B$9*$A13)*_xlfn.NORM.S.DIST(-(((LN(MonteCarlo!$B$6/MonteCarlo!$B$5)+(MonteCarlo!$B$9+(AF$1^2)/2)*$A13)/(AF$1*SQRT($A13)))-(AF$1*SQRT($A13))),TRUE)-MonteCarlo!$B$6*_xlfn.NORM.S.DIST(-((LN(MonteCarlo!$B$6/MonteCarlo!$B$5)+(MonteCarlo!$B$9+(AF$1^2)/2)*$A13)/(AF$1*SQRT($A13))),TRUE)),"")</f>
        <v/>
      </c>
    </row>
    <row r="14" spans="2:32" x14ac:dyDescent="0.25">
      <c r="B14" t="str">
        <f>IFERROR(IF(OR(MonteCarlo!$B$4="C",MonteCarlo!$B$4="c"),MonteCarlo!$B$6*_xlfn.NORM.S.DIST((LN(MonteCarlo!$B$6/MonteCarlo!$B$5)+(MonteCarlo!$B$9+(B$1^2)/2)*$A14)/(B$1*SQRT($A14)),TRUE)-MonteCarlo!$B$5*EXP(-MonteCarlo!$B$9*$A14)*_xlfn.NORM.S.DIST(((LN(MonteCarlo!$B$6/MonteCarlo!$B$5)+(MonteCarlo!$B$9+(B$1^2)/2)*$A14)/(B$1*SQRT($A14)))-(B$1*SQRT($A14)),TRUE),MonteCarlo!$B$5*EXP(-MonteCarlo!$B$9*$A14)*_xlfn.NORM.S.DIST(-(((LN(MonteCarlo!$B$6/MonteCarlo!$B$5)+(MonteCarlo!$B$9+(B$1^2)/2)*$A14)/(B$1*SQRT($A14)))-(B$1*SQRT($A14))),TRUE)-MonteCarlo!$B$6*_xlfn.NORM.S.DIST(-((LN(MonteCarlo!$B$6/MonteCarlo!$B$5)+(MonteCarlo!$B$9+(B$1^2)/2)*$A14)/(B$1*SQRT($A14))),TRUE)),"")</f>
        <v/>
      </c>
      <c r="C14" t="str">
        <f>IFERROR(IF(OR(MonteCarlo!$B$4="C",MonteCarlo!$B$4="c"),MonteCarlo!$B$6*_xlfn.NORM.S.DIST((LN(MonteCarlo!$B$6/MonteCarlo!$B$5)+(MonteCarlo!$B$9+(C$1^2)/2)*$A14)/(C$1*SQRT($A14)),TRUE)-MonteCarlo!$B$5*EXP(-MonteCarlo!$B$9*$A14)*_xlfn.NORM.S.DIST(((LN(MonteCarlo!$B$6/MonteCarlo!$B$5)+(MonteCarlo!$B$9+(C$1^2)/2)*$A14)/(C$1*SQRT($A14)))-(C$1*SQRT($A14)),TRUE),MonteCarlo!$B$5*EXP(-MonteCarlo!$B$9*$A14)*_xlfn.NORM.S.DIST(-(((LN(MonteCarlo!$B$6/MonteCarlo!$B$5)+(MonteCarlo!$B$9+(C$1^2)/2)*$A14)/(C$1*SQRT($A14)))-(C$1*SQRT($A14))),TRUE)-MonteCarlo!$B$6*_xlfn.NORM.S.DIST(-((LN(MonteCarlo!$B$6/MonteCarlo!$B$5)+(MonteCarlo!$B$9+(C$1^2)/2)*$A14)/(C$1*SQRT($A14))),TRUE)),"")</f>
        <v/>
      </c>
      <c r="D14" t="str">
        <f>IFERROR(IF(OR(MonteCarlo!$B$4="C",MonteCarlo!$B$4="c"),MonteCarlo!$B$6*_xlfn.NORM.S.DIST((LN(MonteCarlo!$B$6/MonteCarlo!$B$5)+(MonteCarlo!$B$9+(D$1^2)/2)*$A14)/(D$1*SQRT($A14)),TRUE)-MonteCarlo!$B$5*EXP(-MonteCarlo!$B$9*$A14)*_xlfn.NORM.S.DIST(((LN(MonteCarlo!$B$6/MonteCarlo!$B$5)+(MonteCarlo!$B$9+(D$1^2)/2)*$A14)/(D$1*SQRT($A14)))-(D$1*SQRT($A14)),TRUE),MonteCarlo!$B$5*EXP(-MonteCarlo!$B$9*$A14)*_xlfn.NORM.S.DIST(-(((LN(MonteCarlo!$B$6/MonteCarlo!$B$5)+(MonteCarlo!$B$9+(D$1^2)/2)*$A14)/(D$1*SQRT($A14)))-(D$1*SQRT($A14))),TRUE)-MonteCarlo!$B$6*_xlfn.NORM.S.DIST(-((LN(MonteCarlo!$B$6/MonteCarlo!$B$5)+(MonteCarlo!$B$9+(D$1^2)/2)*$A14)/(D$1*SQRT($A14))),TRUE)),"")</f>
        <v/>
      </c>
      <c r="E14" t="str">
        <f>IFERROR(IF(OR(MonteCarlo!$B$4="C",MonteCarlo!$B$4="c"),MonteCarlo!$B$6*_xlfn.NORM.S.DIST((LN(MonteCarlo!$B$6/MonteCarlo!$B$5)+(MonteCarlo!$B$9+(E$1^2)/2)*$A14)/(E$1*SQRT($A14)),TRUE)-MonteCarlo!$B$5*EXP(-MonteCarlo!$B$9*$A14)*_xlfn.NORM.S.DIST(((LN(MonteCarlo!$B$6/MonteCarlo!$B$5)+(MonteCarlo!$B$9+(E$1^2)/2)*$A14)/(E$1*SQRT($A14)))-(E$1*SQRT($A14)),TRUE),MonteCarlo!$B$5*EXP(-MonteCarlo!$B$9*$A14)*_xlfn.NORM.S.DIST(-(((LN(MonteCarlo!$B$6/MonteCarlo!$B$5)+(MonteCarlo!$B$9+(E$1^2)/2)*$A14)/(E$1*SQRT($A14)))-(E$1*SQRT($A14))),TRUE)-MonteCarlo!$B$6*_xlfn.NORM.S.DIST(-((LN(MonteCarlo!$B$6/MonteCarlo!$B$5)+(MonteCarlo!$B$9+(E$1^2)/2)*$A14)/(E$1*SQRT($A14))),TRUE)),"")</f>
        <v/>
      </c>
      <c r="F14" t="str">
        <f>IFERROR(IF(OR(MonteCarlo!$B$4="C",MonteCarlo!$B$4="c"),MonteCarlo!$B$6*_xlfn.NORM.S.DIST((LN(MonteCarlo!$B$6/MonteCarlo!$B$5)+(MonteCarlo!$B$9+(F$1^2)/2)*$A14)/(F$1*SQRT($A14)),TRUE)-MonteCarlo!$B$5*EXP(-MonteCarlo!$B$9*$A14)*_xlfn.NORM.S.DIST(((LN(MonteCarlo!$B$6/MonteCarlo!$B$5)+(MonteCarlo!$B$9+(F$1^2)/2)*$A14)/(F$1*SQRT($A14)))-(F$1*SQRT($A14)),TRUE),MonteCarlo!$B$5*EXP(-MonteCarlo!$B$9*$A14)*_xlfn.NORM.S.DIST(-(((LN(MonteCarlo!$B$6/MonteCarlo!$B$5)+(MonteCarlo!$B$9+(F$1^2)/2)*$A14)/(F$1*SQRT($A14)))-(F$1*SQRT($A14))),TRUE)-MonteCarlo!$B$6*_xlfn.NORM.S.DIST(-((LN(MonteCarlo!$B$6/MonteCarlo!$B$5)+(MonteCarlo!$B$9+(F$1^2)/2)*$A14)/(F$1*SQRT($A14))),TRUE)),"")</f>
        <v/>
      </c>
      <c r="G14" t="str">
        <f>IFERROR(IF(OR(MonteCarlo!$B$4="C",MonteCarlo!$B$4="c"),MonteCarlo!$B$6*_xlfn.NORM.S.DIST((LN(MonteCarlo!$B$6/MonteCarlo!$B$5)+(MonteCarlo!$B$9+(G$1^2)/2)*$A14)/(G$1*SQRT($A14)),TRUE)-MonteCarlo!$B$5*EXP(-MonteCarlo!$B$9*$A14)*_xlfn.NORM.S.DIST(((LN(MonteCarlo!$B$6/MonteCarlo!$B$5)+(MonteCarlo!$B$9+(G$1^2)/2)*$A14)/(G$1*SQRT($A14)))-(G$1*SQRT($A14)),TRUE),MonteCarlo!$B$5*EXP(-MonteCarlo!$B$9*$A14)*_xlfn.NORM.S.DIST(-(((LN(MonteCarlo!$B$6/MonteCarlo!$B$5)+(MonteCarlo!$B$9+(G$1^2)/2)*$A14)/(G$1*SQRT($A14)))-(G$1*SQRT($A14))),TRUE)-MonteCarlo!$B$6*_xlfn.NORM.S.DIST(-((LN(MonteCarlo!$B$6/MonteCarlo!$B$5)+(MonteCarlo!$B$9+(G$1^2)/2)*$A14)/(G$1*SQRT($A14))),TRUE)),"")</f>
        <v/>
      </c>
      <c r="H14" t="str">
        <f>IFERROR(IF(OR(MonteCarlo!$B$4="C",MonteCarlo!$B$4="c"),MonteCarlo!$B$6*_xlfn.NORM.S.DIST((LN(MonteCarlo!$B$6/MonteCarlo!$B$5)+(MonteCarlo!$B$9+(H$1^2)/2)*$A14)/(H$1*SQRT($A14)),TRUE)-MonteCarlo!$B$5*EXP(-MonteCarlo!$B$9*$A14)*_xlfn.NORM.S.DIST(((LN(MonteCarlo!$B$6/MonteCarlo!$B$5)+(MonteCarlo!$B$9+(H$1^2)/2)*$A14)/(H$1*SQRT($A14)))-(H$1*SQRT($A14)),TRUE),MonteCarlo!$B$5*EXP(-MonteCarlo!$B$9*$A14)*_xlfn.NORM.S.DIST(-(((LN(MonteCarlo!$B$6/MonteCarlo!$B$5)+(MonteCarlo!$B$9+(H$1^2)/2)*$A14)/(H$1*SQRT($A14)))-(H$1*SQRT($A14))),TRUE)-MonteCarlo!$B$6*_xlfn.NORM.S.DIST(-((LN(MonteCarlo!$B$6/MonteCarlo!$B$5)+(MonteCarlo!$B$9+(H$1^2)/2)*$A14)/(H$1*SQRT($A14))),TRUE)),"")</f>
        <v/>
      </c>
      <c r="I14" t="str">
        <f>IFERROR(IF(OR(MonteCarlo!$B$4="C",MonteCarlo!$B$4="c"),MonteCarlo!$B$6*_xlfn.NORM.S.DIST((LN(MonteCarlo!$B$6/MonteCarlo!$B$5)+(MonteCarlo!$B$9+(I$1^2)/2)*$A14)/(I$1*SQRT($A14)),TRUE)-MonteCarlo!$B$5*EXP(-MonteCarlo!$B$9*$A14)*_xlfn.NORM.S.DIST(((LN(MonteCarlo!$B$6/MonteCarlo!$B$5)+(MonteCarlo!$B$9+(I$1^2)/2)*$A14)/(I$1*SQRT($A14)))-(I$1*SQRT($A14)),TRUE),MonteCarlo!$B$5*EXP(-MonteCarlo!$B$9*$A14)*_xlfn.NORM.S.DIST(-(((LN(MonteCarlo!$B$6/MonteCarlo!$B$5)+(MonteCarlo!$B$9+(I$1^2)/2)*$A14)/(I$1*SQRT($A14)))-(I$1*SQRT($A14))),TRUE)-MonteCarlo!$B$6*_xlfn.NORM.S.DIST(-((LN(MonteCarlo!$B$6/MonteCarlo!$B$5)+(MonteCarlo!$B$9+(I$1^2)/2)*$A14)/(I$1*SQRT($A14))),TRUE)),"")</f>
        <v/>
      </c>
      <c r="J14" t="str">
        <f>IFERROR(IF(OR(MonteCarlo!$B$4="C",MonteCarlo!$B$4="c"),MonteCarlo!$B$6*_xlfn.NORM.S.DIST((LN(MonteCarlo!$B$6/MonteCarlo!$B$5)+(MonteCarlo!$B$9+(J$1^2)/2)*$A14)/(J$1*SQRT($A14)),TRUE)-MonteCarlo!$B$5*EXP(-MonteCarlo!$B$9*$A14)*_xlfn.NORM.S.DIST(((LN(MonteCarlo!$B$6/MonteCarlo!$B$5)+(MonteCarlo!$B$9+(J$1^2)/2)*$A14)/(J$1*SQRT($A14)))-(J$1*SQRT($A14)),TRUE),MonteCarlo!$B$5*EXP(-MonteCarlo!$B$9*$A14)*_xlfn.NORM.S.DIST(-(((LN(MonteCarlo!$B$6/MonteCarlo!$B$5)+(MonteCarlo!$B$9+(J$1^2)/2)*$A14)/(J$1*SQRT($A14)))-(J$1*SQRT($A14))),TRUE)-MonteCarlo!$B$6*_xlfn.NORM.S.DIST(-((LN(MonteCarlo!$B$6/MonteCarlo!$B$5)+(MonteCarlo!$B$9+(J$1^2)/2)*$A14)/(J$1*SQRT($A14))),TRUE)),"")</f>
        <v/>
      </c>
      <c r="K14" t="str">
        <f>IFERROR(IF(OR(MonteCarlo!$B$4="C",MonteCarlo!$B$4="c"),MonteCarlo!$B$6*_xlfn.NORM.S.DIST((LN(MonteCarlo!$B$6/MonteCarlo!$B$5)+(MonteCarlo!$B$9+(K$1^2)/2)*$A14)/(K$1*SQRT($A14)),TRUE)-MonteCarlo!$B$5*EXP(-MonteCarlo!$B$9*$A14)*_xlfn.NORM.S.DIST(((LN(MonteCarlo!$B$6/MonteCarlo!$B$5)+(MonteCarlo!$B$9+(K$1^2)/2)*$A14)/(K$1*SQRT($A14)))-(K$1*SQRT($A14)),TRUE),MonteCarlo!$B$5*EXP(-MonteCarlo!$B$9*$A14)*_xlfn.NORM.S.DIST(-(((LN(MonteCarlo!$B$6/MonteCarlo!$B$5)+(MonteCarlo!$B$9+(K$1^2)/2)*$A14)/(K$1*SQRT($A14)))-(K$1*SQRT($A14))),TRUE)-MonteCarlo!$B$6*_xlfn.NORM.S.DIST(-((LN(MonteCarlo!$B$6/MonteCarlo!$B$5)+(MonteCarlo!$B$9+(K$1^2)/2)*$A14)/(K$1*SQRT($A14))),TRUE)),"")</f>
        <v/>
      </c>
      <c r="L14" t="str">
        <f>IFERROR(IF(OR(MonteCarlo!$B$4="C",MonteCarlo!$B$4="c"),MonteCarlo!$B$6*_xlfn.NORM.S.DIST((LN(MonteCarlo!$B$6/MonteCarlo!$B$5)+(MonteCarlo!$B$9+(L$1^2)/2)*$A14)/(L$1*SQRT($A14)),TRUE)-MonteCarlo!$B$5*EXP(-MonteCarlo!$B$9*$A14)*_xlfn.NORM.S.DIST(((LN(MonteCarlo!$B$6/MonteCarlo!$B$5)+(MonteCarlo!$B$9+(L$1^2)/2)*$A14)/(L$1*SQRT($A14)))-(L$1*SQRT($A14)),TRUE),MonteCarlo!$B$5*EXP(-MonteCarlo!$B$9*$A14)*_xlfn.NORM.S.DIST(-(((LN(MonteCarlo!$B$6/MonteCarlo!$B$5)+(MonteCarlo!$B$9+(L$1^2)/2)*$A14)/(L$1*SQRT($A14)))-(L$1*SQRT($A14))),TRUE)-MonteCarlo!$B$6*_xlfn.NORM.S.DIST(-((LN(MonteCarlo!$B$6/MonteCarlo!$B$5)+(MonteCarlo!$B$9+(L$1^2)/2)*$A14)/(L$1*SQRT($A14))),TRUE)),"")</f>
        <v/>
      </c>
      <c r="M14" t="str">
        <f>IFERROR(IF(OR(MonteCarlo!$B$4="C",MonteCarlo!$B$4="c"),MonteCarlo!$B$6*_xlfn.NORM.S.DIST((LN(MonteCarlo!$B$6/MonteCarlo!$B$5)+(MonteCarlo!$B$9+(M$1^2)/2)*$A14)/(M$1*SQRT($A14)),TRUE)-MonteCarlo!$B$5*EXP(-MonteCarlo!$B$9*$A14)*_xlfn.NORM.S.DIST(((LN(MonteCarlo!$B$6/MonteCarlo!$B$5)+(MonteCarlo!$B$9+(M$1^2)/2)*$A14)/(M$1*SQRT($A14)))-(M$1*SQRT($A14)),TRUE),MonteCarlo!$B$5*EXP(-MonteCarlo!$B$9*$A14)*_xlfn.NORM.S.DIST(-(((LN(MonteCarlo!$B$6/MonteCarlo!$B$5)+(MonteCarlo!$B$9+(M$1^2)/2)*$A14)/(M$1*SQRT($A14)))-(M$1*SQRT($A14))),TRUE)-MonteCarlo!$B$6*_xlfn.NORM.S.DIST(-((LN(MonteCarlo!$B$6/MonteCarlo!$B$5)+(MonteCarlo!$B$9+(M$1^2)/2)*$A14)/(M$1*SQRT($A14))),TRUE)),"")</f>
        <v/>
      </c>
      <c r="N14" t="str">
        <f>IFERROR(IF(OR(MonteCarlo!$B$4="C",MonteCarlo!$B$4="c"),MonteCarlo!$B$6*_xlfn.NORM.S.DIST((LN(MonteCarlo!$B$6/MonteCarlo!$B$5)+(MonteCarlo!$B$9+(N$1^2)/2)*$A14)/(N$1*SQRT($A14)),TRUE)-MonteCarlo!$B$5*EXP(-MonteCarlo!$B$9*$A14)*_xlfn.NORM.S.DIST(((LN(MonteCarlo!$B$6/MonteCarlo!$B$5)+(MonteCarlo!$B$9+(N$1^2)/2)*$A14)/(N$1*SQRT($A14)))-(N$1*SQRT($A14)),TRUE),MonteCarlo!$B$5*EXP(-MonteCarlo!$B$9*$A14)*_xlfn.NORM.S.DIST(-(((LN(MonteCarlo!$B$6/MonteCarlo!$B$5)+(MonteCarlo!$B$9+(N$1^2)/2)*$A14)/(N$1*SQRT($A14)))-(N$1*SQRT($A14))),TRUE)-MonteCarlo!$B$6*_xlfn.NORM.S.DIST(-((LN(MonteCarlo!$B$6/MonteCarlo!$B$5)+(MonteCarlo!$B$9+(N$1^2)/2)*$A14)/(N$1*SQRT($A14))),TRUE)),"")</f>
        <v/>
      </c>
      <c r="O14" t="str">
        <f>IFERROR(IF(OR(MonteCarlo!$B$4="C",MonteCarlo!$B$4="c"),MonteCarlo!$B$6*_xlfn.NORM.S.DIST((LN(MonteCarlo!$B$6/MonteCarlo!$B$5)+(MonteCarlo!$B$9+(O$1^2)/2)*$A14)/(O$1*SQRT($A14)),TRUE)-MonteCarlo!$B$5*EXP(-MonteCarlo!$B$9*$A14)*_xlfn.NORM.S.DIST(((LN(MonteCarlo!$B$6/MonteCarlo!$B$5)+(MonteCarlo!$B$9+(O$1^2)/2)*$A14)/(O$1*SQRT($A14)))-(O$1*SQRT($A14)),TRUE),MonteCarlo!$B$5*EXP(-MonteCarlo!$B$9*$A14)*_xlfn.NORM.S.DIST(-(((LN(MonteCarlo!$B$6/MonteCarlo!$B$5)+(MonteCarlo!$B$9+(O$1^2)/2)*$A14)/(O$1*SQRT($A14)))-(O$1*SQRT($A14))),TRUE)-MonteCarlo!$B$6*_xlfn.NORM.S.DIST(-((LN(MonteCarlo!$B$6/MonteCarlo!$B$5)+(MonteCarlo!$B$9+(O$1^2)/2)*$A14)/(O$1*SQRT($A14))),TRUE)),"")</f>
        <v/>
      </c>
      <c r="P14" t="str">
        <f>IFERROR(IF(OR(MonteCarlo!$B$4="C",MonteCarlo!$B$4="c"),MonteCarlo!$B$6*_xlfn.NORM.S.DIST((LN(MonteCarlo!$B$6/MonteCarlo!$B$5)+(MonteCarlo!$B$9+(P$1^2)/2)*$A14)/(P$1*SQRT($A14)),TRUE)-MonteCarlo!$B$5*EXP(-MonteCarlo!$B$9*$A14)*_xlfn.NORM.S.DIST(((LN(MonteCarlo!$B$6/MonteCarlo!$B$5)+(MonteCarlo!$B$9+(P$1^2)/2)*$A14)/(P$1*SQRT($A14)))-(P$1*SQRT($A14)),TRUE),MonteCarlo!$B$5*EXP(-MonteCarlo!$B$9*$A14)*_xlfn.NORM.S.DIST(-(((LN(MonteCarlo!$B$6/MonteCarlo!$B$5)+(MonteCarlo!$B$9+(P$1^2)/2)*$A14)/(P$1*SQRT($A14)))-(P$1*SQRT($A14))),TRUE)-MonteCarlo!$B$6*_xlfn.NORM.S.DIST(-((LN(MonteCarlo!$B$6/MonteCarlo!$B$5)+(MonteCarlo!$B$9+(P$1^2)/2)*$A14)/(P$1*SQRT($A14))),TRUE)),"")</f>
        <v/>
      </c>
      <c r="Q14" t="str">
        <f>IFERROR(IF(OR(MonteCarlo!$B$4="C",MonteCarlo!$B$4="c"),MonteCarlo!$B$6*_xlfn.NORM.S.DIST((LN(MonteCarlo!$B$6/MonteCarlo!$B$5)+(MonteCarlo!$B$9+(Q$1^2)/2)*$A14)/(Q$1*SQRT($A14)),TRUE)-MonteCarlo!$B$5*EXP(-MonteCarlo!$B$9*$A14)*_xlfn.NORM.S.DIST(((LN(MonteCarlo!$B$6/MonteCarlo!$B$5)+(MonteCarlo!$B$9+(Q$1^2)/2)*$A14)/(Q$1*SQRT($A14)))-(Q$1*SQRT($A14)),TRUE),MonteCarlo!$B$5*EXP(-MonteCarlo!$B$9*$A14)*_xlfn.NORM.S.DIST(-(((LN(MonteCarlo!$B$6/MonteCarlo!$B$5)+(MonteCarlo!$B$9+(Q$1^2)/2)*$A14)/(Q$1*SQRT($A14)))-(Q$1*SQRT($A14))),TRUE)-MonteCarlo!$B$6*_xlfn.NORM.S.DIST(-((LN(MonteCarlo!$B$6/MonteCarlo!$B$5)+(MonteCarlo!$B$9+(Q$1^2)/2)*$A14)/(Q$1*SQRT($A14))),TRUE)),"")</f>
        <v/>
      </c>
      <c r="R14" t="str">
        <f>IFERROR(IF(OR(MonteCarlo!$B$4="C",MonteCarlo!$B$4="c"),MonteCarlo!$B$6*_xlfn.NORM.S.DIST((LN(MonteCarlo!$B$6/MonteCarlo!$B$5)+(MonteCarlo!$B$9+(R$1^2)/2)*$A14)/(R$1*SQRT($A14)),TRUE)-MonteCarlo!$B$5*EXP(-MonteCarlo!$B$9*$A14)*_xlfn.NORM.S.DIST(((LN(MonteCarlo!$B$6/MonteCarlo!$B$5)+(MonteCarlo!$B$9+(R$1^2)/2)*$A14)/(R$1*SQRT($A14)))-(R$1*SQRT($A14)),TRUE),MonteCarlo!$B$5*EXP(-MonteCarlo!$B$9*$A14)*_xlfn.NORM.S.DIST(-(((LN(MonteCarlo!$B$6/MonteCarlo!$B$5)+(MonteCarlo!$B$9+(R$1^2)/2)*$A14)/(R$1*SQRT($A14)))-(R$1*SQRT($A14))),TRUE)-MonteCarlo!$B$6*_xlfn.NORM.S.DIST(-((LN(MonteCarlo!$B$6/MonteCarlo!$B$5)+(MonteCarlo!$B$9+(R$1^2)/2)*$A14)/(R$1*SQRT($A14))),TRUE)),"")</f>
        <v/>
      </c>
      <c r="S14" t="str">
        <f>IFERROR(IF(OR(MonteCarlo!$B$4="C",MonteCarlo!$B$4="c"),MonteCarlo!$B$6*_xlfn.NORM.S.DIST((LN(MonteCarlo!$B$6/MonteCarlo!$B$5)+(MonteCarlo!$B$9+(S$1^2)/2)*$A14)/(S$1*SQRT($A14)),TRUE)-MonteCarlo!$B$5*EXP(-MonteCarlo!$B$9*$A14)*_xlfn.NORM.S.DIST(((LN(MonteCarlo!$B$6/MonteCarlo!$B$5)+(MonteCarlo!$B$9+(S$1^2)/2)*$A14)/(S$1*SQRT($A14)))-(S$1*SQRT($A14)),TRUE),MonteCarlo!$B$5*EXP(-MonteCarlo!$B$9*$A14)*_xlfn.NORM.S.DIST(-(((LN(MonteCarlo!$B$6/MonteCarlo!$B$5)+(MonteCarlo!$B$9+(S$1^2)/2)*$A14)/(S$1*SQRT($A14)))-(S$1*SQRT($A14))),TRUE)-MonteCarlo!$B$6*_xlfn.NORM.S.DIST(-((LN(MonteCarlo!$B$6/MonteCarlo!$B$5)+(MonteCarlo!$B$9+(S$1^2)/2)*$A14)/(S$1*SQRT($A14))),TRUE)),"")</f>
        <v/>
      </c>
      <c r="T14" t="str">
        <f>IFERROR(IF(OR(MonteCarlo!$B$4="C",MonteCarlo!$B$4="c"),MonteCarlo!$B$6*_xlfn.NORM.S.DIST((LN(MonteCarlo!$B$6/MonteCarlo!$B$5)+(MonteCarlo!$B$9+(T$1^2)/2)*$A14)/(T$1*SQRT($A14)),TRUE)-MonteCarlo!$B$5*EXP(-MonteCarlo!$B$9*$A14)*_xlfn.NORM.S.DIST(((LN(MonteCarlo!$B$6/MonteCarlo!$B$5)+(MonteCarlo!$B$9+(T$1^2)/2)*$A14)/(T$1*SQRT($A14)))-(T$1*SQRT($A14)),TRUE),MonteCarlo!$B$5*EXP(-MonteCarlo!$B$9*$A14)*_xlfn.NORM.S.DIST(-(((LN(MonteCarlo!$B$6/MonteCarlo!$B$5)+(MonteCarlo!$B$9+(T$1^2)/2)*$A14)/(T$1*SQRT($A14)))-(T$1*SQRT($A14))),TRUE)-MonteCarlo!$B$6*_xlfn.NORM.S.DIST(-((LN(MonteCarlo!$B$6/MonteCarlo!$B$5)+(MonteCarlo!$B$9+(T$1^2)/2)*$A14)/(T$1*SQRT($A14))),TRUE)),"")</f>
        <v/>
      </c>
      <c r="U14" t="str">
        <f>IFERROR(IF(OR(MonteCarlo!$B$4="C",MonteCarlo!$B$4="c"),MonteCarlo!$B$6*_xlfn.NORM.S.DIST((LN(MonteCarlo!$B$6/MonteCarlo!$B$5)+(MonteCarlo!$B$9+(U$1^2)/2)*$A14)/(U$1*SQRT($A14)),TRUE)-MonteCarlo!$B$5*EXP(-MonteCarlo!$B$9*$A14)*_xlfn.NORM.S.DIST(((LN(MonteCarlo!$B$6/MonteCarlo!$B$5)+(MonteCarlo!$B$9+(U$1^2)/2)*$A14)/(U$1*SQRT($A14)))-(U$1*SQRT($A14)),TRUE),MonteCarlo!$B$5*EXP(-MonteCarlo!$B$9*$A14)*_xlfn.NORM.S.DIST(-(((LN(MonteCarlo!$B$6/MonteCarlo!$B$5)+(MonteCarlo!$B$9+(U$1^2)/2)*$A14)/(U$1*SQRT($A14)))-(U$1*SQRT($A14))),TRUE)-MonteCarlo!$B$6*_xlfn.NORM.S.DIST(-((LN(MonteCarlo!$B$6/MonteCarlo!$B$5)+(MonteCarlo!$B$9+(U$1^2)/2)*$A14)/(U$1*SQRT($A14))),TRUE)),"")</f>
        <v/>
      </c>
      <c r="V14" t="str">
        <f>IFERROR(IF(OR(MonteCarlo!$B$4="C",MonteCarlo!$B$4="c"),MonteCarlo!$B$6*_xlfn.NORM.S.DIST((LN(MonteCarlo!$B$6/MonteCarlo!$B$5)+(MonteCarlo!$B$9+(V$1^2)/2)*$A14)/(V$1*SQRT($A14)),TRUE)-MonteCarlo!$B$5*EXP(-MonteCarlo!$B$9*$A14)*_xlfn.NORM.S.DIST(((LN(MonteCarlo!$B$6/MonteCarlo!$B$5)+(MonteCarlo!$B$9+(V$1^2)/2)*$A14)/(V$1*SQRT($A14)))-(V$1*SQRT($A14)),TRUE),MonteCarlo!$B$5*EXP(-MonteCarlo!$B$9*$A14)*_xlfn.NORM.S.DIST(-(((LN(MonteCarlo!$B$6/MonteCarlo!$B$5)+(MonteCarlo!$B$9+(V$1^2)/2)*$A14)/(V$1*SQRT($A14)))-(V$1*SQRT($A14))),TRUE)-MonteCarlo!$B$6*_xlfn.NORM.S.DIST(-((LN(MonteCarlo!$B$6/MonteCarlo!$B$5)+(MonteCarlo!$B$9+(V$1^2)/2)*$A14)/(V$1*SQRT($A14))),TRUE)),"")</f>
        <v/>
      </c>
      <c r="W14" t="str">
        <f>IFERROR(IF(OR(MonteCarlo!$B$4="C",MonteCarlo!$B$4="c"),MonteCarlo!$B$6*_xlfn.NORM.S.DIST((LN(MonteCarlo!$B$6/MonteCarlo!$B$5)+(MonteCarlo!$B$9+(W$1^2)/2)*$A14)/(W$1*SQRT($A14)),TRUE)-MonteCarlo!$B$5*EXP(-MonteCarlo!$B$9*$A14)*_xlfn.NORM.S.DIST(((LN(MonteCarlo!$B$6/MonteCarlo!$B$5)+(MonteCarlo!$B$9+(W$1^2)/2)*$A14)/(W$1*SQRT($A14)))-(W$1*SQRT($A14)),TRUE),MonteCarlo!$B$5*EXP(-MonteCarlo!$B$9*$A14)*_xlfn.NORM.S.DIST(-(((LN(MonteCarlo!$B$6/MonteCarlo!$B$5)+(MonteCarlo!$B$9+(W$1^2)/2)*$A14)/(W$1*SQRT($A14)))-(W$1*SQRT($A14))),TRUE)-MonteCarlo!$B$6*_xlfn.NORM.S.DIST(-((LN(MonteCarlo!$B$6/MonteCarlo!$B$5)+(MonteCarlo!$B$9+(W$1^2)/2)*$A14)/(W$1*SQRT($A14))),TRUE)),"")</f>
        <v/>
      </c>
      <c r="X14" t="str">
        <f>IFERROR(IF(OR(MonteCarlo!$B$4="C",MonteCarlo!$B$4="c"),MonteCarlo!$B$6*_xlfn.NORM.S.DIST((LN(MonteCarlo!$B$6/MonteCarlo!$B$5)+(MonteCarlo!$B$9+(X$1^2)/2)*$A14)/(X$1*SQRT($A14)),TRUE)-MonteCarlo!$B$5*EXP(-MonteCarlo!$B$9*$A14)*_xlfn.NORM.S.DIST(((LN(MonteCarlo!$B$6/MonteCarlo!$B$5)+(MonteCarlo!$B$9+(X$1^2)/2)*$A14)/(X$1*SQRT($A14)))-(X$1*SQRT($A14)),TRUE),MonteCarlo!$B$5*EXP(-MonteCarlo!$B$9*$A14)*_xlfn.NORM.S.DIST(-(((LN(MonteCarlo!$B$6/MonteCarlo!$B$5)+(MonteCarlo!$B$9+(X$1^2)/2)*$A14)/(X$1*SQRT($A14)))-(X$1*SQRT($A14))),TRUE)-MonteCarlo!$B$6*_xlfn.NORM.S.DIST(-((LN(MonteCarlo!$B$6/MonteCarlo!$B$5)+(MonteCarlo!$B$9+(X$1^2)/2)*$A14)/(X$1*SQRT($A14))),TRUE)),"")</f>
        <v/>
      </c>
      <c r="Y14" t="str">
        <f>IFERROR(IF(OR(MonteCarlo!$B$4="C",MonteCarlo!$B$4="c"),MonteCarlo!$B$6*_xlfn.NORM.S.DIST((LN(MonteCarlo!$B$6/MonteCarlo!$B$5)+(MonteCarlo!$B$9+(Y$1^2)/2)*$A14)/(Y$1*SQRT($A14)),TRUE)-MonteCarlo!$B$5*EXP(-MonteCarlo!$B$9*$A14)*_xlfn.NORM.S.DIST(((LN(MonteCarlo!$B$6/MonteCarlo!$B$5)+(MonteCarlo!$B$9+(Y$1^2)/2)*$A14)/(Y$1*SQRT($A14)))-(Y$1*SQRT($A14)),TRUE),MonteCarlo!$B$5*EXP(-MonteCarlo!$B$9*$A14)*_xlfn.NORM.S.DIST(-(((LN(MonteCarlo!$B$6/MonteCarlo!$B$5)+(MonteCarlo!$B$9+(Y$1^2)/2)*$A14)/(Y$1*SQRT($A14)))-(Y$1*SQRT($A14))),TRUE)-MonteCarlo!$B$6*_xlfn.NORM.S.DIST(-((LN(MonteCarlo!$B$6/MonteCarlo!$B$5)+(MonteCarlo!$B$9+(Y$1^2)/2)*$A14)/(Y$1*SQRT($A14))),TRUE)),"")</f>
        <v/>
      </c>
      <c r="Z14" t="str">
        <f>IFERROR(IF(OR(MonteCarlo!$B$4="C",MonteCarlo!$B$4="c"),MonteCarlo!$B$6*_xlfn.NORM.S.DIST((LN(MonteCarlo!$B$6/MonteCarlo!$B$5)+(MonteCarlo!$B$9+(Z$1^2)/2)*$A14)/(Z$1*SQRT($A14)),TRUE)-MonteCarlo!$B$5*EXP(-MonteCarlo!$B$9*$A14)*_xlfn.NORM.S.DIST(((LN(MonteCarlo!$B$6/MonteCarlo!$B$5)+(MonteCarlo!$B$9+(Z$1^2)/2)*$A14)/(Z$1*SQRT($A14)))-(Z$1*SQRT($A14)),TRUE),MonteCarlo!$B$5*EXP(-MonteCarlo!$B$9*$A14)*_xlfn.NORM.S.DIST(-(((LN(MonteCarlo!$B$6/MonteCarlo!$B$5)+(MonteCarlo!$B$9+(Z$1^2)/2)*$A14)/(Z$1*SQRT($A14)))-(Z$1*SQRT($A14))),TRUE)-MonteCarlo!$B$6*_xlfn.NORM.S.DIST(-((LN(MonteCarlo!$B$6/MonteCarlo!$B$5)+(MonteCarlo!$B$9+(Z$1^2)/2)*$A14)/(Z$1*SQRT($A14))),TRUE)),"")</f>
        <v/>
      </c>
      <c r="AA14" t="str">
        <f>IFERROR(IF(OR(MonteCarlo!$B$4="C",MonteCarlo!$B$4="c"),MonteCarlo!$B$6*_xlfn.NORM.S.DIST((LN(MonteCarlo!$B$6/MonteCarlo!$B$5)+(MonteCarlo!$B$9+(AA$1^2)/2)*$A14)/(AA$1*SQRT($A14)),TRUE)-MonteCarlo!$B$5*EXP(-MonteCarlo!$B$9*$A14)*_xlfn.NORM.S.DIST(((LN(MonteCarlo!$B$6/MonteCarlo!$B$5)+(MonteCarlo!$B$9+(AA$1^2)/2)*$A14)/(AA$1*SQRT($A14)))-(AA$1*SQRT($A14)),TRUE),MonteCarlo!$B$5*EXP(-MonteCarlo!$B$9*$A14)*_xlfn.NORM.S.DIST(-(((LN(MonteCarlo!$B$6/MonteCarlo!$B$5)+(MonteCarlo!$B$9+(AA$1^2)/2)*$A14)/(AA$1*SQRT($A14)))-(AA$1*SQRT($A14))),TRUE)-MonteCarlo!$B$6*_xlfn.NORM.S.DIST(-((LN(MonteCarlo!$B$6/MonteCarlo!$B$5)+(MonteCarlo!$B$9+(AA$1^2)/2)*$A14)/(AA$1*SQRT($A14))),TRUE)),"")</f>
        <v/>
      </c>
      <c r="AB14" t="str">
        <f>IFERROR(IF(OR(MonteCarlo!$B$4="C",MonteCarlo!$B$4="c"),MonteCarlo!$B$6*_xlfn.NORM.S.DIST((LN(MonteCarlo!$B$6/MonteCarlo!$B$5)+(MonteCarlo!$B$9+(AB$1^2)/2)*$A14)/(AB$1*SQRT($A14)),TRUE)-MonteCarlo!$B$5*EXP(-MonteCarlo!$B$9*$A14)*_xlfn.NORM.S.DIST(((LN(MonteCarlo!$B$6/MonteCarlo!$B$5)+(MonteCarlo!$B$9+(AB$1^2)/2)*$A14)/(AB$1*SQRT($A14)))-(AB$1*SQRT($A14)),TRUE),MonteCarlo!$B$5*EXP(-MonteCarlo!$B$9*$A14)*_xlfn.NORM.S.DIST(-(((LN(MonteCarlo!$B$6/MonteCarlo!$B$5)+(MonteCarlo!$B$9+(AB$1^2)/2)*$A14)/(AB$1*SQRT($A14)))-(AB$1*SQRT($A14))),TRUE)-MonteCarlo!$B$6*_xlfn.NORM.S.DIST(-((LN(MonteCarlo!$B$6/MonteCarlo!$B$5)+(MonteCarlo!$B$9+(AB$1^2)/2)*$A14)/(AB$1*SQRT($A14))),TRUE)),"")</f>
        <v/>
      </c>
      <c r="AC14" t="str">
        <f>IFERROR(IF(OR(MonteCarlo!$B$4="C",MonteCarlo!$B$4="c"),MonteCarlo!$B$6*_xlfn.NORM.S.DIST((LN(MonteCarlo!$B$6/MonteCarlo!$B$5)+(MonteCarlo!$B$9+(AC$1^2)/2)*$A14)/(AC$1*SQRT($A14)),TRUE)-MonteCarlo!$B$5*EXP(-MonteCarlo!$B$9*$A14)*_xlfn.NORM.S.DIST(((LN(MonteCarlo!$B$6/MonteCarlo!$B$5)+(MonteCarlo!$B$9+(AC$1^2)/2)*$A14)/(AC$1*SQRT($A14)))-(AC$1*SQRT($A14)),TRUE),MonteCarlo!$B$5*EXP(-MonteCarlo!$B$9*$A14)*_xlfn.NORM.S.DIST(-(((LN(MonteCarlo!$B$6/MonteCarlo!$B$5)+(MonteCarlo!$B$9+(AC$1^2)/2)*$A14)/(AC$1*SQRT($A14)))-(AC$1*SQRT($A14))),TRUE)-MonteCarlo!$B$6*_xlfn.NORM.S.DIST(-((LN(MonteCarlo!$B$6/MonteCarlo!$B$5)+(MonteCarlo!$B$9+(AC$1^2)/2)*$A14)/(AC$1*SQRT($A14))),TRUE)),"")</f>
        <v/>
      </c>
      <c r="AD14" t="str">
        <f>IFERROR(IF(OR(MonteCarlo!$B$4="C",MonteCarlo!$B$4="c"),MonteCarlo!$B$6*_xlfn.NORM.S.DIST((LN(MonteCarlo!$B$6/MonteCarlo!$B$5)+(MonteCarlo!$B$9+(AD$1^2)/2)*$A14)/(AD$1*SQRT($A14)),TRUE)-MonteCarlo!$B$5*EXP(-MonteCarlo!$B$9*$A14)*_xlfn.NORM.S.DIST(((LN(MonteCarlo!$B$6/MonteCarlo!$B$5)+(MonteCarlo!$B$9+(AD$1^2)/2)*$A14)/(AD$1*SQRT($A14)))-(AD$1*SQRT($A14)),TRUE),MonteCarlo!$B$5*EXP(-MonteCarlo!$B$9*$A14)*_xlfn.NORM.S.DIST(-(((LN(MonteCarlo!$B$6/MonteCarlo!$B$5)+(MonteCarlo!$B$9+(AD$1^2)/2)*$A14)/(AD$1*SQRT($A14)))-(AD$1*SQRT($A14))),TRUE)-MonteCarlo!$B$6*_xlfn.NORM.S.DIST(-((LN(MonteCarlo!$B$6/MonteCarlo!$B$5)+(MonteCarlo!$B$9+(AD$1^2)/2)*$A14)/(AD$1*SQRT($A14))),TRUE)),"")</f>
        <v/>
      </c>
      <c r="AE14" t="str">
        <f>IFERROR(IF(OR(MonteCarlo!$B$4="C",MonteCarlo!$B$4="c"),MonteCarlo!$B$6*_xlfn.NORM.S.DIST((LN(MonteCarlo!$B$6/MonteCarlo!$B$5)+(MonteCarlo!$B$9+(AE$1^2)/2)*$A14)/(AE$1*SQRT($A14)),TRUE)-MonteCarlo!$B$5*EXP(-MonteCarlo!$B$9*$A14)*_xlfn.NORM.S.DIST(((LN(MonteCarlo!$B$6/MonteCarlo!$B$5)+(MonteCarlo!$B$9+(AE$1^2)/2)*$A14)/(AE$1*SQRT($A14)))-(AE$1*SQRT($A14)),TRUE),MonteCarlo!$B$5*EXP(-MonteCarlo!$B$9*$A14)*_xlfn.NORM.S.DIST(-(((LN(MonteCarlo!$B$6/MonteCarlo!$B$5)+(MonteCarlo!$B$9+(AE$1^2)/2)*$A14)/(AE$1*SQRT($A14)))-(AE$1*SQRT($A14))),TRUE)-MonteCarlo!$B$6*_xlfn.NORM.S.DIST(-((LN(MonteCarlo!$B$6/MonteCarlo!$B$5)+(MonteCarlo!$B$9+(AE$1^2)/2)*$A14)/(AE$1*SQRT($A14))),TRUE)),"")</f>
        <v/>
      </c>
      <c r="AF14" t="str">
        <f>IFERROR(IF(OR(MonteCarlo!$B$4="C",MonteCarlo!$B$4="c"),MonteCarlo!$B$6*_xlfn.NORM.S.DIST((LN(MonteCarlo!$B$6/MonteCarlo!$B$5)+(MonteCarlo!$B$9+(AF$1^2)/2)*$A14)/(AF$1*SQRT($A14)),TRUE)-MonteCarlo!$B$5*EXP(-MonteCarlo!$B$9*$A14)*_xlfn.NORM.S.DIST(((LN(MonteCarlo!$B$6/MonteCarlo!$B$5)+(MonteCarlo!$B$9+(AF$1^2)/2)*$A14)/(AF$1*SQRT($A14)))-(AF$1*SQRT($A14)),TRUE),MonteCarlo!$B$5*EXP(-MonteCarlo!$B$9*$A14)*_xlfn.NORM.S.DIST(-(((LN(MonteCarlo!$B$6/MonteCarlo!$B$5)+(MonteCarlo!$B$9+(AF$1^2)/2)*$A14)/(AF$1*SQRT($A14)))-(AF$1*SQRT($A14))),TRUE)-MonteCarlo!$B$6*_xlfn.NORM.S.DIST(-((LN(MonteCarlo!$B$6/MonteCarlo!$B$5)+(MonteCarlo!$B$9+(AF$1^2)/2)*$A14)/(AF$1*SQRT($A14))),TRUE)),"")</f>
        <v/>
      </c>
    </row>
    <row r="15" spans="2:32" x14ac:dyDescent="0.25">
      <c r="B15" t="str">
        <f>IFERROR(IF(OR(MonteCarlo!$B$4="C",MonteCarlo!$B$4="c"),MonteCarlo!$B$6*_xlfn.NORM.S.DIST((LN(MonteCarlo!$B$6/MonteCarlo!$B$5)+(MonteCarlo!$B$9+(B$1^2)/2)*$A15)/(B$1*SQRT($A15)),TRUE)-MonteCarlo!$B$5*EXP(-MonteCarlo!$B$9*$A15)*_xlfn.NORM.S.DIST(((LN(MonteCarlo!$B$6/MonteCarlo!$B$5)+(MonteCarlo!$B$9+(B$1^2)/2)*$A15)/(B$1*SQRT($A15)))-(B$1*SQRT($A15)),TRUE),MonteCarlo!$B$5*EXP(-MonteCarlo!$B$9*$A15)*_xlfn.NORM.S.DIST(-(((LN(MonteCarlo!$B$6/MonteCarlo!$B$5)+(MonteCarlo!$B$9+(B$1^2)/2)*$A15)/(B$1*SQRT($A15)))-(B$1*SQRT($A15))),TRUE)-MonteCarlo!$B$6*_xlfn.NORM.S.DIST(-((LN(MonteCarlo!$B$6/MonteCarlo!$B$5)+(MonteCarlo!$B$9+(B$1^2)/2)*$A15)/(B$1*SQRT($A15))),TRUE)),"")</f>
        <v/>
      </c>
      <c r="C15" t="str">
        <f>IFERROR(IF(OR(MonteCarlo!$B$4="C",MonteCarlo!$B$4="c"),MonteCarlo!$B$6*_xlfn.NORM.S.DIST((LN(MonteCarlo!$B$6/MonteCarlo!$B$5)+(MonteCarlo!$B$9+(C$1^2)/2)*$A15)/(C$1*SQRT($A15)),TRUE)-MonteCarlo!$B$5*EXP(-MonteCarlo!$B$9*$A15)*_xlfn.NORM.S.DIST(((LN(MonteCarlo!$B$6/MonteCarlo!$B$5)+(MonteCarlo!$B$9+(C$1^2)/2)*$A15)/(C$1*SQRT($A15)))-(C$1*SQRT($A15)),TRUE),MonteCarlo!$B$5*EXP(-MonteCarlo!$B$9*$A15)*_xlfn.NORM.S.DIST(-(((LN(MonteCarlo!$B$6/MonteCarlo!$B$5)+(MonteCarlo!$B$9+(C$1^2)/2)*$A15)/(C$1*SQRT($A15)))-(C$1*SQRT($A15))),TRUE)-MonteCarlo!$B$6*_xlfn.NORM.S.DIST(-((LN(MonteCarlo!$B$6/MonteCarlo!$B$5)+(MonteCarlo!$B$9+(C$1^2)/2)*$A15)/(C$1*SQRT($A15))),TRUE)),"")</f>
        <v/>
      </c>
      <c r="D15" t="str">
        <f>IFERROR(IF(OR(MonteCarlo!$B$4="C",MonteCarlo!$B$4="c"),MonteCarlo!$B$6*_xlfn.NORM.S.DIST((LN(MonteCarlo!$B$6/MonteCarlo!$B$5)+(MonteCarlo!$B$9+(D$1^2)/2)*$A15)/(D$1*SQRT($A15)),TRUE)-MonteCarlo!$B$5*EXP(-MonteCarlo!$B$9*$A15)*_xlfn.NORM.S.DIST(((LN(MonteCarlo!$B$6/MonteCarlo!$B$5)+(MonteCarlo!$B$9+(D$1^2)/2)*$A15)/(D$1*SQRT($A15)))-(D$1*SQRT($A15)),TRUE),MonteCarlo!$B$5*EXP(-MonteCarlo!$B$9*$A15)*_xlfn.NORM.S.DIST(-(((LN(MonteCarlo!$B$6/MonteCarlo!$B$5)+(MonteCarlo!$B$9+(D$1^2)/2)*$A15)/(D$1*SQRT($A15)))-(D$1*SQRT($A15))),TRUE)-MonteCarlo!$B$6*_xlfn.NORM.S.DIST(-((LN(MonteCarlo!$B$6/MonteCarlo!$B$5)+(MonteCarlo!$B$9+(D$1^2)/2)*$A15)/(D$1*SQRT($A15))),TRUE)),"")</f>
        <v/>
      </c>
      <c r="E15" t="str">
        <f>IFERROR(IF(OR(MonteCarlo!$B$4="C",MonteCarlo!$B$4="c"),MonteCarlo!$B$6*_xlfn.NORM.S.DIST((LN(MonteCarlo!$B$6/MonteCarlo!$B$5)+(MonteCarlo!$B$9+(E$1^2)/2)*$A15)/(E$1*SQRT($A15)),TRUE)-MonteCarlo!$B$5*EXP(-MonteCarlo!$B$9*$A15)*_xlfn.NORM.S.DIST(((LN(MonteCarlo!$B$6/MonteCarlo!$B$5)+(MonteCarlo!$B$9+(E$1^2)/2)*$A15)/(E$1*SQRT($A15)))-(E$1*SQRT($A15)),TRUE),MonteCarlo!$B$5*EXP(-MonteCarlo!$B$9*$A15)*_xlfn.NORM.S.DIST(-(((LN(MonteCarlo!$B$6/MonteCarlo!$B$5)+(MonteCarlo!$B$9+(E$1^2)/2)*$A15)/(E$1*SQRT($A15)))-(E$1*SQRT($A15))),TRUE)-MonteCarlo!$B$6*_xlfn.NORM.S.DIST(-((LN(MonteCarlo!$B$6/MonteCarlo!$B$5)+(MonteCarlo!$B$9+(E$1^2)/2)*$A15)/(E$1*SQRT($A15))),TRUE)),"")</f>
        <v/>
      </c>
      <c r="F15" t="str">
        <f>IFERROR(IF(OR(MonteCarlo!$B$4="C",MonteCarlo!$B$4="c"),MonteCarlo!$B$6*_xlfn.NORM.S.DIST((LN(MonteCarlo!$B$6/MonteCarlo!$B$5)+(MonteCarlo!$B$9+(F$1^2)/2)*$A15)/(F$1*SQRT($A15)),TRUE)-MonteCarlo!$B$5*EXP(-MonteCarlo!$B$9*$A15)*_xlfn.NORM.S.DIST(((LN(MonteCarlo!$B$6/MonteCarlo!$B$5)+(MonteCarlo!$B$9+(F$1^2)/2)*$A15)/(F$1*SQRT($A15)))-(F$1*SQRT($A15)),TRUE),MonteCarlo!$B$5*EXP(-MonteCarlo!$B$9*$A15)*_xlfn.NORM.S.DIST(-(((LN(MonteCarlo!$B$6/MonteCarlo!$B$5)+(MonteCarlo!$B$9+(F$1^2)/2)*$A15)/(F$1*SQRT($A15)))-(F$1*SQRT($A15))),TRUE)-MonteCarlo!$B$6*_xlfn.NORM.S.DIST(-((LN(MonteCarlo!$B$6/MonteCarlo!$B$5)+(MonteCarlo!$B$9+(F$1^2)/2)*$A15)/(F$1*SQRT($A15))),TRUE)),"")</f>
        <v/>
      </c>
      <c r="G15" t="str">
        <f>IFERROR(IF(OR(MonteCarlo!$B$4="C",MonteCarlo!$B$4="c"),MonteCarlo!$B$6*_xlfn.NORM.S.DIST((LN(MonteCarlo!$B$6/MonteCarlo!$B$5)+(MonteCarlo!$B$9+(G$1^2)/2)*$A15)/(G$1*SQRT($A15)),TRUE)-MonteCarlo!$B$5*EXP(-MonteCarlo!$B$9*$A15)*_xlfn.NORM.S.DIST(((LN(MonteCarlo!$B$6/MonteCarlo!$B$5)+(MonteCarlo!$B$9+(G$1^2)/2)*$A15)/(G$1*SQRT($A15)))-(G$1*SQRT($A15)),TRUE),MonteCarlo!$B$5*EXP(-MonteCarlo!$B$9*$A15)*_xlfn.NORM.S.DIST(-(((LN(MonteCarlo!$B$6/MonteCarlo!$B$5)+(MonteCarlo!$B$9+(G$1^2)/2)*$A15)/(G$1*SQRT($A15)))-(G$1*SQRT($A15))),TRUE)-MonteCarlo!$B$6*_xlfn.NORM.S.DIST(-((LN(MonteCarlo!$B$6/MonteCarlo!$B$5)+(MonteCarlo!$B$9+(G$1^2)/2)*$A15)/(G$1*SQRT($A15))),TRUE)),"")</f>
        <v/>
      </c>
      <c r="H15" t="str">
        <f>IFERROR(IF(OR(MonteCarlo!$B$4="C",MonteCarlo!$B$4="c"),MonteCarlo!$B$6*_xlfn.NORM.S.DIST((LN(MonteCarlo!$B$6/MonteCarlo!$B$5)+(MonteCarlo!$B$9+(H$1^2)/2)*$A15)/(H$1*SQRT($A15)),TRUE)-MonteCarlo!$B$5*EXP(-MonteCarlo!$B$9*$A15)*_xlfn.NORM.S.DIST(((LN(MonteCarlo!$B$6/MonteCarlo!$B$5)+(MonteCarlo!$B$9+(H$1^2)/2)*$A15)/(H$1*SQRT($A15)))-(H$1*SQRT($A15)),TRUE),MonteCarlo!$B$5*EXP(-MonteCarlo!$B$9*$A15)*_xlfn.NORM.S.DIST(-(((LN(MonteCarlo!$B$6/MonteCarlo!$B$5)+(MonteCarlo!$B$9+(H$1^2)/2)*$A15)/(H$1*SQRT($A15)))-(H$1*SQRT($A15))),TRUE)-MonteCarlo!$B$6*_xlfn.NORM.S.DIST(-((LN(MonteCarlo!$B$6/MonteCarlo!$B$5)+(MonteCarlo!$B$9+(H$1^2)/2)*$A15)/(H$1*SQRT($A15))),TRUE)),"")</f>
        <v/>
      </c>
      <c r="I15" t="str">
        <f>IFERROR(IF(OR(MonteCarlo!$B$4="C",MonteCarlo!$B$4="c"),MonteCarlo!$B$6*_xlfn.NORM.S.DIST((LN(MonteCarlo!$B$6/MonteCarlo!$B$5)+(MonteCarlo!$B$9+(I$1^2)/2)*$A15)/(I$1*SQRT($A15)),TRUE)-MonteCarlo!$B$5*EXP(-MonteCarlo!$B$9*$A15)*_xlfn.NORM.S.DIST(((LN(MonteCarlo!$B$6/MonteCarlo!$B$5)+(MonteCarlo!$B$9+(I$1^2)/2)*$A15)/(I$1*SQRT($A15)))-(I$1*SQRT($A15)),TRUE),MonteCarlo!$B$5*EXP(-MonteCarlo!$B$9*$A15)*_xlfn.NORM.S.DIST(-(((LN(MonteCarlo!$B$6/MonteCarlo!$B$5)+(MonteCarlo!$B$9+(I$1^2)/2)*$A15)/(I$1*SQRT($A15)))-(I$1*SQRT($A15))),TRUE)-MonteCarlo!$B$6*_xlfn.NORM.S.DIST(-((LN(MonteCarlo!$B$6/MonteCarlo!$B$5)+(MonteCarlo!$B$9+(I$1^2)/2)*$A15)/(I$1*SQRT($A15))),TRUE)),"")</f>
        <v/>
      </c>
      <c r="J15" t="str">
        <f>IFERROR(IF(OR(MonteCarlo!$B$4="C",MonteCarlo!$B$4="c"),MonteCarlo!$B$6*_xlfn.NORM.S.DIST((LN(MonteCarlo!$B$6/MonteCarlo!$B$5)+(MonteCarlo!$B$9+(J$1^2)/2)*$A15)/(J$1*SQRT($A15)),TRUE)-MonteCarlo!$B$5*EXP(-MonteCarlo!$B$9*$A15)*_xlfn.NORM.S.DIST(((LN(MonteCarlo!$B$6/MonteCarlo!$B$5)+(MonteCarlo!$B$9+(J$1^2)/2)*$A15)/(J$1*SQRT($A15)))-(J$1*SQRT($A15)),TRUE),MonteCarlo!$B$5*EXP(-MonteCarlo!$B$9*$A15)*_xlfn.NORM.S.DIST(-(((LN(MonteCarlo!$B$6/MonteCarlo!$B$5)+(MonteCarlo!$B$9+(J$1^2)/2)*$A15)/(J$1*SQRT($A15)))-(J$1*SQRT($A15))),TRUE)-MonteCarlo!$B$6*_xlfn.NORM.S.DIST(-((LN(MonteCarlo!$B$6/MonteCarlo!$B$5)+(MonteCarlo!$B$9+(J$1^2)/2)*$A15)/(J$1*SQRT($A15))),TRUE)),"")</f>
        <v/>
      </c>
      <c r="K15" t="str">
        <f>IFERROR(IF(OR(MonteCarlo!$B$4="C",MonteCarlo!$B$4="c"),MonteCarlo!$B$6*_xlfn.NORM.S.DIST((LN(MonteCarlo!$B$6/MonteCarlo!$B$5)+(MonteCarlo!$B$9+(K$1^2)/2)*$A15)/(K$1*SQRT($A15)),TRUE)-MonteCarlo!$B$5*EXP(-MonteCarlo!$B$9*$A15)*_xlfn.NORM.S.DIST(((LN(MonteCarlo!$B$6/MonteCarlo!$B$5)+(MonteCarlo!$B$9+(K$1^2)/2)*$A15)/(K$1*SQRT($A15)))-(K$1*SQRT($A15)),TRUE),MonteCarlo!$B$5*EXP(-MonteCarlo!$B$9*$A15)*_xlfn.NORM.S.DIST(-(((LN(MonteCarlo!$B$6/MonteCarlo!$B$5)+(MonteCarlo!$B$9+(K$1^2)/2)*$A15)/(K$1*SQRT($A15)))-(K$1*SQRT($A15))),TRUE)-MonteCarlo!$B$6*_xlfn.NORM.S.DIST(-((LN(MonteCarlo!$B$6/MonteCarlo!$B$5)+(MonteCarlo!$B$9+(K$1^2)/2)*$A15)/(K$1*SQRT($A15))),TRUE)),"")</f>
        <v/>
      </c>
      <c r="L15" t="str">
        <f>IFERROR(IF(OR(MonteCarlo!$B$4="C",MonteCarlo!$B$4="c"),MonteCarlo!$B$6*_xlfn.NORM.S.DIST((LN(MonteCarlo!$B$6/MonteCarlo!$B$5)+(MonteCarlo!$B$9+(L$1^2)/2)*$A15)/(L$1*SQRT($A15)),TRUE)-MonteCarlo!$B$5*EXP(-MonteCarlo!$B$9*$A15)*_xlfn.NORM.S.DIST(((LN(MonteCarlo!$B$6/MonteCarlo!$B$5)+(MonteCarlo!$B$9+(L$1^2)/2)*$A15)/(L$1*SQRT($A15)))-(L$1*SQRT($A15)),TRUE),MonteCarlo!$B$5*EXP(-MonteCarlo!$B$9*$A15)*_xlfn.NORM.S.DIST(-(((LN(MonteCarlo!$B$6/MonteCarlo!$B$5)+(MonteCarlo!$B$9+(L$1^2)/2)*$A15)/(L$1*SQRT($A15)))-(L$1*SQRT($A15))),TRUE)-MonteCarlo!$B$6*_xlfn.NORM.S.DIST(-((LN(MonteCarlo!$B$6/MonteCarlo!$B$5)+(MonteCarlo!$B$9+(L$1^2)/2)*$A15)/(L$1*SQRT($A15))),TRUE)),"")</f>
        <v/>
      </c>
      <c r="M15" t="str">
        <f>IFERROR(IF(OR(MonteCarlo!$B$4="C",MonteCarlo!$B$4="c"),MonteCarlo!$B$6*_xlfn.NORM.S.DIST((LN(MonteCarlo!$B$6/MonteCarlo!$B$5)+(MonteCarlo!$B$9+(M$1^2)/2)*$A15)/(M$1*SQRT($A15)),TRUE)-MonteCarlo!$B$5*EXP(-MonteCarlo!$B$9*$A15)*_xlfn.NORM.S.DIST(((LN(MonteCarlo!$B$6/MonteCarlo!$B$5)+(MonteCarlo!$B$9+(M$1^2)/2)*$A15)/(M$1*SQRT($A15)))-(M$1*SQRT($A15)),TRUE),MonteCarlo!$B$5*EXP(-MonteCarlo!$B$9*$A15)*_xlfn.NORM.S.DIST(-(((LN(MonteCarlo!$B$6/MonteCarlo!$B$5)+(MonteCarlo!$B$9+(M$1^2)/2)*$A15)/(M$1*SQRT($A15)))-(M$1*SQRT($A15))),TRUE)-MonteCarlo!$B$6*_xlfn.NORM.S.DIST(-((LN(MonteCarlo!$B$6/MonteCarlo!$B$5)+(MonteCarlo!$B$9+(M$1^2)/2)*$A15)/(M$1*SQRT($A15))),TRUE)),"")</f>
        <v/>
      </c>
      <c r="N15" t="str">
        <f>IFERROR(IF(OR(MonteCarlo!$B$4="C",MonteCarlo!$B$4="c"),MonteCarlo!$B$6*_xlfn.NORM.S.DIST((LN(MonteCarlo!$B$6/MonteCarlo!$B$5)+(MonteCarlo!$B$9+(N$1^2)/2)*$A15)/(N$1*SQRT($A15)),TRUE)-MonteCarlo!$B$5*EXP(-MonteCarlo!$B$9*$A15)*_xlfn.NORM.S.DIST(((LN(MonteCarlo!$B$6/MonteCarlo!$B$5)+(MonteCarlo!$B$9+(N$1^2)/2)*$A15)/(N$1*SQRT($A15)))-(N$1*SQRT($A15)),TRUE),MonteCarlo!$B$5*EXP(-MonteCarlo!$B$9*$A15)*_xlfn.NORM.S.DIST(-(((LN(MonteCarlo!$B$6/MonteCarlo!$B$5)+(MonteCarlo!$B$9+(N$1^2)/2)*$A15)/(N$1*SQRT($A15)))-(N$1*SQRT($A15))),TRUE)-MonteCarlo!$B$6*_xlfn.NORM.S.DIST(-((LN(MonteCarlo!$B$6/MonteCarlo!$B$5)+(MonteCarlo!$B$9+(N$1^2)/2)*$A15)/(N$1*SQRT($A15))),TRUE)),"")</f>
        <v/>
      </c>
      <c r="O15" t="str">
        <f>IFERROR(IF(OR(MonteCarlo!$B$4="C",MonteCarlo!$B$4="c"),MonteCarlo!$B$6*_xlfn.NORM.S.DIST((LN(MonteCarlo!$B$6/MonteCarlo!$B$5)+(MonteCarlo!$B$9+(O$1^2)/2)*$A15)/(O$1*SQRT($A15)),TRUE)-MonteCarlo!$B$5*EXP(-MonteCarlo!$B$9*$A15)*_xlfn.NORM.S.DIST(((LN(MonteCarlo!$B$6/MonteCarlo!$B$5)+(MonteCarlo!$B$9+(O$1^2)/2)*$A15)/(O$1*SQRT($A15)))-(O$1*SQRT($A15)),TRUE),MonteCarlo!$B$5*EXP(-MonteCarlo!$B$9*$A15)*_xlfn.NORM.S.DIST(-(((LN(MonteCarlo!$B$6/MonteCarlo!$B$5)+(MonteCarlo!$B$9+(O$1^2)/2)*$A15)/(O$1*SQRT($A15)))-(O$1*SQRT($A15))),TRUE)-MonteCarlo!$B$6*_xlfn.NORM.S.DIST(-((LN(MonteCarlo!$B$6/MonteCarlo!$B$5)+(MonteCarlo!$B$9+(O$1^2)/2)*$A15)/(O$1*SQRT($A15))),TRUE)),"")</f>
        <v/>
      </c>
      <c r="P15" t="str">
        <f>IFERROR(IF(OR(MonteCarlo!$B$4="C",MonteCarlo!$B$4="c"),MonteCarlo!$B$6*_xlfn.NORM.S.DIST((LN(MonteCarlo!$B$6/MonteCarlo!$B$5)+(MonteCarlo!$B$9+(P$1^2)/2)*$A15)/(P$1*SQRT($A15)),TRUE)-MonteCarlo!$B$5*EXP(-MonteCarlo!$B$9*$A15)*_xlfn.NORM.S.DIST(((LN(MonteCarlo!$B$6/MonteCarlo!$B$5)+(MonteCarlo!$B$9+(P$1^2)/2)*$A15)/(P$1*SQRT($A15)))-(P$1*SQRT($A15)),TRUE),MonteCarlo!$B$5*EXP(-MonteCarlo!$B$9*$A15)*_xlfn.NORM.S.DIST(-(((LN(MonteCarlo!$B$6/MonteCarlo!$B$5)+(MonteCarlo!$B$9+(P$1^2)/2)*$A15)/(P$1*SQRT($A15)))-(P$1*SQRT($A15))),TRUE)-MonteCarlo!$B$6*_xlfn.NORM.S.DIST(-((LN(MonteCarlo!$B$6/MonteCarlo!$B$5)+(MonteCarlo!$B$9+(P$1^2)/2)*$A15)/(P$1*SQRT($A15))),TRUE)),"")</f>
        <v/>
      </c>
      <c r="Q15" t="str">
        <f>IFERROR(IF(OR(MonteCarlo!$B$4="C",MonteCarlo!$B$4="c"),MonteCarlo!$B$6*_xlfn.NORM.S.DIST((LN(MonteCarlo!$B$6/MonteCarlo!$B$5)+(MonteCarlo!$B$9+(Q$1^2)/2)*$A15)/(Q$1*SQRT($A15)),TRUE)-MonteCarlo!$B$5*EXP(-MonteCarlo!$B$9*$A15)*_xlfn.NORM.S.DIST(((LN(MonteCarlo!$B$6/MonteCarlo!$B$5)+(MonteCarlo!$B$9+(Q$1^2)/2)*$A15)/(Q$1*SQRT($A15)))-(Q$1*SQRT($A15)),TRUE),MonteCarlo!$B$5*EXP(-MonteCarlo!$B$9*$A15)*_xlfn.NORM.S.DIST(-(((LN(MonteCarlo!$B$6/MonteCarlo!$B$5)+(MonteCarlo!$B$9+(Q$1^2)/2)*$A15)/(Q$1*SQRT($A15)))-(Q$1*SQRT($A15))),TRUE)-MonteCarlo!$B$6*_xlfn.NORM.S.DIST(-((LN(MonteCarlo!$B$6/MonteCarlo!$B$5)+(MonteCarlo!$B$9+(Q$1^2)/2)*$A15)/(Q$1*SQRT($A15))),TRUE)),"")</f>
        <v/>
      </c>
      <c r="R15" t="str">
        <f>IFERROR(IF(OR(MonteCarlo!$B$4="C",MonteCarlo!$B$4="c"),MonteCarlo!$B$6*_xlfn.NORM.S.DIST((LN(MonteCarlo!$B$6/MonteCarlo!$B$5)+(MonteCarlo!$B$9+(R$1^2)/2)*$A15)/(R$1*SQRT($A15)),TRUE)-MonteCarlo!$B$5*EXP(-MonteCarlo!$B$9*$A15)*_xlfn.NORM.S.DIST(((LN(MonteCarlo!$B$6/MonteCarlo!$B$5)+(MonteCarlo!$B$9+(R$1^2)/2)*$A15)/(R$1*SQRT($A15)))-(R$1*SQRT($A15)),TRUE),MonteCarlo!$B$5*EXP(-MonteCarlo!$B$9*$A15)*_xlfn.NORM.S.DIST(-(((LN(MonteCarlo!$B$6/MonteCarlo!$B$5)+(MonteCarlo!$B$9+(R$1^2)/2)*$A15)/(R$1*SQRT($A15)))-(R$1*SQRT($A15))),TRUE)-MonteCarlo!$B$6*_xlfn.NORM.S.DIST(-((LN(MonteCarlo!$B$6/MonteCarlo!$B$5)+(MonteCarlo!$B$9+(R$1^2)/2)*$A15)/(R$1*SQRT($A15))),TRUE)),"")</f>
        <v/>
      </c>
      <c r="S15" t="str">
        <f>IFERROR(IF(OR(MonteCarlo!$B$4="C",MonteCarlo!$B$4="c"),MonteCarlo!$B$6*_xlfn.NORM.S.DIST((LN(MonteCarlo!$B$6/MonteCarlo!$B$5)+(MonteCarlo!$B$9+(S$1^2)/2)*$A15)/(S$1*SQRT($A15)),TRUE)-MonteCarlo!$B$5*EXP(-MonteCarlo!$B$9*$A15)*_xlfn.NORM.S.DIST(((LN(MonteCarlo!$B$6/MonteCarlo!$B$5)+(MonteCarlo!$B$9+(S$1^2)/2)*$A15)/(S$1*SQRT($A15)))-(S$1*SQRT($A15)),TRUE),MonteCarlo!$B$5*EXP(-MonteCarlo!$B$9*$A15)*_xlfn.NORM.S.DIST(-(((LN(MonteCarlo!$B$6/MonteCarlo!$B$5)+(MonteCarlo!$B$9+(S$1^2)/2)*$A15)/(S$1*SQRT($A15)))-(S$1*SQRT($A15))),TRUE)-MonteCarlo!$B$6*_xlfn.NORM.S.DIST(-((LN(MonteCarlo!$B$6/MonteCarlo!$B$5)+(MonteCarlo!$B$9+(S$1^2)/2)*$A15)/(S$1*SQRT($A15))),TRUE)),"")</f>
        <v/>
      </c>
      <c r="T15" t="str">
        <f>IFERROR(IF(OR(MonteCarlo!$B$4="C",MonteCarlo!$B$4="c"),MonteCarlo!$B$6*_xlfn.NORM.S.DIST((LN(MonteCarlo!$B$6/MonteCarlo!$B$5)+(MonteCarlo!$B$9+(T$1^2)/2)*$A15)/(T$1*SQRT($A15)),TRUE)-MonteCarlo!$B$5*EXP(-MonteCarlo!$B$9*$A15)*_xlfn.NORM.S.DIST(((LN(MonteCarlo!$B$6/MonteCarlo!$B$5)+(MonteCarlo!$B$9+(T$1^2)/2)*$A15)/(T$1*SQRT($A15)))-(T$1*SQRT($A15)),TRUE),MonteCarlo!$B$5*EXP(-MonteCarlo!$B$9*$A15)*_xlfn.NORM.S.DIST(-(((LN(MonteCarlo!$B$6/MonteCarlo!$B$5)+(MonteCarlo!$B$9+(T$1^2)/2)*$A15)/(T$1*SQRT($A15)))-(T$1*SQRT($A15))),TRUE)-MonteCarlo!$B$6*_xlfn.NORM.S.DIST(-((LN(MonteCarlo!$B$6/MonteCarlo!$B$5)+(MonteCarlo!$B$9+(T$1^2)/2)*$A15)/(T$1*SQRT($A15))),TRUE)),"")</f>
        <v/>
      </c>
      <c r="U15" t="str">
        <f>IFERROR(IF(OR(MonteCarlo!$B$4="C",MonteCarlo!$B$4="c"),MonteCarlo!$B$6*_xlfn.NORM.S.DIST((LN(MonteCarlo!$B$6/MonteCarlo!$B$5)+(MonteCarlo!$B$9+(U$1^2)/2)*$A15)/(U$1*SQRT($A15)),TRUE)-MonteCarlo!$B$5*EXP(-MonteCarlo!$B$9*$A15)*_xlfn.NORM.S.DIST(((LN(MonteCarlo!$B$6/MonteCarlo!$B$5)+(MonteCarlo!$B$9+(U$1^2)/2)*$A15)/(U$1*SQRT($A15)))-(U$1*SQRT($A15)),TRUE),MonteCarlo!$B$5*EXP(-MonteCarlo!$B$9*$A15)*_xlfn.NORM.S.DIST(-(((LN(MonteCarlo!$B$6/MonteCarlo!$B$5)+(MonteCarlo!$B$9+(U$1^2)/2)*$A15)/(U$1*SQRT($A15)))-(U$1*SQRT($A15))),TRUE)-MonteCarlo!$B$6*_xlfn.NORM.S.DIST(-((LN(MonteCarlo!$B$6/MonteCarlo!$B$5)+(MonteCarlo!$B$9+(U$1^2)/2)*$A15)/(U$1*SQRT($A15))),TRUE)),"")</f>
        <v/>
      </c>
      <c r="V15" t="str">
        <f>IFERROR(IF(OR(MonteCarlo!$B$4="C",MonteCarlo!$B$4="c"),MonteCarlo!$B$6*_xlfn.NORM.S.DIST((LN(MonteCarlo!$B$6/MonteCarlo!$B$5)+(MonteCarlo!$B$9+(V$1^2)/2)*$A15)/(V$1*SQRT($A15)),TRUE)-MonteCarlo!$B$5*EXP(-MonteCarlo!$B$9*$A15)*_xlfn.NORM.S.DIST(((LN(MonteCarlo!$B$6/MonteCarlo!$B$5)+(MonteCarlo!$B$9+(V$1^2)/2)*$A15)/(V$1*SQRT($A15)))-(V$1*SQRT($A15)),TRUE),MonteCarlo!$B$5*EXP(-MonteCarlo!$B$9*$A15)*_xlfn.NORM.S.DIST(-(((LN(MonteCarlo!$B$6/MonteCarlo!$B$5)+(MonteCarlo!$B$9+(V$1^2)/2)*$A15)/(V$1*SQRT($A15)))-(V$1*SQRT($A15))),TRUE)-MonteCarlo!$B$6*_xlfn.NORM.S.DIST(-((LN(MonteCarlo!$B$6/MonteCarlo!$B$5)+(MonteCarlo!$B$9+(V$1^2)/2)*$A15)/(V$1*SQRT($A15))),TRUE)),"")</f>
        <v/>
      </c>
      <c r="W15" t="str">
        <f>IFERROR(IF(OR(MonteCarlo!$B$4="C",MonteCarlo!$B$4="c"),MonteCarlo!$B$6*_xlfn.NORM.S.DIST((LN(MonteCarlo!$B$6/MonteCarlo!$B$5)+(MonteCarlo!$B$9+(W$1^2)/2)*$A15)/(W$1*SQRT($A15)),TRUE)-MonteCarlo!$B$5*EXP(-MonteCarlo!$B$9*$A15)*_xlfn.NORM.S.DIST(((LN(MonteCarlo!$B$6/MonteCarlo!$B$5)+(MonteCarlo!$B$9+(W$1^2)/2)*$A15)/(W$1*SQRT($A15)))-(W$1*SQRT($A15)),TRUE),MonteCarlo!$B$5*EXP(-MonteCarlo!$B$9*$A15)*_xlfn.NORM.S.DIST(-(((LN(MonteCarlo!$B$6/MonteCarlo!$B$5)+(MonteCarlo!$B$9+(W$1^2)/2)*$A15)/(W$1*SQRT($A15)))-(W$1*SQRT($A15))),TRUE)-MonteCarlo!$B$6*_xlfn.NORM.S.DIST(-((LN(MonteCarlo!$B$6/MonteCarlo!$B$5)+(MonteCarlo!$B$9+(W$1^2)/2)*$A15)/(W$1*SQRT($A15))),TRUE)),"")</f>
        <v/>
      </c>
      <c r="X15" t="str">
        <f>IFERROR(IF(OR(MonteCarlo!$B$4="C",MonteCarlo!$B$4="c"),MonteCarlo!$B$6*_xlfn.NORM.S.DIST((LN(MonteCarlo!$B$6/MonteCarlo!$B$5)+(MonteCarlo!$B$9+(X$1^2)/2)*$A15)/(X$1*SQRT($A15)),TRUE)-MonteCarlo!$B$5*EXP(-MonteCarlo!$B$9*$A15)*_xlfn.NORM.S.DIST(((LN(MonteCarlo!$B$6/MonteCarlo!$B$5)+(MonteCarlo!$B$9+(X$1^2)/2)*$A15)/(X$1*SQRT($A15)))-(X$1*SQRT($A15)),TRUE),MonteCarlo!$B$5*EXP(-MonteCarlo!$B$9*$A15)*_xlfn.NORM.S.DIST(-(((LN(MonteCarlo!$B$6/MonteCarlo!$B$5)+(MonteCarlo!$B$9+(X$1^2)/2)*$A15)/(X$1*SQRT($A15)))-(X$1*SQRT($A15))),TRUE)-MonteCarlo!$B$6*_xlfn.NORM.S.DIST(-((LN(MonteCarlo!$B$6/MonteCarlo!$B$5)+(MonteCarlo!$B$9+(X$1^2)/2)*$A15)/(X$1*SQRT($A15))),TRUE)),"")</f>
        <v/>
      </c>
      <c r="Y15" t="str">
        <f>IFERROR(IF(OR(MonteCarlo!$B$4="C",MonteCarlo!$B$4="c"),MonteCarlo!$B$6*_xlfn.NORM.S.DIST((LN(MonteCarlo!$B$6/MonteCarlo!$B$5)+(MonteCarlo!$B$9+(Y$1^2)/2)*$A15)/(Y$1*SQRT($A15)),TRUE)-MonteCarlo!$B$5*EXP(-MonteCarlo!$B$9*$A15)*_xlfn.NORM.S.DIST(((LN(MonteCarlo!$B$6/MonteCarlo!$B$5)+(MonteCarlo!$B$9+(Y$1^2)/2)*$A15)/(Y$1*SQRT($A15)))-(Y$1*SQRT($A15)),TRUE),MonteCarlo!$B$5*EXP(-MonteCarlo!$B$9*$A15)*_xlfn.NORM.S.DIST(-(((LN(MonteCarlo!$B$6/MonteCarlo!$B$5)+(MonteCarlo!$B$9+(Y$1^2)/2)*$A15)/(Y$1*SQRT($A15)))-(Y$1*SQRT($A15))),TRUE)-MonteCarlo!$B$6*_xlfn.NORM.S.DIST(-((LN(MonteCarlo!$B$6/MonteCarlo!$B$5)+(MonteCarlo!$B$9+(Y$1^2)/2)*$A15)/(Y$1*SQRT($A15))),TRUE)),"")</f>
        <v/>
      </c>
      <c r="Z15" t="str">
        <f>IFERROR(IF(OR(MonteCarlo!$B$4="C",MonteCarlo!$B$4="c"),MonteCarlo!$B$6*_xlfn.NORM.S.DIST((LN(MonteCarlo!$B$6/MonteCarlo!$B$5)+(MonteCarlo!$B$9+(Z$1^2)/2)*$A15)/(Z$1*SQRT($A15)),TRUE)-MonteCarlo!$B$5*EXP(-MonteCarlo!$B$9*$A15)*_xlfn.NORM.S.DIST(((LN(MonteCarlo!$B$6/MonteCarlo!$B$5)+(MonteCarlo!$B$9+(Z$1^2)/2)*$A15)/(Z$1*SQRT($A15)))-(Z$1*SQRT($A15)),TRUE),MonteCarlo!$B$5*EXP(-MonteCarlo!$B$9*$A15)*_xlfn.NORM.S.DIST(-(((LN(MonteCarlo!$B$6/MonteCarlo!$B$5)+(MonteCarlo!$B$9+(Z$1^2)/2)*$A15)/(Z$1*SQRT($A15)))-(Z$1*SQRT($A15))),TRUE)-MonteCarlo!$B$6*_xlfn.NORM.S.DIST(-((LN(MonteCarlo!$B$6/MonteCarlo!$B$5)+(MonteCarlo!$B$9+(Z$1^2)/2)*$A15)/(Z$1*SQRT($A15))),TRUE)),"")</f>
        <v/>
      </c>
      <c r="AA15" t="str">
        <f>IFERROR(IF(OR(MonteCarlo!$B$4="C",MonteCarlo!$B$4="c"),MonteCarlo!$B$6*_xlfn.NORM.S.DIST((LN(MonteCarlo!$B$6/MonteCarlo!$B$5)+(MonteCarlo!$B$9+(AA$1^2)/2)*$A15)/(AA$1*SQRT($A15)),TRUE)-MonteCarlo!$B$5*EXP(-MonteCarlo!$B$9*$A15)*_xlfn.NORM.S.DIST(((LN(MonteCarlo!$B$6/MonteCarlo!$B$5)+(MonteCarlo!$B$9+(AA$1^2)/2)*$A15)/(AA$1*SQRT($A15)))-(AA$1*SQRT($A15)),TRUE),MonteCarlo!$B$5*EXP(-MonteCarlo!$B$9*$A15)*_xlfn.NORM.S.DIST(-(((LN(MonteCarlo!$B$6/MonteCarlo!$B$5)+(MonteCarlo!$B$9+(AA$1^2)/2)*$A15)/(AA$1*SQRT($A15)))-(AA$1*SQRT($A15))),TRUE)-MonteCarlo!$B$6*_xlfn.NORM.S.DIST(-((LN(MonteCarlo!$B$6/MonteCarlo!$B$5)+(MonteCarlo!$B$9+(AA$1^2)/2)*$A15)/(AA$1*SQRT($A15))),TRUE)),"")</f>
        <v/>
      </c>
      <c r="AB15" t="str">
        <f>IFERROR(IF(OR(MonteCarlo!$B$4="C",MonteCarlo!$B$4="c"),MonteCarlo!$B$6*_xlfn.NORM.S.DIST((LN(MonteCarlo!$B$6/MonteCarlo!$B$5)+(MonteCarlo!$B$9+(AB$1^2)/2)*$A15)/(AB$1*SQRT($A15)),TRUE)-MonteCarlo!$B$5*EXP(-MonteCarlo!$B$9*$A15)*_xlfn.NORM.S.DIST(((LN(MonteCarlo!$B$6/MonteCarlo!$B$5)+(MonteCarlo!$B$9+(AB$1^2)/2)*$A15)/(AB$1*SQRT($A15)))-(AB$1*SQRT($A15)),TRUE),MonteCarlo!$B$5*EXP(-MonteCarlo!$B$9*$A15)*_xlfn.NORM.S.DIST(-(((LN(MonteCarlo!$B$6/MonteCarlo!$B$5)+(MonteCarlo!$B$9+(AB$1^2)/2)*$A15)/(AB$1*SQRT($A15)))-(AB$1*SQRT($A15))),TRUE)-MonteCarlo!$B$6*_xlfn.NORM.S.DIST(-((LN(MonteCarlo!$B$6/MonteCarlo!$B$5)+(MonteCarlo!$B$9+(AB$1^2)/2)*$A15)/(AB$1*SQRT($A15))),TRUE)),"")</f>
        <v/>
      </c>
      <c r="AC15" t="str">
        <f>IFERROR(IF(OR(MonteCarlo!$B$4="C",MonteCarlo!$B$4="c"),MonteCarlo!$B$6*_xlfn.NORM.S.DIST((LN(MonteCarlo!$B$6/MonteCarlo!$B$5)+(MonteCarlo!$B$9+(AC$1^2)/2)*$A15)/(AC$1*SQRT($A15)),TRUE)-MonteCarlo!$B$5*EXP(-MonteCarlo!$B$9*$A15)*_xlfn.NORM.S.DIST(((LN(MonteCarlo!$B$6/MonteCarlo!$B$5)+(MonteCarlo!$B$9+(AC$1^2)/2)*$A15)/(AC$1*SQRT($A15)))-(AC$1*SQRT($A15)),TRUE),MonteCarlo!$B$5*EXP(-MonteCarlo!$B$9*$A15)*_xlfn.NORM.S.DIST(-(((LN(MonteCarlo!$B$6/MonteCarlo!$B$5)+(MonteCarlo!$B$9+(AC$1^2)/2)*$A15)/(AC$1*SQRT($A15)))-(AC$1*SQRT($A15))),TRUE)-MonteCarlo!$B$6*_xlfn.NORM.S.DIST(-((LN(MonteCarlo!$B$6/MonteCarlo!$B$5)+(MonteCarlo!$B$9+(AC$1^2)/2)*$A15)/(AC$1*SQRT($A15))),TRUE)),"")</f>
        <v/>
      </c>
      <c r="AD15" t="str">
        <f>IFERROR(IF(OR(MonteCarlo!$B$4="C",MonteCarlo!$B$4="c"),MonteCarlo!$B$6*_xlfn.NORM.S.DIST((LN(MonteCarlo!$B$6/MonteCarlo!$B$5)+(MonteCarlo!$B$9+(AD$1^2)/2)*$A15)/(AD$1*SQRT($A15)),TRUE)-MonteCarlo!$B$5*EXP(-MonteCarlo!$B$9*$A15)*_xlfn.NORM.S.DIST(((LN(MonteCarlo!$B$6/MonteCarlo!$B$5)+(MonteCarlo!$B$9+(AD$1^2)/2)*$A15)/(AD$1*SQRT($A15)))-(AD$1*SQRT($A15)),TRUE),MonteCarlo!$B$5*EXP(-MonteCarlo!$B$9*$A15)*_xlfn.NORM.S.DIST(-(((LN(MonteCarlo!$B$6/MonteCarlo!$B$5)+(MonteCarlo!$B$9+(AD$1^2)/2)*$A15)/(AD$1*SQRT($A15)))-(AD$1*SQRT($A15))),TRUE)-MonteCarlo!$B$6*_xlfn.NORM.S.DIST(-((LN(MonteCarlo!$B$6/MonteCarlo!$B$5)+(MonteCarlo!$B$9+(AD$1^2)/2)*$A15)/(AD$1*SQRT($A15))),TRUE)),"")</f>
        <v/>
      </c>
      <c r="AE15" t="str">
        <f>IFERROR(IF(OR(MonteCarlo!$B$4="C",MonteCarlo!$B$4="c"),MonteCarlo!$B$6*_xlfn.NORM.S.DIST((LN(MonteCarlo!$B$6/MonteCarlo!$B$5)+(MonteCarlo!$B$9+(AE$1^2)/2)*$A15)/(AE$1*SQRT($A15)),TRUE)-MonteCarlo!$B$5*EXP(-MonteCarlo!$B$9*$A15)*_xlfn.NORM.S.DIST(((LN(MonteCarlo!$B$6/MonteCarlo!$B$5)+(MonteCarlo!$B$9+(AE$1^2)/2)*$A15)/(AE$1*SQRT($A15)))-(AE$1*SQRT($A15)),TRUE),MonteCarlo!$B$5*EXP(-MonteCarlo!$B$9*$A15)*_xlfn.NORM.S.DIST(-(((LN(MonteCarlo!$B$6/MonteCarlo!$B$5)+(MonteCarlo!$B$9+(AE$1^2)/2)*$A15)/(AE$1*SQRT($A15)))-(AE$1*SQRT($A15))),TRUE)-MonteCarlo!$B$6*_xlfn.NORM.S.DIST(-((LN(MonteCarlo!$B$6/MonteCarlo!$B$5)+(MonteCarlo!$B$9+(AE$1^2)/2)*$A15)/(AE$1*SQRT($A15))),TRUE)),"")</f>
        <v/>
      </c>
      <c r="AF15" t="str">
        <f>IFERROR(IF(OR(MonteCarlo!$B$4="C",MonteCarlo!$B$4="c"),MonteCarlo!$B$6*_xlfn.NORM.S.DIST((LN(MonteCarlo!$B$6/MonteCarlo!$B$5)+(MonteCarlo!$B$9+(AF$1^2)/2)*$A15)/(AF$1*SQRT($A15)),TRUE)-MonteCarlo!$B$5*EXP(-MonteCarlo!$B$9*$A15)*_xlfn.NORM.S.DIST(((LN(MonteCarlo!$B$6/MonteCarlo!$B$5)+(MonteCarlo!$B$9+(AF$1^2)/2)*$A15)/(AF$1*SQRT($A15)))-(AF$1*SQRT($A15)),TRUE),MonteCarlo!$B$5*EXP(-MonteCarlo!$B$9*$A15)*_xlfn.NORM.S.DIST(-(((LN(MonteCarlo!$B$6/MonteCarlo!$B$5)+(MonteCarlo!$B$9+(AF$1^2)/2)*$A15)/(AF$1*SQRT($A15)))-(AF$1*SQRT($A15))),TRUE)-MonteCarlo!$B$6*_xlfn.NORM.S.DIST(-((LN(MonteCarlo!$B$6/MonteCarlo!$B$5)+(MonteCarlo!$B$9+(AF$1^2)/2)*$A15)/(AF$1*SQRT($A15))),TRUE)),"")</f>
        <v/>
      </c>
    </row>
    <row r="16" spans="2:32" x14ac:dyDescent="0.25">
      <c r="B16" t="str">
        <f>IFERROR(IF(OR(MonteCarlo!$B$4="C",MonteCarlo!$B$4="c"),MonteCarlo!$B$6*_xlfn.NORM.S.DIST((LN(MonteCarlo!$B$6/MonteCarlo!$B$5)+(MonteCarlo!$B$9+(B$1^2)/2)*$A16)/(B$1*SQRT($A16)),TRUE)-MonteCarlo!$B$5*EXP(-MonteCarlo!$B$9*$A16)*_xlfn.NORM.S.DIST(((LN(MonteCarlo!$B$6/MonteCarlo!$B$5)+(MonteCarlo!$B$9+(B$1^2)/2)*$A16)/(B$1*SQRT($A16)))-(B$1*SQRT($A16)),TRUE),MonteCarlo!$B$5*EXP(-MonteCarlo!$B$9*$A16)*_xlfn.NORM.S.DIST(-(((LN(MonteCarlo!$B$6/MonteCarlo!$B$5)+(MonteCarlo!$B$9+(B$1^2)/2)*$A16)/(B$1*SQRT($A16)))-(B$1*SQRT($A16))),TRUE)-MonteCarlo!$B$6*_xlfn.NORM.S.DIST(-((LN(MonteCarlo!$B$6/MonteCarlo!$B$5)+(MonteCarlo!$B$9+(B$1^2)/2)*$A16)/(B$1*SQRT($A16))),TRUE)),"")</f>
        <v/>
      </c>
      <c r="C16" t="str">
        <f>IFERROR(IF(OR(MonteCarlo!$B$4="C",MonteCarlo!$B$4="c"),MonteCarlo!$B$6*_xlfn.NORM.S.DIST((LN(MonteCarlo!$B$6/MonteCarlo!$B$5)+(MonteCarlo!$B$9+(C$1^2)/2)*$A16)/(C$1*SQRT($A16)),TRUE)-MonteCarlo!$B$5*EXP(-MonteCarlo!$B$9*$A16)*_xlfn.NORM.S.DIST(((LN(MonteCarlo!$B$6/MonteCarlo!$B$5)+(MonteCarlo!$B$9+(C$1^2)/2)*$A16)/(C$1*SQRT($A16)))-(C$1*SQRT($A16)),TRUE),MonteCarlo!$B$5*EXP(-MonteCarlo!$B$9*$A16)*_xlfn.NORM.S.DIST(-(((LN(MonteCarlo!$B$6/MonteCarlo!$B$5)+(MonteCarlo!$B$9+(C$1^2)/2)*$A16)/(C$1*SQRT($A16)))-(C$1*SQRT($A16))),TRUE)-MonteCarlo!$B$6*_xlfn.NORM.S.DIST(-((LN(MonteCarlo!$B$6/MonteCarlo!$B$5)+(MonteCarlo!$B$9+(C$1^2)/2)*$A16)/(C$1*SQRT($A16))),TRUE)),"")</f>
        <v/>
      </c>
      <c r="D16" t="str">
        <f>IFERROR(IF(OR(MonteCarlo!$B$4="C",MonteCarlo!$B$4="c"),MonteCarlo!$B$6*_xlfn.NORM.S.DIST((LN(MonteCarlo!$B$6/MonteCarlo!$B$5)+(MonteCarlo!$B$9+(D$1^2)/2)*$A16)/(D$1*SQRT($A16)),TRUE)-MonteCarlo!$B$5*EXP(-MonteCarlo!$B$9*$A16)*_xlfn.NORM.S.DIST(((LN(MonteCarlo!$B$6/MonteCarlo!$B$5)+(MonteCarlo!$B$9+(D$1^2)/2)*$A16)/(D$1*SQRT($A16)))-(D$1*SQRT($A16)),TRUE),MonteCarlo!$B$5*EXP(-MonteCarlo!$B$9*$A16)*_xlfn.NORM.S.DIST(-(((LN(MonteCarlo!$B$6/MonteCarlo!$B$5)+(MonteCarlo!$B$9+(D$1^2)/2)*$A16)/(D$1*SQRT($A16)))-(D$1*SQRT($A16))),TRUE)-MonteCarlo!$B$6*_xlfn.NORM.S.DIST(-((LN(MonteCarlo!$B$6/MonteCarlo!$B$5)+(MonteCarlo!$B$9+(D$1^2)/2)*$A16)/(D$1*SQRT($A16))),TRUE)),"")</f>
        <v/>
      </c>
      <c r="E16" t="str">
        <f>IFERROR(IF(OR(MonteCarlo!$B$4="C",MonteCarlo!$B$4="c"),MonteCarlo!$B$6*_xlfn.NORM.S.DIST((LN(MonteCarlo!$B$6/MonteCarlo!$B$5)+(MonteCarlo!$B$9+(E$1^2)/2)*$A16)/(E$1*SQRT($A16)),TRUE)-MonteCarlo!$B$5*EXP(-MonteCarlo!$B$9*$A16)*_xlfn.NORM.S.DIST(((LN(MonteCarlo!$B$6/MonteCarlo!$B$5)+(MonteCarlo!$B$9+(E$1^2)/2)*$A16)/(E$1*SQRT($A16)))-(E$1*SQRT($A16)),TRUE),MonteCarlo!$B$5*EXP(-MonteCarlo!$B$9*$A16)*_xlfn.NORM.S.DIST(-(((LN(MonteCarlo!$B$6/MonteCarlo!$B$5)+(MonteCarlo!$B$9+(E$1^2)/2)*$A16)/(E$1*SQRT($A16)))-(E$1*SQRT($A16))),TRUE)-MonteCarlo!$B$6*_xlfn.NORM.S.DIST(-((LN(MonteCarlo!$B$6/MonteCarlo!$B$5)+(MonteCarlo!$B$9+(E$1^2)/2)*$A16)/(E$1*SQRT($A16))),TRUE)),"")</f>
        <v/>
      </c>
      <c r="F16" t="str">
        <f>IFERROR(IF(OR(MonteCarlo!$B$4="C",MonteCarlo!$B$4="c"),MonteCarlo!$B$6*_xlfn.NORM.S.DIST((LN(MonteCarlo!$B$6/MonteCarlo!$B$5)+(MonteCarlo!$B$9+(F$1^2)/2)*$A16)/(F$1*SQRT($A16)),TRUE)-MonteCarlo!$B$5*EXP(-MonteCarlo!$B$9*$A16)*_xlfn.NORM.S.DIST(((LN(MonteCarlo!$B$6/MonteCarlo!$B$5)+(MonteCarlo!$B$9+(F$1^2)/2)*$A16)/(F$1*SQRT($A16)))-(F$1*SQRT($A16)),TRUE),MonteCarlo!$B$5*EXP(-MonteCarlo!$B$9*$A16)*_xlfn.NORM.S.DIST(-(((LN(MonteCarlo!$B$6/MonteCarlo!$B$5)+(MonteCarlo!$B$9+(F$1^2)/2)*$A16)/(F$1*SQRT($A16)))-(F$1*SQRT($A16))),TRUE)-MonteCarlo!$B$6*_xlfn.NORM.S.DIST(-((LN(MonteCarlo!$B$6/MonteCarlo!$B$5)+(MonteCarlo!$B$9+(F$1^2)/2)*$A16)/(F$1*SQRT($A16))),TRUE)),"")</f>
        <v/>
      </c>
      <c r="G16" t="str">
        <f>IFERROR(IF(OR(MonteCarlo!$B$4="C",MonteCarlo!$B$4="c"),MonteCarlo!$B$6*_xlfn.NORM.S.DIST((LN(MonteCarlo!$B$6/MonteCarlo!$B$5)+(MonteCarlo!$B$9+(G$1^2)/2)*$A16)/(G$1*SQRT($A16)),TRUE)-MonteCarlo!$B$5*EXP(-MonteCarlo!$B$9*$A16)*_xlfn.NORM.S.DIST(((LN(MonteCarlo!$B$6/MonteCarlo!$B$5)+(MonteCarlo!$B$9+(G$1^2)/2)*$A16)/(G$1*SQRT($A16)))-(G$1*SQRT($A16)),TRUE),MonteCarlo!$B$5*EXP(-MonteCarlo!$B$9*$A16)*_xlfn.NORM.S.DIST(-(((LN(MonteCarlo!$B$6/MonteCarlo!$B$5)+(MonteCarlo!$B$9+(G$1^2)/2)*$A16)/(G$1*SQRT($A16)))-(G$1*SQRT($A16))),TRUE)-MonteCarlo!$B$6*_xlfn.NORM.S.DIST(-((LN(MonteCarlo!$B$6/MonteCarlo!$B$5)+(MonteCarlo!$B$9+(G$1^2)/2)*$A16)/(G$1*SQRT($A16))),TRUE)),"")</f>
        <v/>
      </c>
      <c r="H16" t="str">
        <f>IFERROR(IF(OR(MonteCarlo!$B$4="C",MonteCarlo!$B$4="c"),MonteCarlo!$B$6*_xlfn.NORM.S.DIST((LN(MonteCarlo!$B$6/MonteCarlo!$B$5)+(MonteCarlo!$B$9+(H$1^2)/2)*$A16)/(H$1*SQRT($A16)),TRUE)-MonteCarlo!$B$5*EXP(-MonteCarlo!$B$9*$A16)*_xlfn.NORM.S.DIST(((LN(MonteCarlo!$B$6/MonteCarlo!$B$5)+(MonteCarlo!$B$9+(H$1^2)/2)*$A16)/(H$1*SQRT($A16)))-(H$1*SQRT($A16)),TRUE),MonteCarlo!$B$5*EXP(-MonteCarlo!$B$9*$A16)*_xlfn.NORM.S.DIST(-(((LN(MonteCarlo!$B$6/MonteCarlo!$B$5)+(MonteCarlo!$B$9+(H$1^2)/2)*$A16)/(H$1*SQRT($A16)))-(H$1*SQRT($A16))),TRUE)-MonteCarlo!$B$6*_xlfn.NORM.S.DIST(-((LN(MonteCarlo!$B$6/MonteCarlo!$B$5)+(MonteCarlo!$B$9+(H$1^2)/2)*$A16)/(H$1*SQRT($A16))),TRUE)),"")</f>
        <v/>
      </c>
      <c r="I16" t="str">
        <f>IFERROR(IF(OR(MonteCarlo!$B$4="C",MonteCarlo!$B$4="c"),MonteCarlo!$B$6*_xlfn.NORM.S.DIST((LN(MonteCarlo!$B$6/MonteCarlo!$B$5)+(MonteCarlo!$B$9+(I$1^2)/2)*$A16)/(I$1*SQRT($A16)),TRUE)-MonteCarlo!$B$5*EXP(-MonteCarlo!$B$9*$A16)*_xlfn.NORM.S.DIST(((LN(MonteCarlo!$B$6/MonteCarlo!$B$5)+(MonteCarlo!$B$9+(I$1^2)/2)*$A16)/(I$1*SQRT($A16)))-(I$1*SQRT($A16)),TRUE),MonteCarlo!$B$5*EXP(-MonteCarlo!$B$9*$A16)*_xlfn.NORM.S.DIST(-(((LN(MonteCarlo!$B$6/MonteCarlo!$B$5)+(MonteCarlo!$B$9+(I$1^2)/2)*$A16)/(I$1*SQRT($A16)))-(I$1*SQRT($A16))),TRUE)-MonteCarlo!$B$6*_xlfn.NORM.S.DIST(-((LN(MonteCarlo!$B$6/MonteCarlo!$B$5)+(MonteCarlo!$B$9+(I$1^2)/2)*$A16)/(I$1*SQRT($A16))),TRUE)),"")</f>
        <v/>
      </c>
      <c r="J16" t="str">
        <f>IFERROR(IF(OR(MonteCarlo!$B$4="C",MonteCarlo!$B$4="c"),MonteCarlo!$B$6*_xlfn.NORM.S.DIST((LN(MonteCarlo!$B$6/MonteCarlo!$B$5)+(MonteCarlo!$B$9+(J$1^2)/2)*$A16)/(J$1*SQRT($A16)),TRUE)-MonteCarlo!$B$5*EXP(-MonteCarlo!$B$9*$A16)*_xlfn.NORM.S.DIST(((LN(MonteCarlo!$B$6/MonteCarlo!$B$5)+(MonteCarlo!$B$9+(J$1^2)/2)*$A16)/(J$1*SQRT($A16)))-(J$1*SQRT($A16)),TRUE),MonteCarlo!$B$5*EXP(-MonteCarlo!$B$9*$A16)*_xlfn.NORM.S.DIST(-(((LN(MonteCarlo!$B$6/MonteCarlo!$B$5)+(MonteCarlo!$B$9+(J$1^2)/2)*$A16)/(J$1*SQRT($A16)))-(J$1*SQRT($A16))),TRUE)-MonteCarlo!$B$6*_xlfn.NORM.S.DIST(-((LN(MonteCarlo!$B$6/MonteCarlo!$B$5)+(MonteCarlo!$B$9+(J$1^2)/2)*$A16)/(J$1*SQRT($A16))),TRUE)),"")</f>
        <v/>
      </c>
      <c r="K16" t="str">
        <f>IFERROR(IF(OR(MonteCarlo!$B$4="C",MonteCarlo!$B$4="c"),MonteCarlo!$B$6*_xlfn.NORM.S.DIST((LN(MonteCarlo!$B$6/MonteCarlo!$B$5)+(MonteCarlo!$B$9+(K$1^2)/2)*$A16)/(K$1*SQRT($A16)),TRUE)-MonteCarlo!$B$5*EXP(-MonteCarlo!$B$9*$A16)*_xlfn.NORM.S.DIST(((LN(MonteCarlo!$B$6/MonteCarlo!$B$5)+(MonteCarlo!$B$9+(K$1^2)/2)*$A16)/(K$1*SQRT($A16)))-(K$1*SQRT($A16)),TRUE),MonteCarlo!$B$5*EXP(-MonteCarlo!$B$9*$A16)*_xlfn.NORM.S.DIST(-(((LN(MonteCarlo!$B$6/MonteCarlo!$B$5)+(MonteCarlo!$B$9+(K$1^2)/2)*$A16)/(K$1*SQRT($A16)))-(K$1*SQRT($A16))),TRUE)-MonteCarlo!$B$6*_xlfn.NORM.S.DIST(-((LN(MonteCarlo!$B$6/MonteCarlo!$B$5)+(MonteCarlo!$B$9+(K$1^2)/2)*$A16)/(K$1*SQRT($A16))),TRUE)),"")</f>
        <v/>
      </c>
      <c r="L16" t="str">
        <f>IFERROR(IF(OR(MonteCarlo!$B$4="C",MonteCarlo!$B$4="c"),MonteCarlo!$B$6*_xlfn.NORM.S.DIST((LN(MonteCarlo!$B$6/MonteCarlo!$B$5)+(MonteCarlo!$B$9+(L$1^2)/2)*$A16)/(L$1*SQRT($A16)),TRUE)-MonteCarlo!$B$5*EXP(-MonteCarlo!$B$9*$A16)*_xlfn.NORM.S.DIST(((LN(MonteCarlo!$B$6/MonteCarlo!$B$5)+(MonteCarlo!$B$9+(L$1^2)/2)*$A16)/(L$1*SQRT($A16)))-(L$1*SQRT($A16)),TRUE),MonteCarlo!$B$5*EXP(-MonteCarlo!$B$9*$A16)*_xlfn.NORM.S.DIST(-(((LN(MonteCarlo!$B$6/MonteCarlo!$B$5)+(MonteCarlo!$B$9+(L$1^2)/2)*$A16)/(L$1*SQRT($A16)))-(L$1*SQRT($A16))),TRUE)-MonteCarlo!$B$6*_xlfn.NORM.S.DIST(-((LN(MonteCarlo!$B$6/MonteCarlo!$B$5)+(MonteCarlo!$B$9+(L$1^2)/2)*$A16)/(L$1*SQRT($A16))),TRUE)),"")</f>
        <v/>
      </c>
      <c r="M16" t="str">
        <f>IFERROR(IF(OR(MonteCarlo!$B$4="C",MonteCarlo!$B$4="c"),MonteCarlo!$B$6*_xlfn.NORM.S.DIST((LN(MonteCarlo!$B$6/MonteCarlo!$B$5)+(MonteCarlo!$B$9+(M$1^2)/2)*$A16)/(M$1*SQRT($A16)),TRUE)-MonteCarlo!$B$5*EXP(-MonteCarlo!$B$9*$A16)*_xlfn.NORM.S.DIST(((LN(MonteCarlo!$B$6/MonteCarlo!$B$5)+(MonteCarlo!$B$9+(M$1^2)/2)*$A16)/(M$1*SQRT($A16)))-(M$1*SQRT($A16)),TRUE),MonteCarlo!$B$5*EXP(-MonteCarlo!$B$9*$A16)*_xlfn.NORM.S.DIST(-(((LN(MonteCarlo!$B$6/MonteCarlo!$B$5)+(MonteCarlo!$B$9+(M$1^2)/2)*$A16)/(M$1*SQRT($A16)))-(M$1*SQRT($A16))),TRUE)-MonteCarlo!$B$6*_xlfn.NORM.S.DIST(-((LN(MonteCarlo!$B$6/MonteCarlo!$B$5)+(MonteCarlo!$B$9+(M$1^2)/2)*$A16)/(M$1*SQRT($A16))),TRUE)),"")</f>
        <v/>
      </c>
      <c r="N16" t="str">
        <f>IFERROR(IF(OR(MonteCarlo!$B$4="C",MonteCarlo!$B$4="c"),MonteCarlo!$B$6*_xlfn.NORM.S.DIST((LN(MonteCarlo!$B$6/MonteCarlo!$B$5)+(MonteCarlo!$B$9+(N$1^2)/2)*$A16)/(N$1*SQRT($A16)),TRUE)-MonteCarlo!$B$5*EXP(-MonteCarlo!$B$9*$A16)*_xlfn.NORM.S.DIST(((LN(MonteCarlo!$B$6/MonteCarlo!$B$5)+(MonteCarlo!$B$9+(N$1^2)/2)*$A16)/(N$1*SQRT($A16)))-(N$1*SQRT($A16)),TRUE),MonteCarlo!$B$5*EXP(-MonteCarlo!$B$9*$A16)*_xlfn.NORM.S.DIST(-(((LN(MonteCarlo!$B$6/MonteCarlo!$B$5)+(MonteCarlo!$B$9+(N$1^2)/2)*$A16)/(N$1*SQRT($A16)))-(N$1*SQRT($A16))),TRUE)-MonteCarlo!$B$6*_xlfn.NORM.S.DIST(-((LN(MonteCarlo!$B$6/MonteCarlo!$B$5)+(MonteCarlo!$B$9+(N$1^2)/2)*$A16)/(N$1*SQRT($A16))),TRUE)),"")</f>
        <v/>
      </c>
      <c r="O16" t="str">
        <f>IFERROR(IF(OR(MonteCarlo!$B$4="C",MonteCarlo!$B$4="c"),MonteCarlo!$B$6*_xlfn.NORM.S.DIST((LN(MonteCarlo!$B$6/MonteCarlo!$B$5)+(MonteCarlo!$B$9+(O$1^2)/2)*$A16)/(O$1*SQRT($A16)),TRUE)-MonteCarlo!$B$5*EXP(-MonteCarlo!$B$9*$A16)*_xlfn.NORM.S.DIST(((LN(MonteCarlo!$B$6/MonteCarlo!$B$5)+(MonteCarlo!$B$9+(O$1^2)/2)*$A16)/(O$1*SQRT($A16)))-(O$1*SQRT($A16)),TRUE),MonteCarlo!$B$5*EXP(-MonteCarlo!$B$9*$A16)*_xlfn.NORM.S.DIST(-(((LN(MonteCarlo!$B$6/MonteCarlo!$B$5)+(MonteCarlo!$B$9+(O$1^2)/2)*$A16)/(O$1*SQRT($A16)))-(O$1*SQRT($A16))),TRUE)-MonteCarlo!$B$6*_xlfn.NORM.S.DIST(-((LN(MonteCarlo!$B$6/MonteCarlo!$B$5)+(MonteCarlo!$B$9+(O$1^2)/2)*$A16)/(O$1*SQRT($A16))),TRUE)),"")</f>
        <v/>
      </c>
      <c r="P16" t="str">
        <f>IFERROR(IF(OR(MonteCarlo!$B$4="C",MonteCarlo!$B$4="c"),MonteCarlo!$B$6*_xlfn.NORM.S.DIST((LN(MonteCarlo!$B$6/MonteCarlo!$B$5)+(MonteCarlo!$B$9+(P$1^2)/2)*$A16)/(P$1*SQRT($A16)),TRUE)-MonteCarlo!$B$5*EXP(-MonteCarlo!$B$9*$A16)*_xlfn.NORM.S.DIST(((LN(MonteCarlo!$B$6/MonteCarlo!$B$5)+(MonteCarlo!$B$9+(P$1^2)/2)*$A16)/(P$1*SQRT($A16)))-(P$1*SQRT($A16)),TRUE),MonteCarlo!$B$5*EXP(-MonteCarlo!$B$9*$A16)*_xlfn.NORM.S.DIST(-(((LN(MonteCarlo!$B$6/MonteCarlo!$B$5)+(MonteCarlo!$B$9+(P$1^2)/2)*$A16)/(P$1*SQRT($A16)))-(P$1*SQRT($A16))),TRUE)-MonteCarlo!$B$6*_xlfn.NORM.S.DIST(-((LN(MonteCarlo!$B$6/MonteCarlo!$B$5)+(MonteCarlo!$B$9+(P$1^2)/2)*$A16)/(P$1*SQRT($A16))),TRUE)),"")</f>
        <v/>
      </c>
      <c r="Q16" t="str">
        <f>IFERROR(IF(OR(MonteCarlo!$B$4="C",MonteCarlo!$B$4="c"),MonteCarlo!$B$6*_xlfn.NORM.S.DIST((LN(MonteCarlo!$B$6/MonteCarlo!$B$5)+(MonteCarlo!$B$9+(Q$1^2)/2)*$A16)/(Q$1*SQRT($A16)),TRUE)-MonteCarlo!$B$5*EXP(-MonteCarlo!$B$9*$A16)*_xlfn.NORM.S.DIST(((LN(MonteCarlo!$B$6/MonteCarlo!$B$5)+(MonteCarlo!$B$9+(Q$1^2)/2)*$A16)/(Q$1*SQRT($A16)))-(Q$1*SQRT($A16)),TRUE),MonteCarlo!$B$5*EXP(-MonteCarlo!$B$9*$A16)*_xlfn.NORM.S.DIST(-(((LN(MonteCarlo!$B$6/MonteCarlo!$B$5)+(MonteCarlo!$B$9+(Q$1^2)/2)*$A16)/(Q$1*SQRT($A16)))-(Q$1*SQRT($A16))),TRUE)-MonteCarlo!$B$6*_xlfn.NORM.S.DIST(-((LN(MonteCarlo!$B$6/MonteCarlo!$B$5)+(MonteCarlo!$B$9+(Q$1^2)/2)*$A16)/(Q$1*SQRT($A16))),TRUE)),"")</f>
        <v/>
      </c>
      <c r="R16" t="str">
        <f>IFERROR(IF(OR(MonteCarlo!$B$4="C",MonteCarlo!$B$4="c"),MonteCarlo!$B$6*_xlfn.NORM.S.DIST((LN(MonteCarlo!$B$6/MonteCarlo!$B$5)+(MonteCarlo!$B$9+(R$1^2)/2)*$A16)/(R$1*SQRT($A16)),TRUE)-MonteCarlo!$B$5*EXP(-MonteCarlo!$B$9*$A16)*_xlfn.NORM.S.DIST(((LN(MonteCarlo!$B$6/MonteCarlo!$B$5)+(MonteCarlo!$B$9+(R$1^2)/2)*$A16)/(R$1*SQRT($A16)))-(R$1*SQRT($A16)),TRUE),MonteCarlo!$B$5*EXP(-MonteCarlo!$B$9*$A16)*_xlfn.NORM.S.DIST(-(((LN(MonteCarlo!$B$6/MonteCarlo!$B$5)+(MonteCarlo!$B$9+(R$1^2)/2)*$A16)/(R$1*SQRT($A16)))-(R$1*SQRT($A16))),TRUE)-MonteCarlo!$B$6*_xlfn.NORM.S.DIST(-((LN(MonteCarlo!$B$6/MonteCarlo!$B$5)+(MonteCarlo!$B$9+(R$1^2)/2)*$A16)/(R$1*SQRT($A16))),TRUE)),"")</f>
        <v/>
      </c>
      <c r="S16" t="str">
        <f>IFERROR(IF(OR(MonteCarlo!$B$4="C",MonteCarlo!$B$4="c"),MonteCarlo!$B$6*_xlfn.NORM.S.DIST((LN(MonteCarlo!$B$6/MonteCarlo!$B$5)+(MonteCarlo!$B$9+(S$1^2)/2)*$A16)/(S$1*SQRT($A16)),TRUE)-MonteCarlo!$B$5*EXP(-MonteCarlo!$B$9*$A16)*_xlfn.NORM.S.DIST(((LN(MonteCarlo!$B$6/MonteCarlo!$B$5)+(MonteCarlo!$B$9+(S$1^2)/2)*$A16)/(S$1*SQRT($A16)))-(S$1*SQRT($A16)),TRUE),MonteCarlo!$B$5*EXP(-MonteCarlo!$B$9*$A16)*_xlfn.NORM.S.DIST(-(((LN(MonteCarlo!$B$6/MonteCarlo!$B$5)+(MonteCarlo!$B$9+(S$1^2)/2)*$A16)/(S$1*SQRT($A16)))-(S$1*SQRT($A16))),TRUE)-MonteCarlo!$B$6*_xlfn.NORM.S.DIST(-((LN(MonteCarlo!$B$6/MonteCarlo!$B$5)+(MonteCarlo!$B$9+(S$1^2)/2)*$A16)/(S$1*SQRT($A16))),TRUE)),"")</f>
        <v/>
      </c>
      <c r="T16" t="str">
        <f>IFERROR(IF(OR(MonteCarlo!$B$4="C",MonteCarlo!$B$4="c"),MonteCarlo!$B$6*_xlfn.NORM.S.DIST((LN(MonteCarlo!$B$6/MonteCarlo!$B$5)+(MonteCarlo!$B$9+(T$1^2)/2)*$A16)/(T$1*SQRT($A16)),TRUE)-MonteCarlo!$B$5*EXP(-MonteCarlo!$B$9*$A16)*_xlfn.NORM.S.DIST(((LN(MonteCarlo!$B$6/MonteCarlo!$B$5)+(MonteCarlo!$B$9+(T$1^2)/2)*$A16)/(T$1*SQRT($A16)))-(T$1*SQRT($A16)),TRUE),MonteCarlo!$B$5*EXP(-MonteCarlo!$B$9*$A16)*_xlfn.NORM.S.DIST(-(((LN(MonteCarlo!$B$6/MonteCarlo!$B$5)+(MonteCarlo!$B$9+(T$1^2)/2)*$A16)/(T$1*SQRT($A16)))-(T$1*SQRT($A16))),TRUE)-MonteCarlo!$B$6*_xlfn.NORM.S.DIST(-((LN(MonteCarlo!$B$6/MonteCarlo!$B$5)+(MonteCarlo!$B$9+(T$1^2)/2)*$A16)/(T$1*SQRT($A16))),TRUE)),"")</f>
        <v/>
      </c>
      <c r="U16" t="str">
        <f>IFERROR(IF(OR(MonteCarlo!$B$4="C",MonteCarlo!$B$4="c"),MonteCarlo!$B$6*_xlfn.NORM.S.DIST((LN(MonteCarlo!$B$6/MonteCarlo!$B$5)+(MonteCarlo!$B$9+(U$1^2)/2)*$A16)/(U$1*SQRT($A16)),TRUE)-MonteCarlo!$B$5*EXP(-MonteCarlo!$B$9*$A16)*_xlfn.NORM.S.DIST(((LN(MonteCarlo!$B$6/MonteCarlo!$B$5)+(MonteCarlo!$B$9+(U$1^2)/2)*$A16)/(U$1*SQRT($A16)))-(U$1*SQRT($A16)),TRUE),MonteCarlo!$B$5*EXP(-MonteCarlo!$B$9*$A16)*_xlfn.NORM.S.DIST(-(((LN(MonteCarlo!$B$6/MonteCarlo!$B$5)+(MonteCarlo!$B$9+(U$1^2)/2)*$A16)/(U$1*SQRT($A16)))-(U$1*SQRT($A16))),TRUE)-MonteCarlo!$B$6*_xlfn.NORM.S.DIST(-((LN(MonteCarlo!$B$6/MonteCarlo!$B$5)+(MonteCarlo!$B$9+(U$1^2)/2)*$A16)/(U$1*SQRT($A16))),TRUE)),"")</f>
        <v/>
      </c>
      <c r="V16" t="str">
        <f>IFERROR(IF(OR(MonteCarlo!$B$4="C",MonteCarlo!$B$4="c"),MonteCarlo!$B$6*_xlfn.NORM.S.DIST((LN(MonteCarlo!$B$6/MonteCarlo!$B$5)+(MonteCarlo!$B$9+(V$1^2)/2)*$A16)/(V$1*SQRT($A16)),TRUE)-MonteCarlo!$B$5*EXP(-MonteCarlo!$B$9*$A16)*_xlfn.NORM.S.DIST(((LN(MonteCarlo!$B$6/MonteCarlo!$B$5)+(MonteCarlo!$B$9+(V$1^2)/2)*$A16)/(V$1*SQRT($A16)))-(V$1*SQRT($A16)),TRUE),MonteCarlo!$B$5*EXP(-MonteCarlo!$B$9*$A16)*_xlfn.NORM.S.DIST(-(((LN(MonteCarlo!$B$6/MonteCarlo!$B$5)+(MonteCarlo!$B$9+(V$1^2)/2)*$A16)/(V$1*SQRT($A16)))-(V$1*SQRT($A16))),TRUE)-MonteCarlo!$B$6*_xlfn.NORM.S.DIST(-((LN(MonteCarlo!$B$6/MonteCarlo!$B$5)+(MonteCarlo!$B$9+(V$1^2)/2)*$A16)/(V$1*SQRT($A16))),TRUE)),"")</f>
        <v/>
      </c>
      <c r="W16" t="str">
        <f>IFERROR(IF(OR(MonteCarlo!$B$4="C",MonteCarlo!$B$4="c"),MonteCarlo!$B$6*_xlfn.NORM.S.DIST((LN(MonteCarlo!$B$6/MonteCarlo!$B$5)+(MonteCarlo!$B$9+(W$1^2)/2)*$A16)/(W$1*SQRT($A16)),TRUE)-MonteCarlo!$B$5*EXP(-MonteCarlo!$B$9*$A16)*_xlfn.NORM.S.DIST(((LN(MonteCarlo!$B$6/MonteCarlo!$B$5)+(MonteCarlo!$B$9+(W$1^2)/2)*$A16)/(W$1*SQRT($A16)))-(W$1*SQRT($A16)),TRUE),MonteCarlo!$B$5*EXP(-MonteCarlo!$B$9*$A16)*_xlfn.NORM.S.DIST(-(((LN(MonteCarlo!$B$6/MonteCarlo!$B$5)+(MonteCarlo!$B$9+(W$1^2)/2)*$A16)/(W$1*SQRT($A16)))-(W$1*SQRT($A16))),TRUE)-MonteCarlo!$B$6*_xlfn.NORM.S.DIST(-((LN(MonteCarlo!$B$6/MonteCarlo!$B$5)+(MonteCarlo!$B$9+(W$1^2)/2)*$A16)/(W$1*SQRT($A16))),TRUE)),"")</f>
        <v/>
      </c>
      <c r="X16" t="str">
        <f>IFERROR(IF(OR(MonteCarlo!$B$4="C",MonteCarlo!$B$4="c"),MonteCarlo!$B$6*_xlfn.NORM.S.DIST((LN(MonteCarlo!$B$6/MonteCarlo!$B$5)+(MonteCarlo!$B$9+(X$1^2)/2)*$A16)/(X$1*SQRT($A16)),TRUE)-MonteCarlo!$B$5*EXP(-MonteCarlo!$B$9*$A16)*_xlfn.NORM.S.DIST(((LN(MonteCarlo!$B$6/MonteCarlo!$B$5)+(MonteCarlo!$B$9+(X$1^2)/2)*$A16)/(X$1*SQRT($A16)))-(X$1*SQRT($A16)),TRUE),MonteCarlo!$B$5*EXP(-MonteCarlo!$B$9*$A16)*_xlfn.NORM.S.DIST(-(((LN(MonteCarlo!$B$6/MonteCarlo!$B$5)+(MonteCarlo!$B$9+(X$1^2)/2)*$A16)/(X$1*SQRT($A16)))-(X$1*SQRT($A16))),TRUE)-MonteCarlo!$B$6*_xlfn.NORM.S.DIST(-((LN(MonteCarlo!$B$6/MonteCarlo!$B$5)+(MonteCarlo!$B$9+(X$1^2)/2)*$A16)/(X$1*SQRT($A16))),TRUE)),"")</f>
        <v/>
      </c>
      <c r="Y16" t="str">
        <f>IFERROR(IF(OR(MonteCarlo!$B$4="C",MonteCarlo!$B$4="c"),MonteCarlo!$B$6*_xlfn.NORM.S.DIST((LN(MonteCarlo!$B$6/MonteCarlo!$B$5)+(MonteCarlo!$B$9+(Y$1^2)/2)*$A16)/(Y$1*SQRT($A16)),TRUE)-MonteCarlo!$B$5*EXP(-MonteCarlo!$B$9*$A16)*_xlfn.NORM.S.DIST(((LN(MonteCarlo!$B$6/MonteCarlo!$B$5)+(MonteCarlo!$B$9+(Y$1^2)/2)*$A16)/(Y$1*SQRT($A16)))-(Y$1*SQRT($A16)),TRUE),MonteCarlo!$B$5*EXP(-MonteCarlo!$B$9*$A16)*_xlfn.NORM.S.DIST(-(((LN(MonteCarlo!$B$6/MonteCarlo!$B$5)+(MonteCarlo!$B$9+(Y$1^2)/2)*$A16)/(Y$1*SQRT($A16)))-(Y$1*SQRT($A16))),TRUE)-MonteCarlo!$B$6*_xlfn.NORM.S.DIST(-((LN(MonteCarlo!$B$6/MonteCarlo!$B$5)+(MonteCarlo!$B$9+(Y$1^2)/2)*$A16)/(Y$1*SQRT($A16))),TRUE)),"")</f>
        <v/>
      </c>
      <c r="Z16" t="str">
        <f>IFERROR(IF(OR(MonteCarlo!$B$4="C",MonteCarlo!$B$4="c"),MonteCarlo!$B$6*_xlfn.NORM.S.DIST((LN(MonteCarlo!$B$6/MonteCarlo!$B$5)+(MonteCarlo!$B$9+(Z$1^2)/2)*$A16)/(Z$1*SQRT($A16)),TRUE)-MonteCarlo!$B$5*EXP(-MonteCarlo!$B$9*$A16)*_xlfn.NORM.S.DIST(((LN(MonteCarlo!$B$6/MonteCarlo!$B$5)+(MonteCarlo!$B$9+(Z$1^2)/2)*$A16)/(Z$1*SQRT($A16)))-(Z$1*SQRT($A16)),TRUE),MonteCarlo!$B$5*EXP(-MonteCarlo!$B$9*$A16)*_xlfn.NORM.S.DIST(-(((LN(MonteCarlo!$B$6/MonteCarlo!$B$5)+(MonteCarlo!$B$9+(Z$1^2)/2)*$A16)/(Z$1*SQRT($A16)))-(Z$1*SQRT($A16))),TRUE)-MonteCarlo!$B$6*_xlfn.NORM.S.DIST(-((LN(MonteCarlo!$B$6/MonteCarlo!$B$5)+(MonteCarlo!$B$9+(Z$1^2)/2)*$A16)/(Z$1*SQRT($A16))),TRUE)),"")</f>
        <v/>
      </c>
      <c r="AA16" t="str">
        <f>IFERROR(IF(OR(MonteCarlo!$B$4="C",MonteCarlo!$B$4="c"),MonteCarlo!$B$6*_xlfn.NORM.S.DIST((LN(MonteCarlo!$B$6/MonteCarlo!$B$5)+(MonteCarlo!$B$9+(AA$1^2)/2)*$A16)/(AA$1*SQRT($A16)),TRUE)-MonteCarlo!$B$5*EXP(-MonteCarlo!$B$9*$A16)*_xlfn.NORM.S.DIST(((LN(MonteCarlo!$B$6/MonteCarlo!$B$5)+(MonteCarlo!$B$9+(AA$1^2)/2)*$A16)/(AA$1*SQRT($A16)))-(AA$1*SQRT($A16)),TRUE),MonteCarlo!$B$5*EXP(-MonteCarlo!$B$9*$A16)*_xlfn.NORM.S.DIST(-(((LN(MonteCarlo!$B$6/MonteCarlo!$B$5)+(MonteCarlo!$B$9+(AA$1^2)/2)*$A16)/(AA$1*SQRT($A16)))-(AA$1*SQRT($A16))),TRUE)-MonteCarlo!$B$6*_xlfn.NORM.S.DIST(-((LN(MonteCarlo!$B$6/MonteCarlo!$B$5)+(MonteCarlo!$B$9+(AA$1^2)/2)*$A16)/(AA$1*SQRT($A16))),TRUE)),"")</f>
        <v/>
      </c>
      <c r="AB16" t="str">
        <f>IFERROR(IF(OR(MonteCarlo!$B$4="C",MonteCarlo!$B$4="c"),MonteCarlo!$B$6*_xlfn.NORM.S.DIST((LN(MonteCarlo!$B$6/MonteCarlo!$B$5)+(MonteCarlo!$B$9+(AB$1^2)/2)*$A16)/(AB$1*SQRT($A16)),TRUE)-MonteCarlo!$B$5*EXP(-MonteCarlo!$B$9*$A16)*_xlfn.NORM.S.DIST(((LN(MonteCarlo!$B$6/MonteCarlo!$B$5)+(MonteCarlo!$B$9+(AB$1^2)/2)*$A16)/(AB$1*SQRT($A16)))-(AB$1*SQRT($A16)),TRUE),MonteCarlo!$B$5*EXP(-MonteCarlo!$B$9*$A16)*_xlfn.NORM.S.DIST(-(((LN(MonteCarlo!$B$6/MonteCarlo!$B$5)+(MonteCarlo!$B$9+(AB$1^2)/2)*$A16)/(AB$1*SQRT($A16)))-(AB$1*SQRT($A16))),TRUE)-MonteCarlo!$B$6*_xlfn.NORM.S.DIST(-((LN(MonteCarlo!$B$6/MonteCarlo!$B$5)+(MonteCarlo!$B$9+(AB$1^2)/2)*$A16)/(AB$1*SQRT($A16))),TRUE)),"")</f>
        <v/>
      </c>
      <c r="AC16" t="str">
        <f>IFERROR(IF(OR(MonteCarlo!$B$4="C",MonteCarlo!$B$4="c"),MonteCarlo!$B$6*_xlfn.NORM.S.DIST((LN(MonteCarlo!$B$6/MonteCarlo!$B$5)+(MonteCarlo!$B$9+(AC$1^2)/2)*$A16)/(AC$1*SQRT($A16)),TRUE)-MonteCarlo!$B$5*EXP(-MonteCarlo!$B$9*$A16)*_xlfn.NORM.S.DIST(((LN(MonteCarlo!$B$6/MonteCarlo!$B$5)+(MonteCarlo!$B$9+(AC$1^2)/2)*$A16)/(AC$1*SQRT($A16)))-(AC$1*SQRT($A16)),TRUE),MonteCarlo!$B$5*EXP(-MonteCarlo!$B$9*$A16)*_xlfn.NORM.S.DIST(-(((LN(MonteCarlo!$B$6/MonteCarlo!$B$5)+(MonteCarlo!$B$9+(AC$1^2)/2)*$A16)/(AC$1*SQRT($A16)))-(AC$1*SQRT($A16))),TRUE)-MonteCarlo!$B$6*_xlfn.NORM.S.DIST(-((LN(MonteCarlo!$B$6/MonteCarlo!$B$5)+(MonteCarlo!$B$9+(AC$1^2)/2)*$A16)/(AC$1*SQRT($A16))),TRUE)),"")</f>
        <v/>
      </c>
      <c r="AD16" t="str">
        <f>IFERROR(IF(OR(MonteCarlo!$B$4="C",MonteCarlo!$B$4="c"),MonteCarlo!$B$6*_xlfn.NORM.S.DIST((LN(MonteCarlo!$B$6/MonteCarlo!$B$5)+(MonteCarlo!$B$9+(AD$1^2)/2)*$A16)/(AD$1*SQRT($A16)),TRUE)-MonteCarlo!$B$5*EXP(-MonteCarlo!$B$9*$A16)*_xlfn.NORM.S.DIST(((LN(MonteCarlo!$B$6/MonteCarlo!$B$5)+(MonteCarlo!$B$9+(AD$1^2)/2)*$A16)/(AD$1*SQRT($A16)))-(AD$1*SQRT($A16)),TRUE),MonteCarlo!$B$5*EXP(-MonteCarlo!$B$9*$A16)*_xlfn.NORM.S.DIST(-(((LN(MonteCarlo!$B$6/MonteCarlo!$B$5)+(MonteCarlo!$B$9+(AD$1^2)/2)*$A16)/(AD$1*SQRT($A16)))-(AD$1*SQRT($A16))),TRUE)-MonteCarlo!$B$6*_xlfn.NORM.S.DIST(-((LN(MonteCarlo!$B$6/MonteCarlo!$B$5)+(MonteCarlo!$B$9+(AD$1^2)/2)*$A16)/(AD$1*SQRT($A16))),TRUE)),"")</f>
        <v/>
      </c>
      <c r="AE16" t="str">
        <f>IFERROR(IF(OR(MonteCarlo!$B$4="C",MonteCarlo!$B$4="c"),MonteCarlo!$B$6*_xlfn.NORM.S.DIST((LN(MonteCarlo!$B$6/MonteCarlo!$B$5)+(MonteCarlo!$B$9+(AE$1^2)/2)*$A16)/(AE$1*SQRT($A16)),TRUE)-MonteCarlo!$B$5*EXP(-MonteCarlo!$B$9*$A16)*_xlfn.NORM.S.DIST(((LN(MonteCarlo!$B$6/MonteCarlo!$B$5)+(MonteCarlo!$B$9+(AE$1^2)/2)*$A16)/(AE$1*SQRT($A16)))-(AE$1*SQRT($A16)),TRUE),MonteCarlo!$B$5*EXP(-MonteCarlo!$B$9*$A16)*_xlfn.NORM.S.DIST(-(((LN(MonteCarlo!$B$6/MonteCarlo!$B$5)+(MonteCarlo!$B$9+(AE$1^2)/2)*$A16)/(AE$1*SQRT($A16)))-(AE$1*SQRT($A16))),TRUE)-MonteCarlo!$B$6*_xlfn.NORM.S.DIST(-((LN(MonteCarlo!$B$6/MonteCarlo!$B$5)+(MonteCarlo!$B$9+(AE$1^2)/2)*$A16)/(AE$1*SQRT($A16))),TRUE)),"")</f>
        <v/>
      </c>
      <c r="AF16" t="str">
        <f>IFERROR(IF(OR(MonteCarlo!$B$4="C",MonteCarlo!$B$4="c"),MonteCarlo!$B$6*_xlfn.NORM.S.DIST((LN(MonteCarlo!$B$6/MonteCarlo!$B$5)+(MonteCarlo!$B$9+(AF$1^2)/2)*$A16)/(AF$1*SQRT($A16)),TRUE)-MonteCarlo!$B$5*EXP(-MonteCarlo!$B$9*$A16)*_xlfn.NORM.S.DIST(((LN(MonteCarlo!$B$6/MonteCarlo!$B$5)+(MonteCarlo!$B$9+(AF$1^2)/2)*$A16)/(AF$1*SQRT($A16)))-(AF$1*SQRT($A16)),TRUE),MonteCarlo!$B$5*EXP(-MonteCarlo!$B$9*$A16)*_xlfn.NORM.S.DIST(-(((LN(MonteCarlo!$B$6/MonteCarlo!$B$5)+(MonteCarlo!$B$9+(AF$1^2)/2)*$A16)/(AF$1*SQRT($A16)))-(AF$1*SQRT($A16))),TRUE)-MonteCarlo!$B$6*_xlfn.NORM.S.DIST(-((LN(MonteCarlo!$B$6/MonteCarlo!$B$5)+(MonteCarlo!$B$9+(AF$1^2)/2)*$A16)/(AF$1*SQRT($A16))),TRUE)),"")</f>
        <v/>
      </c>
    </row>
    <row r="17" spans="2:32" x14ac:dyDescent="0.25">
      <c r="B17" t="str">
        <f>IFERROR(IF(OR(MonteCarlo!$B$4="C",MonteCarlo!$B$4="c"),MonteCarlo!$B$6*_xlfn.NORM.S.DIST((LN(MonteCarlo!$B$6/MonteCarlo!$B$5)+(MonteCarlo!$B$9+(B$1^2)/2)*$A17)/(B$1*SQRT($A17)),TRUE)-MonteCarlo!$B$5*EXP(-MonteCarlo!$B$9*$A17)*_xlfn.NORM.S.DIST(((LN(MonteCarlo!$B$6/MonteCarlo!$B$5)+(MonteCarlo!$B$9+(B$1^2)/2)*$A17)/(B$1*SQRT($A17)))-(B$1*SQRT($A17)),TRUE),MonteCarlo!$B$5*EXP(-MonteCarlo!$B$9*$A17)*_xlfn.NORM.S.DIST(-(((LN(MonteCarlo!$B$6/MonteCarlo!$B$5)+(MonteCarlo!$B$9+(B$1^2)/2)*$A17)/(B$1*SQRT($A17)))-(B$1*SQRT($A17))),TRUE)-MonteCarlo!$B$6*_xlfn.NORM.S.DIST(-((LN(MonteCarlo!$B$6/MonteCarlo!$B$5)+(MonteCarlo!$B$9+(B$1^2)/2)*$A17)/(B$1*SQRT($A17))),TRUE)),"")</f>
        <v/>
      </c>
      <c r="C17" t="str">
        <f>IFERROR(IF(OR(MonteCarlo!$B$4="C",MonteCarlo!$B$4="c"),MonteCarlo!$B$6*_xlfn.NORM.S.DIST((LN(MonteCarlo!$B$6/MonteCarlo!$B$5)+(MonteCarlo!$B$9+(C$1^2)/2)*$A17)/(C$1*SQRT($A17)),TRUE)-MonteCarlo!$B$5*EXP(-MonteCarlo!$B$9*$A17)*_xlfn.NORM.S.DIST(((LN(MonteCarlo!$B$6/MonteCarlo!$B$5)+(MonteCarlo!$B$9+(C$1^2)/2)*$A17)/(C$1*SQRT($A17)))-(C$1*SQRT($A17)),TRUE),MonteCarlo!$B$5*EXP(-MonteCarlo!$B$9*$A17)*_xlfn.NORM.S.DIST(-(((LN(MonteCarlo!$B$6/MonteCarlo!$B$5)+(MonteCarlo!$B$9+(C$1^2)/2)*$A17)/(C$1*SQRT($A17)))-(C$1*SQRT($A17))),TRUE)-MonteCarlo!$B$6*_xlfn.NORM.S.DIST(-((LN(MonteCarlo!$B$6/MonteCarlo!$B$5)+(MonteCarlo!$B$9+(C$1^2)/2)*$A17)/(C$1*SQRT($A17))),TRUE)),"")</f>
        <v/>
      </c>
      <c r="D17" t="str">
        <f>IFERROR(IF(OR(MonteCarlo!$B$4="C",MonteCarlo!$B$4="c"),MonteCarlo!$B$6*_xlfn.NORM.S.DIST((LN(MonteCarlo!$B$6/MonteCarlo!$B$5)+(MonteCarlo!$B$9+(D$1^2)/2)*$A17)/(D$1*SQRT($A17)),TRUE)-MonteCarlo!$B$5*EXP(-MonteCarlo!$B$9*$A17)*_xlfn.NORM.S.DIST(((LN(MonteCarlo!$B$6/MonteCarlo!$B$5)+(MonteCarlo!$B$9+(D$1^2)/2)*$A17)/(D$1*SQRT($A17)))-(D$1*SQRT($A17)),TRUE),MonteCarlo!$B$5*EXP(-MonteCarlo!$B$9*$A17)*_xlfn.NORM.S.DIST(-(((LN(MonteCarlo!$B$6/MonteCarlo!$B$5)+(MonteCarlo!$B$9+(D$1^2)/2)*$A17)/(D$1*SQRT($A17)))-(D$1*SQRT($A17))),TRUE)-MonteCarlo!$B$6*_xlfn.NORM.S.DIST(-((LN(MonteCarlo!$B$6/MonteCarlo!$B$5)+(MonteCarlo!$B$9+(D$1^2)/2)*$A17)/(D$1*SQRT($A17))),TRUE)),"")</f>
        <v/>
      </c>
      <c r="E17" t="str">
        <f>IFERROR(IF(OR(MonteCarlo!$B$4="C",MonteCarlo!$B$4="c"),MonteCarlo!$B$6*_xlfn.NORM.S.DIST((LN(MonteCarlo!$B$6/MonteCarlo!$B$5)+(MonteCarlo!$B$9+(E$1^2)/2)*$A17)/(E$1*SQRT($A17)),TRUE)-MonteCarlo!$B$5*EXP(-MonteCarlo!$B$9*$A17)*_xlfn.NORM.S.DIST(((LN(MonteCarlo!$B$6/MonteCarlo!$B$5)+(MonteCarlo!$B$9+(E$1^2)/2)*$A17)/(E$1*SQRT($A17)))-(E$1*SQRT($A17)),TRUE),MonteCarlo!$B$5*EXP(-MonteCarlo!$B$9*$A17)*_xlfn.NORM.S.DIST(-(((LN(MonteCarlo!$B$6/MonteCarlo!$B$5)+(MonteCarlo!$B$9+(E$1^2)/2)*$A17)/(E$1*SQRT($A17)))-(E$1*SQRT($A17))),TRUE)-MonteCarlo!$B$6*_xlfn.NORM.S.DIST(-((LN(MonteCarlo!$B$6/MonteCarlo!$B$5)+(MonteCarlo!$B$9+(E$1^2)/2)*$A17)/(E$1*SQRT($A17))),TRUE)),"")</f>
        <v/>
      </c>
      <c r="F17" t="str">
        <f>IFERROR(IF(OR(MonteCarlo!$B$4="C",MonteCarlo!$B$4="c"),MonteCarlo!$B$6*_xlfn.NORM.S.DIST((LN(MonteCarlo!$B$6/MonteCarlo!$B$5)+(MonteCarlo!$B$9+(F$1^2)/2)*$A17)/(F$1*SQRT($A17)),TRUE)-MonteCarlo!$B$5*EXP(-MonteCarlo!$B$9*$A17)*_xlfn.NORM.S.DIST(((LN(MonteCarlo!$B$6/MonteCarlo!$B$5)+(MonteCarlo!$B$9+(F$1^2)/2)*$A17)/(F$1*SQRT($A17)))-(F$1*SQRT($A17)),TRUE),MonteCarlo!$B$5*EXP(-MonteCarlo!$B$9*$A17)*_xlfn.NORM.S.DIST(-(((LN(MonteCarlo!$B$6/MonteCarlo!$B$5)+(MonteCarlo!$B$9+(F$1^2)/2)*$A17)/(F$1*SQRT($A17)))-(F$1*SQRT($A17))),TRUE)-MonteCarlo!$B$6*_xlfn.NORM.S.DIST(-((LN(MonteCarlo!$B$6/MonteCarlo!$B$5)+(MonteCarlo!$B$9+(F$1^2)/2)*$A17)/(F$1*SQRT($A17))),TRUE)),"")</f>
        <v/>
      </c>
      <c r="G17" t="str">
        <f>IFERROR(IF(OR(MonteCarlo!$B$4="C",MonteCarlo!$B$4="c"),MonteCarlo!$B$6*_xlfn.NORM.S.DIST((LN(MonteCarlo!$B$6/MonteCarlo!$B$5)+(MonteCarlo!$B$9+(G$1^2)/2)*$A17)/(G$1*SQRT($A17)),TRUE)-MonteCarlo!$B$5*EXP(-MonteCarlo!$B$9*$A17)*_xlfn.NORM.S.DIST(((LN(MonteCarlo!$B$6/MonteCarlo!$B$5)+(MonteCarlo!$B$9+(G$1^2)/2)*$A17)/(G$1*SQRT($A17)))-(G$1*SQRT($A17)),TRUE),MonteCarlo!$B$5*EXP(-MonteCarlo!$B$9*$A17)*_xlfn.NORM.S.DIST(-(((LN(MonteCarlo!$B$6/MonteCarlo!$B$5)+(MonteCarlo!$B$9+(G$1^2)/2)*$A17)/(G$1*SQRT($A17)))-(G$1*SQRT($A17))),TRUE)-MonteCarlo!$B$6*_xlfn.NORM.S.DIST(-((LN(MonteCarlo!$B$6/MonteCarlo!$B$5)+(MonteCarlo!$B$9+(G$1^2)/2)*$A17)/(G$1*SQRT($A17))),TRUE)),"")</f>
        <v/>
      </c>
      <c r="H17" t="str">
        <f>IFERROR(IF(OR(MonteCarlo!$B$4="C",MonteCarlo!$B$4="c"),MonteCarlo!$B$6*_xlfn.NORM.S.DIST((LN(MonteCarlo!$B$6/MonteCarlo!$B$5)+(MonteCarlo!$B$9+(H$1^2)/2)*$A17)/(H$1*SQRT($A17)),TRUE)-MonteCarlo!$B$5*EXP(-MonteCarlo!$B$9*$A17)*_xlfn.NORM.S.DIST(((LN(MonteCarlo!$B$6/MonteCarlo!$B$5)+(MonteCarlo!$B$9+(H$1^2)/2)*$A17)/(H$1*SQRT($A17)))-(H$1*SQRT($A17)),TRUE),MonteCarlo!$B$5*EXP(-MonteCarlo!$B$9*$A17)*_xlfn.NORM.S.DIST(-(((LN(MonteCarlo!$B$6/MonteCarlo!$B$5)+(MonteCarlo!$B$9+(H$1^2)/2)*$A17)/(H$1*SQRT($A17)))-(H$1*SQRT($A17))),TRUE)-MonteCarlo!$B$6*_xlfn.NORM.S.DIST(-((LN(MonteCarlo!$B$6/MonteCarlo!$B$5)+(MonteCarlo!$B$9+(H$1^2)/2)*$A17)/(H$1*SQRT($A17))),TRUE)),"")</f>
        <v/>
      </c>
      <c r="I17" t="str">
        <f>IFERROR(IF(OR(MonteCarlo!$B$4="C",MonteCarlo!$B$4="c"),MonteCarlo!$B$6*_xlfn.NORM.S.DIST((LN(MonteCarlo!$B$6/MonteCarlo!$B$5)+(MonteCarlo!$B$9+(I$1^2)/2)*$A17)/(I$1*SQRT($A17)),TRUE)-MonteCarlo!$B$5*EXP(-MonteCarlo!$B$9*$A17)*_xlfn.NORM.S.DIST(((LN(MonteCarlo!$B$6/MonteCarlo!$B$5)+(MonteCarlo!$B$9+(I$1^2)/2)*$A17)/(I$1*SQRT($A17)))-(I$1*SQRT($A17)),TRUE),MonteCarlo!$B$5*EXP(-MonteCarlo!$B$9*$A17)*_xlfn.NORM.S.DIST(-(((LN(MonteCarlo!$B$6/MonteCarlo!$B$5)+(MonteCarlo!$B$9+(I$1^2)/2)*$A17)/(I$1*SQRT($A17)))-(I$1*SQRT($A17))),TRUE)-MonteCarlo!$B$6*_xlfn.NORM.S.DIST(-((LN(MonteCarlo!$B$6/MonteCarlo!$B$5)+(MonteCarlo!$B$9+(I$1^2)/2)*$A17)/(I$1*SQRT($A17))),TRUE)),"")</f>
        <v/>
      </c>
      <c r="J17" t="str">
        <f>IFERROR(IF(OR(MonteCarlo!$B$4="C",MonteCarlo!$B$4="c"),MonteCarlo!$B$6*_xlfn.NORM.S.DIST((LN(MonteCarlo!$B$6/MonteCarlo!$B$5)+(MonteCarlo!$B$9+(J$1^2)/2)*$A17)/(J$1*SQRT($A17)),TRUE)-MonteCarlo!$B$5*EXP(-MonteCarlo!$B$9*$A17)*_xlfn.NORM.S.DIST(((LN(MonteCarlo!$B$6/MonteCarlo!$B$5)+(MonteCarlo!$B$9+(J$1^2)/2)*$A17)/(J$1*SQRT($A17)))-(J$1*SQRT($A17)),TRUE),MonteCarlo!$B$5*EXP(-MonteCarlo!$B$9*$A17)*_xlfn.NORM.S.DIST(-(((LN(MonteCarlo!$B$6/MonteCarlo!$B$5)+(MonteCarlo!$B$9+(J$1^2)/2)*$A17)/(J$1*SQRT($A17)))-(J$1*SQRT($A17))),TRUE)-MonteCarlo!$B$6*_xlfn.NORM.S.DIST(-((LN(MonteCarlo!$B$6/MonteCarlo!$B$5)+(MonteCarlo!$B$9+(J$1^2)/2)*$A17)/(J$1*SQRT($A17))),TRUE)),"")</f>
        <v/>
      </c>
      <c r="K17" t="str">
        <f>IFERROR(IF(OR(MonteCarlo!$B$4="C",MonteCarlo!$B$4="c"),MonteCarlo!$B$6*_xlfn.NORM.S.DIST((LN(MonteCarlo!$B$6/MonteCarlo!$B$5)+(MonteCarlo!$B$9+(K$1^2)/2)*$A17)/(K$1*SQRT($A17)),TRUE)-MonteCarlo!$B$5*EXP(-MonteCarlo!$B$9*$A17)*_xlfn.NORM.S.DIST(((LN(MonteCarlo!$B$6/MonteCarlo!$B$5)+(MonteCarlo!$B$9+(K$1^2)/2)*$A17)/(K$1*SQRT($A17)))-(K$1*SQRT($A17)),TRUE),MonteCarlo!$B$5*EXP(-MonteCarlo!$B$9*$A17)*_xlfn.NORM.S.DIST(-(((LN(MonteCarlo!$B$6/MonteCarlo!$B$5)+(MonteCarlo!$B$9+(K$1^2)/2)*$A17)/(K$1*SQRT($A17)))-(K$1*SQRT($A17))),TRUE)-MonteCarlo!$B$6*_xlfn.NORM.S.DIST(-((LN(MonteCarlo!$B$6/MonteCarlo!$B$5)+(MonteCarlo!$B$9+(K$1^2)/2)*$A17)/(K$1*SQRT($A17))),TRUE)),"")</f>
        <v/>
      </c>
      <c r="L17" t="str">
        <f>IFERROR(IF(OR(MonteCarlo!$B$4="C",MonteCarlo!$B$4="c"),MonteCarlo!$B$6*_xlfn.NORM.S.DIST((LN(MonteCarlo!$B$6/MonteCarlo!$B$5)+(MonteCarlo!$B$9+(L$1^2)/2)*$A17)/(L$1*SQRT($A17)),TRUE)-MonteCarlo!$B$5*EXP(-MonteCarlo!$B$9*$A17)*_xlfn.NORM.S.DIST(((LN(MonteCarlo!$B$6/MonteCarlo!$B$5)+(MonteCarlo!$B$9+(L$1^2)/2)*$A17)/(L$1*SQRT($A17)))-(L$1*SQRT($A17)),TRUE),MonteCarlo!$B$5*EXP(-MonteCarlo!$B$9*$A17)*_xlfn.NORM.S.DIST(-(((LN(MonteCarlo!$B$6/MonteCarlo!$B$5)+(MonteCarlo!$B$9+(L$1^2)/2)*$A17)/(L$1*SQRT($A17)))-(L$1*SQRT($A17))),TRUE)-MonteCarlo!$B$6*_xlfn.NORM.S.DIST(-((LN(MonteCarlo!$B$6/MonteCarlo!$B$5)+(MonteCarlo!$B$9+(L$1^2)/2)*$A17)/(L$1*SQRT($A17))),TRUE)),"")</f>
        <v/>
      </c>
      <c r="M17" t="str">
        <f>IFERROR(IF(OR(MonteCarlo!$B$4="C",MonteCarlo!$B$4="c"),MonteCarlo!$B$6*_xlfn.NORM.S.DIST((LN(MonteCarlo!$B$6/MonteCarlo!$B$5)+(MonteCarlo!$B$9+(M$1^2)/2)*$A17)/(M$1*SQRT($A17)),TRUE)-MonteCarlo!$B$5*EXP(-MonteCarlo!$B$9*$A17)*_xlfn.NORM.S.DIST(((LN(MonteCarlo!$B$6/MonteCarlo!$B$5)+(MonteCarlo!$B$9+(M$1^2)/2)*$A17)/(M$1*SQRT($A17)))-(M$1*SQRT($A17)),TRUE),MonteCarlo!$B$5*EXP(-MonteCarlo!$B$9*$A17)*_xlfn.NORM.S.DIST(-(((LN(MonteCarlo!$B$6/MonteCarlo!$B$5)+(MonteCarlo!$B$9+(M$1^2)/2)*$A17)/(M$1*SQRT($A17)))-(M$1*SQRT($A17))),TRUE)-MonteCarlo!$B$6*_xlfn.NORM.S.DIST(-((LN(MonteCarlo!$B$6/MonteCarlo!$B$5)+(MonteCarlo!$B$9+(M$1^2)/2)*$A17)/(M$1*SQRT($A17))),TRUE)),"")</f>
        <v/>
      </c>
      <c r="N17" t="str">
        <f>IFERROR(IF(OR(MonteCarlo!$B$4="C",MonteCarlo!$B$4="c"),MonteCarlo!$B$6*_xlfn.NORM.S.DIST((LN(MonteCarlo!$B$6/MonteCarlo!$B$5)+(MonteCarlo!$B$9+(N$1^2)/2)*$A17)/(N$1*SQRT($A17)),TRUE)-MonteCarlo!$B$5*EXP(-MonteCarlo!$B$9*$A17)*_xlfn.NORM.S.DIST(((LN(MonteCarlo!$B$6/MonteCarlo!$B$5)+(MonteCarlo!$B$9+(N$1^2)/2)*$A17)/(N$1*SQRT($A17)))-(N$1*SQRT($A17)),TRUE),MonteCarlo!$B$5*EXP(-MonteCarlo!$B$9*$A17)*_xlfn.NORM.S.DIST(-(((LN(MonteCarlo!$B$6/MonteCarlo!$B$5)+(MonteCarlo!$B$9+(N$1^2)/2)*$A17)/(N$1*SQRT($A17)))-(N$1*SQRT($A17))),TRUE)-MonteCarlo!$B$6*_xlfn.NORM.S.DIST(-((LN(MonteCarlo!$B$6/MonteCarlo!$B$5)+(MonteCarlo!$B$9+(N$1^2)/2)*$A17)/(N$1*SQRT($A17))),TRUE)),"")</f>
        <v/>
      </c>
      <c r="O17" t="str">
        <f>IFERROR(IF(OR(MonteCarlo!$B$4="C",MonteCarlo!$B$4="c"),MonteCarlo!$B$6*_xlfn.NORM.S.DIST((LN(MonteCarlo!$B$6/MonteCarlo!$B$5)+(MonteCarlo!$B$9+(O$1^2)/2)*$A17)/(O$1*SQRT($A17)),TRUE)-MonteCarlo!$B$5*EXP(-MonteCarlo!$B$9*$A17)*_xlfn.NORM.S.DIST(((LN(MonteCarlo!$B$6/MonteCarlo!$B$5)+(MonteCarlo!$B$9+(O$1^2)/2)*$A17)/(O$1*SQRT($A17)))-(O$1*SQRT($A17)),TRUE),MonteCarlo!$B$5*EXP(-MonteCarlo!$B$9*$A17)*_xlfn.NORM.S.DIST(-(((LN(MonteCarlo!$B$6/MonteCarlo!$B$5)+(MonteCarlo!$B$9+(O$1^2)/2)*$A17)/(O$1*SQRT($A17)))-(O$1*SQRT($A17))),TRUE)-MonteCarlo!$B$6*_xlfn.NORM.S.DIST(-((LN(MonteCarlo!$B$6/MonteCarlo!$B$5)+(MonteCarlo!$B$9+(O$1^2)/2)*$A17)/(O$1*SQRT($A17))),TRUE)),"")</f>
        <v/>
      </c>
      <c r="P17" t="str">
        <f>IFERROR(IF(OR(MonteCarlo!$B$4="C",MonteCarlo!$B$4="c"),MonteCarlo!$B$6*_xlfn.NORM.S.DIST((LN(MonteCarlo!$B$6/MonteCarlo!$B$5)+(MonteCarlo!$B$9+(P$1^2)/2)*$A17)/(P$1*SQRT($A17)),TRUE)-MonteCarlo!$B$5*EXP(-MonteCarlo!$B$9*$A17)*_xlfn.NORM.S.DIST(((LN(MonteCarlo!$B$6/MonteCarlo!$B$5)+(MonteCarlo!$B$9+(P$1^2)/2)*$A17)/(P$1*SQRT($A17)))-(P$1*SQRT($A17)),TRUE),MonteCarlo!$B$5*EXP(-MonteCarlo!$B$9*$A17)*_xlfn.NORM.S.DIST(-(((LN(MonteCarlo!$B$6/MonteCarlo!$B$5)+(MonteCarlo!$B$9+(P$1^2)/2)*$A17)/(P$1*SQRT($A17)))-(P$1*SQRT($A17))),TRUE)-MonteCarlo!$B$6*_xlfn.NORM.S.DIST(-((LN(MonteCarlo!$B$6/MonteCarlo!$B$5)+(MonteCarlo!$B$9+(P$1^2)/2)*$A17)/(P$1*SQRT($A17))),TRUE)),"")</f>
        <v/>
      </c>
      <c r="Q17" t="str">
        <f>IFERROR(IF(OR(MonteCarlo!$B$4="C",MonteCarlo!$B$4="c"),MonteCarlo!$B$6*_xlfn.NORM.S.DIST((LN(MonteCarlo!$B$6/MonteCarlo!$B$5)+(MonteCarlo!$B$9+(Q$1^2)/2)*$A17)/(Q$1*SQRT($A17)),TRUE)-MonteCarlo!$B$5*EXP(-MonteCarlo!$B$9*$A17)*_xlfn.NORM.S.DIST(((LN(MonteCarlo!$B$6/MonteCarlo!$B$5)+(MonteCarlo!$B$9+(Q$1^2)/2)*$A17)/(Q$1*SQRT($A17)))-(Q$1*SQRT($A17)),TRUE),MonteCarlo!$B$5*EXP(-MonteCarlo!$B$9*$A17)*_xlfn.NORM.S.DIST(-(((LN(MonteCarlo!$B$6/MonteCarlo!$B$5)+(MonteCarlo!$B$9+(Q$1^2)/2)*$A17)/(Q$1*SQRT($A17)))-(Q$1*SQRT($A17))),TRUE)-MonteCarlo!$B$6*_xlfn.NORM.S.DIST(-((LN(MonteCarlo!$B$6/MonteCarlo!$B$5)+(MonteCarlo!$B$9+(Q$1^2)/2)*$A17)/(Q$1*SQRT($A17))),TRUE)),"")</f>
        <v/>
      </c>
      <c r="R17" t="str">
        <f>IFERROR(IF(OR(MonteCarlo!$B$4="C",MonteCarlo!$B$4="c"),MonteCarlo!$B$6*_xlfn.NORM.S.DIST((LN(MonteCarlo!$B$6/MonteCarlo!$B$5)+(MonteCarlo!$B$9+(R$1^2)/2)*$A17)/(R$1*SQRT($A17)),TRUE)-MonteCarlo!$B$5*EXP(-MonteCarlo!$B$9*$A17)*_xlfn.NORM.S.DIST(((LN(MonteCarlo!$B$6/MonteCarlo!$B$5)+(MonteCarlo!$B$9+(R$1^2)/2)*$A17)/(R$1*SQRT($A17)))-(R$1*SQRT($A17)),TRUE),MonteCarlo!$B$5*EXP(-MonteCarlo!$B$9*$A17)*_xlfn.NORM.S.DIST(-(((LN(MonteCarlo!$B$6/MonteCarlo!$B$5)+(MonteCarlo!$B$9+(R$1^2)/2)*$A17)/(R$1*SQRT($A17)))-(R$1*SQRT($A17))),TRUE)-MonteCarlo!$B$6*_xlfn.NORM.S.DIST(-((LN(MonteCarlo!$B$6/MonteCarlo!$B$5)+(MonteCarlo!$B$9+(R$1^2)/2)*$A17)/(R$1*SQRT($A17))),TRUE)),"")</f>
        <v/>
      </c>
      <c r="S17" t="str">
        <f>IFERROR(IF(OR(MonteCarlo!$B$4="C",MonteCarlo!$B$4="c"),MonteCarlo!$B$6*_xlfn.NORM.S.DIST((LN(MonteCarlo!$B$6/MonteCarlo!$B$5)+(MonteCarlo!$B$9+(S$1^2)/2)*$A17)/(S$1*SQRT($A17)),TRUE)-MonteCarlo!$B$5*EXP(-MonteCarlo!$B$9*$A17)*_xlfn.NORM.S.DIST(((LN(MonteCarlo!$B$6/MonteCarlo!$B$5)+(MonteCarlo!$B$9+(S$1^2)/2)*$A17)/(S$1*SQRT($A17)))-(S$1*SQRT($A17)),TRUE),MonteCarlo!$B$5*EXP(-MonteCarlo!$B$9*$A17)*_xlfn.NORM.S.DIST(-(((LN(MonteCarlo!$B$6/MonteCarlo!$B$5)+(MonteCarlo!$B$9+(S$1^2)/2)*$A17)/(S$1*SQRT($A17)))-(S$1*SQRT($A17))),TRUE)-MonteCarlo!$B$6*_xlfn.NORM.S.DIST(-((LN(MonteCarlo!$B$6/MonteCarlo!$B$5)+(MonteCarlo!$B$9+(S$1^2)/2)*$A17)/(S$1*SQRT($A17))),TRUE)),"")</f>
        <v/>
      </c>
      <c r="T17" t="str">
        <f>IFERROR(IF(OR(MonteCarlo!$B$4="C",MonteCarlo!$B$4="c"),MonteCarlo!$B$6*_xlfn.NORM.S.DIST((LN(MonteCarlo!$B$6/MonteCarlo!$B$5)+(MonteCarlo!$B$9+(T$1^2)/2)*$A17)/(T$1*SQRT($A17)),TRUE)-MonteCarlo!$B$5*EXP(-MonteCarlo!$B$9*$A17)*_xlfn.NORM.S.DIST(((LN(MonteCarlo!$B$6/MonteCarlo!$B$5)+(MonteCarlo!$B$9+(T$1^2)/2)*$A17)/(T$1*SQRT($A17)))-(T$1*SQRT($A17)),TRUE),MonteCarlo!$B$5*EXP(-MonteCarlo!$B$9*$A17)*_xlfn.NORM.S.DIST(-(((LN(MonteCarlo!$B$6/MonteCarlo!$B$5)+(MonteCarlo!$B$9+(T$1^2)/2)*$A17)/(T$1*SQRT($A17)))-(T$1*SQRT($A17))),TRUE)-MonteCarlo!$B$6*_xlfn.NORM.S.DIST(-((LN(MonteCarlo!$B$6/MonteCarlo!$B$5)+(MonteCarlo!$B$9+(T$1^2)/2)*$A17)/(T$1*SQRT($A17))),TRUE)),"")</f>
        <v/>
      </c>
      <c r="U17" t="str">
        <f>IFERROR(IF(OR(MonteCarlo!$B$4="C",MonteCarlo!$B$4="c"),MonteCarlo!$B$6*_xlfn.NORM.S.DIST((LN(MonteCarlo!$B$6/MonteCarlo!$B$5)+(MonteCarlo!$B$9+(U$1^2)/2)*$A17)/(U$1*SQRT($A17)),TRUE)-MonteCarlo!$B$5*EXP(-MonteCarlo!$B$9*$A17)*_xlfn.NORM.S.DIST(((LN(MonteCarlo!$B$6/MonteCarlo!$B$5)+(MonteCarlo!$B$9+(U$1^2)/2)*$A17)/(U$1*SQRT($A17)))-(U$1*SQRT($A17)),TRUE),MonteCarlo!$B$5*EXP(-MonteCarlo!$B$9*$A17)*_xlfn.NORM.S.DIST(-(((LN(MonteCarlo!$B$6/MonteCarlo!$B$5)+(MonteCarlo!$B$9+(U$1^2)/2)*$A17)/(U$1*SQRT($A17)))-(U$1*SQRT($A17))),TRUE)-MonteCarlo!$B$6*_xlfn.NORM.S.DIST(-((LN(MonteCarlo!$B$6/MonteCarlo!$B$5)+(MonteCarlo!$B$9+(U$1^2)/2)*$A17)/(U$1*SQRT($A17))),TRUE)),"")</f>
        <v/>
      </c>
      <c r="V17" t="str">
        <f>IFERROR(IF(OR(MonteCarlo!$B$4="C",MonteCarlo!$B$4="c"),MonteCarlo!$B$6*_xlfn.NORM.S.DIST((LN(MonteCarlo!$B$6/MonteCarlo!$B$5)+(MonteCarlo!$B$9+(V$1^2)/2)*$A17)/(V$1*SQRT($A17)),TRUE)-MonteCarlo!$B$5*EXP(-MonteCarlo!$B$9*$A17)*_xlfn.NORM.S.DIST(((LN(MonteCarlo!$B$6/MonteCarlo!$B$5)+(MonteCarlo!$B$9+(V$1^2)/2)*$A17)/(V$1*SQRT($A17)))-(V$1*SQRT($A17)),TRUE),MonteCarlo!$B$5*EXP(-MonteCarlo!$B$9*$A17)*_xlfn.NORM.S.DIST(-(((LN(MonteCarlo!$B$6/MonteCarlo!$B$5)+(MonteCarlo!$B$9+(V$1^2)/2)*$A17)/(V$1*SQRT($A17)))-(V$1*SQRT($A17))),TRUE)-MonteCarlo!$B$6*_xlfn.NORM.S.DIST(-((LN(MonteCarlo!$B$6/MonteCarlo!$B$5)+(MonteCarlo!$B$9+(V$1^2)/2)*$A17)/(V$1*SQRT($A17))),TRUE)),"")</f>
        <v/>
      </c>
      <c r="W17" t="str">
        <f>IFERROR(IF(OR(MonteCarlo!$B$4="C",MonteCarlo!$B$4="c"),MonteCarlo!$B$6*_xlfn.NORM.S.DIST((LN(MonteCarlo!$B$6/MonteCarlo!$B$5)+(MonteCarlo!$B$9+(W$1^2)/2)*$A17)/(W$1*SQRT($A17)),TRUE)-MonteCarlo!$B$5*EXP(-MonteCarlo!$B$9*$A17)*_xlfn.NORM.S.DIST(((LN(MonteCarlo!$B$6/MonteCarlo!$B$5)+(MonteCarlo!$B$9+(W$1^2)/2)*$A17)/(W$1*SQRT($A17)))-(W$1*SQRT($A17)),TRUE),MonteCarlo!$B$5*EXP(-MonteCarlo!$B$9*$A17)*_xlfn.NORM.S.DIST(-(((LN(MonteCarlo!$B$6/MonteCarlo!$B$5)+(MonteCarlo!$B$9+(W$1^2)/2)*$A17)/(W$1*SQRT($A17)))-(W$1*SQRT($A17))),TRUE)-MonteCarlo!$B$6*_xlfn.NORM.S.DIST(-((LN(MonteCarlo!$B$6/MonteCarlo!$B$5)+(MonteCarlo!$B$9+(W$1^2)/2)*$A17)/(W$1*SQRT($A17))),TRUE)),"")</f>
        <v/>
      </c>
      <c r="X17" t="str">
        <f>IFERROR(IF(OR(MonteCarlo!$B$4="C",MonteCarlo!$B$4="c"),MonteCarlo!$B$6*_xlfn.NORM.S.DIST((LN(MonteCarlo!$B$6/MonteCarlo!$B$5)+(MonteCarlo!$B$9+(X$1^2)/2)*$A17)/(X$1*SQRT($A17)),TRUE)-MonteCarlo!$B$5*EXP(-MonteCarlo!$B$9*$A17)*_xlfn.NORM.S.DIST(((LN(MonteCarlo!$B$6/MonteCarlo!$B$5)+(MonteCarlo!$B$9+(X$1^2)/2)*$A17)/(X$1*SQRT($A17)))-(X$1*SQRT($A17)),TRUE),MonteCarlo!$B$5*EXP(-MonteCarlo!$B$9*$A17)*_xlfn.NORM.S.DIST(-(((LN(MonteCarlo!$B$6/MonteCarlo!$B$5)+(MonteCarlo!$B$9+(X$1^2)/2)*$A17)/(X$1*SQRT($A17)))-(X$1*SQRT($A17))),TRUE)-MonteCarlo!$B$6*_xlfn.NORM.S.DIST(-((LN(MonteCarlo!$B$6/MonteCarlo!$B$5)+(MonteCarlo!$B$9+(X$1^2)/2)*$A17)/(X$1*SQRT($A17))),TRUE)),"")</f>
        <v/>
      </c>
      <c r="Y17" t="str">
        <f>IFERROR(IF(OR(MonteCarlo!$B$4="C",MonteCarlo!$B$4="c"),MonteCarlo!$B$6*_xlfn.NORM.S.DIST((LN(MonteCarlo!$B$6/MonteCarlo!$B$5)+(MonteCarlo!$B$9+(Y$1^2)/2)*$A17)/(Y$1*SQRT($A17)),TRUE)-MonteCarlo!$B$5*EXP(-MonteCarlo!$B$9*$A17)*_xlfn.NORM.S.DIST(((LN(MonteCarlo!$B$6/MonteCarlo!$B$5)+(MonteCarlo!$B$9+(Y$1^2)/2)*$A17)/(Y$1*SQRT($A17)))-(Y$1*SQRT($A17)),TRUE),MonteCarlo!$B$5*EXP(-MonteCarlo!$B$9*$A17)*_xlfn.NORM.S.DIST(-(((LN(MonteCarlo!$B$6/MonteCarlo!$B$5)+(MonteCarlo!$B$9+(Y$1^2)/2)*$A17)/(Y$1*SQRT($A17)))-(Y$1*SQRT($A17))),TRUE)-MonteCarlo!$B$6*_xlfn.NORM.S.DIST(-((LN(MonteCarlo!$B$6/MonteCarlo!$B$5)+(MonteCarlo!$B$9+(Y$1^2)/2)*$A17)/(Y$1*SQRT($A17))),TRUE)),"")</f>
        <v/>
      </c>
      <c r="Z17" t="str">
        <f>IFERROR(IF(OR(MonteCarlo!$B$4="C",MonteCarlo!$B$4="c"),MonteCarlo!$B$6*_xlfn.NORM.S.DIST((LN(MonteCarlo!$B$6/MonteCarlo!$B$5)+(MonteCarlo!$B$9+(Z$1^2)/2)*$A17)/(Z$1*SQRT($A17)),TRUE)-MonteCarlo!$B$5*EXP(-MonteCarlo!$B$9*$A17)*_xlfn.NORM.S.DIST(((LN(MonteCarlo!$B$6/MonteCarlo!$B$5)+(MonteCarlo!$B$9+(Z$1^2)/2)*$A17)/(Z$1*SQRT($A17)))-(Z$1*SQRT($A17)),TRUE),MonteCarlo!$B$5*EXP(-MonteCarlo!$B$9*$A17)*_xlfn.NORM.S.DIST(-(((LN(MonteCarlo!$B$6/MonteCarlo!$B$5)+(MonteCarlo!$B$9+(Z$1^2)/2)*$A17)/(Z$1*SQRT($A17)))-(Z$1*SQRT($A17))),TRUE)-MonteCarlo!$B$6*_xlfn.NORM.S.DIST(-((LN(MonteCarlo!$B$6/MonteCarlo!$B$5)+(MonteCarlo!$B$9+(Z$1^2)/2)*$A17)/(Z$1*SQRT($A17))),TRUE)),"")</f>
        <v/>
      </c>
      <c r="AA17" t="str">
        <f>IFERROR(IF(OR(MonteCarlo!$B$4="C",MonteCarlo!$B$4="c"),MonteCarlo!$B$6*_xlfn.NORM.S.DIST((LN(MonteCarlo!$B$6/MonteCarlo!$B$5)+(MonteCarlo!$B$9+(AA$1^2)/2)*$A17)/(AA$1*SQRT($A17)),TRUE)-MonteCarlo!$B$5*EXP(-MonteCarlo!$B$9*$A17)*_xlfn.NORM.S.DIST(((LN(MonteCarlo!$B$6/MonteCarlo!$B$5)+(MonteCarlo!$B$9+(AA$1^2)/2)*$A17)/(AA$1*SQRT($A17)))-(AA$1*SQRT($A17)),TRUE),MonteCarlo!$B$5*EXP(-MonteCarlo!$B$9*$A17)*_xlfn.NORM.S.DIST(-(((LN(MonteCarlo!$B$6/MonteCarlo!$B$5)+(MonteCarlo!$B$9+(AA$1^2)/2)*$A17)/(AA$1*SQRT($A17)))-(AA$1*SQRT($A17))),TRUE)-MonteCarlo!$B$6*_xlfn.NORM.S.DIST(-((LN(MonteCarlo!$B$6/MonteCarlo!$B$5)+(MonteCarlo!$B$9+(AA$1^2)/2)*$A17)/(AA$1*SQRT($A17))),TRUE)),"")</f>
        <v/>
      </c>
      <c r="AB17" t="str">
        <f>IFERROR(IF(OR(MonteCarlo!$B$4="C",MonteCarlo!$B$4="c"),MonteCarlo!$B$6*_xlfn.NORM.S.DIST((LN(MonteCarlo!$B$6/MonteCarlo!$B$5)+(MonteCarlo!$B$9+(AB$1^2)/2)*$A17)/(AB$1*SQRT($A17)),TRUE)-MonteCarlo!$B$5*EXP(-MonteCarlo!$B$9*$A17)*_xlfn.NORM.S.DIST(((LN(MonteCarlo!$B$6/MonteCarlo!$B$5)+(MonteCarlo!$B$9+(AB$1^2)/2)*$A17)/(AB$1*SQRT($A17)))-(AB$1*SQRT($A17)),TRUE),MonteCarlo!$B$5*EXP(-MonteCarlo!$B$9*$A17)*_xlfn.NORM.S.DIST(-(((LN(MonteCarlo!$B$6/MonteCarlo!$B$5)+(MonteCarlo!$B$9+(AB$1^2)/2)*$A17)/(AB$1*SQRT($A17)))-(AB$1*SQRT($A17))),TRUE)-MonteCarlo!$B$6*_xlfn.NORM.S.DIST(-((LN(MonteCarlo!$B$6/MonteCarlo!$B$5)+(MonteCarlo!$B$9+(AB$1^2)/2)*$A17)/(AB$1*SQRT($A17))),TRUE)),"")</f>
        <v/>
      </c>
      <c r="AC17" t="str">
        <f>IFERROR(IF(OR(MonteCarlo!$B$4="C",MonteCarlo!$B$4="c"),MonteCarlo!$B$6*_xlfn.NORM.S.DIST((LN(MonteCarlo!$B$6/MonteCarlo!$B$5)+(MonteCarlo!$B$9+(AC$1^2)/2)*$A17)/(AC$1*SQRT($A17)),TRUE)-MonteCarlo!$B$5*EXP(-MonteCarlo!$B$9*$A17)*_xlfn.NORM.S.DIST(((LN(MonteCarlo!$B$6/MonteCarlo!$B$5)+(MonteCarlo!$B$9+(AC$1^2)/2)*$A17)/(AC$1*SQRT($A17)))-(AC$1*SQRT($A17)),TRUE),MonteCarlo!$B$5*EXP(-MonteCarlo!$B$9*$A17)*_xlfn.NORM.S.DIST(-(((LN(MonteCarlo!$B$6/MonteCarlo!$B$5)+(MonteCarlo!$B$9+(AC$1^2)/2)*$A17)/(AC$1*SQRT($A17)))-(AC$1*SQRT($A17))),TRUE)-MonteCarlo!$B$6*_xlfn.NORM.S.DIST(-((LN(MonteCarlo!$B$6/MonteCarlo!$B$5)+(MonteCarlo!$B$9+(AC$1^2)/2)*$A17)/(AC$1*SQRT($A17))),TRUE)),"")</f>
        <v/>
      </c>
      <c r="AD17" t="str">
        <f>IFERROR(IF(OR(MonteCarlo!$B$4="C",MonteCarlo!$B$4="c"),MonteCarlo!$B$6*_xlfn.NORM.S.DIST((LN(MonteCarlo!$B$6/MonteCarlo!$B$5)+(MonteCarlo!$B$9+(AD$1^2)/2)*$A17)/(AD$1*SQRT($A17)),TRUE)-MonteCarlo!$B$5*EXP(-MonteCarlo!$B$9*$A17)*_xlfn.NORM.S.DIST(((LN(MonteCarlo!$B$6/MonteCarlo!$B$5)+(MonteCarlo!$B$9+(AD$1^2)/2)*$A17)/(AD$1*SQRT($A17)))-(AD$1*SQRT($A17)),TRUE),MonteCarlo!$B$5*EXP(-MonteCarlo!$B$9*$A17)*_xlfn.NORM.S.DIST(-(((LN(MonteCarlo!$B$6/MonteCarlo!$B$5)+(MonteCarlo!$B$9+(AD$1^2)/2)*$A17)/(AD$1*SQRT($A17)))-(AD$1*SQRT($A17))),TRUE)-MonteCarlo!$B$6*_xlfn.NORM.S.DIST(-((LN(MonteCarlo!$B$6/MonteCarlo!$B$5)+(MonteCarlo!$B$9+(AD$1^2)/2)*$A17)/(AD$1*SQRT($A17))),TRUE)),"")</f>
        <v/>
      </c>
      <c r="AE17" t="str">
        <f>IFERROR(IF(OR(MonteCarlo!$B$4="C",MonteCarlo!$B$4="c"),MonteCarlo!$B$6*_xlfn.NORM.S.DIST((LN(MonteCarlo!$B$6/MonteCarlo!$B$5)+(MonteCarlo!$B$9+(AE$1^2)/2)*$A17)/(AE$1*SQRT($A17)),TRUE)-MonteCarlo!$B$5*EXP(-MonteCarlo!$B$9*$A17)*_xlfn.NORM.S.DIST(((LN(MonteCarlo!$B$6/MonteCarlo!$B$5)+(MonteCarlo!$B$9+(AE$1^2)/2)*$A17)/(AE$1*SQRT($A17)))-(AE$1*SQRT($A17)),TRUE),MonteCarlo!$B$5*EXP(-MonteCarlo!$B$9*$A17)*_xlfn.NORM.S.DIST(-(((LN(MonteCarlo!$B$6/MonteCarlo!$B$5)+(MonteCarlo!$B$9+(AE$1^2)/2)*$A17)/(AE$1*SQRT($A17)))-(AE$1*SQRT($A17))),TRUE)-MonteCarlo!$B$6*_xlfn.NORM.S.DIST(-((LN(MonteCarlo!$B$6/MonteCarlo!$B$5)+(MonteCarlo!$B$9+(AE$1^2)/2)*$A17)/(AE$1*SQRT($A17))),TRUE)),"")</f>
        <v/>
      </c>
      <c r="AF17" t="str">
        <f>IFERROR(IF(OR(MonteCarlo!$B$4="C",MonteCarlo!$B$4="c"),MonteCarlo!$B$6*_xlfn.NORM.S.DIST((LN(MonteCarlo!$B$6/MonteCarlo!$B$5)+(MonteCarlo!$B$9+(AF$1^2)/2)*$A17)/(AF$1*SQRT($A17)),TRUE)-MonteCarlo!$B$5*EXP(-MonteCarlo!$B$9*$A17)*_xlfn.NORM.S.DIST(((LN(MonteCarlo!$B$6/MonteCarlo!$B$5)+(MonteCarlo!$B$9+(AF$1^2)/2)*$A17)/(AF$1*SQRT($A17)))-(AF$1*SQRT($A17)),TRUE),MonteCarlo!$B$5*EXP(-MonteCarlo!$B$9*$A17)*_xlfn.NORM.S.DIST(-(((LN(MonteCarlo!$B$6/MonteCarlo!$B$5)+(MonteCarlo!$B$9+(AF$1^2)/2)*$A17)/(AF$1*SQRT($A17)))-(AF$1*SQRT($A17))),TRUE)-MonteCarlo!$B$6*_xlfn.NORM.S.DIST(-((LN(MonteCarlo!$B$6/MonteCarlo!$B$5)+(MonteCarlo!$B$9+(AF$1^2)/2)*$A17)/(AF$1*SQRT($A17))),TRUE)),"")</f>
        <v/>
      </c>
    </row>
    <row r="18" spans="2:32" x14ac:dyDescent="0.25">
      <c r="B18" t="str">
        <f>IFERROR(IF(OR(MonteCarlo!$B$4="C",MonteCarlo!$B$4="c"),MonteCarlo!$B$6*_xlfn.NORM.S.DIST((LN(MonteCarlo!$B$6/MonteCarlo!$B$5)+(MonteCarlo!$B$9+(B$1^2)/2)*$A18)/(B$1*SQRT($A18)),TRUE)-MonteCarlo!$B$5*EXP(-MonteCarlo!$B$9*$A18)*_xlfn.NORM.S.DIST(((LN(MonteCarlo!$B$6/MonteCarlo!$B$5)+(MonteCarlo!$B$9+(B$1^2)/2)*$A18)/(B$1*SQRT($A18)))-(B$1*SQRT($A18)),TRUE),MonteCarlo!$B$5*EXP(-MonteCarlo!$B$9*$A18)*_xlfn.NORM.S.DIST(-(((LN(MonteCarlo!$B$6/MonteCarlo!$B$5)+(MonteCarlo!$B$9+(B$1^2)/2)*$A18)/(B$1*SQRT($A18)))-(B$1*SQRT($A18))),TRUE)-MonteCarlo!$B$6*_xlfn.NORM.S.DIST(-((LN(MonteCarlo!$B$6/MonteCarlo!$B$5)+(MonteCarlo!$B$9+(B$1^2)/2)*$A18)/(B$1*SQRT($A18))),TRUE)),"")</f>
        <v/>
      </c>
      <c r="C18" t="str">
        <f>IFERROR(IF(OR(MonteCarlo!$B$4="C",MonteCarlo!$B$4="c"),MonteCarlo!$B$6*_xlfn.NORM.S.DIST((LN(MonteCarlo!$B$6/MonteCarlo!$B$5)+(MonteCarlo!$B$9+(C$1^2)/2)*$A18)/(C$1*SQRT($A18)),TRUE)-MonteCarlo!$B$5*EXP(-MonteCarlo!$B$9*$A18)*_xlfn.NORM.S.DIST(((LN(MonteCarlo!$B$6/MonteCarlo!$B$5)+(MonteCarlo!$B$9+(C$1^2)/2)*$A18)/(C$1*SQRT($A18)))-(C$1*SQRT($A18)),TRUE),MonteCarlo!$B$5*EXP(-MonteCarlo!$B$9*$A18)*_xlfn.NORM.S.DIST(-(((LN(MonteCarlo!$B$6/MonteCarlo!$B$5)+(MonteCarlo!$B$9+(C$1^2)/2)*$A18)/(C$1*SQRT($A18)))-(C$1*SQRT($A18))),TRUE)-MonteCarlo!$B$6*_xlfn.NORM.S.DIST(-((LN(MonteCarlo!$B$6/MonteCarlo!$B$5)+(MonteCarlo!$B$9+(C$1^2)/2)*$A18)/(C$1*SQRT($A18))),TRUE)),"")</f>
        <v/>
      </c>
      <c r="D18" t="str">
        <f>IFERROR(IF(OR(MonteCarlo!$B$4="C",MonteCarlo!$B$4="c"),MonteCarlo!$B$6*_xlfn.NORM.S.DIST((LN(MonteCarlo!$B$6/MonteCarlo!$B$5)+(MonteCarlo!$B$9+(D$1^2)/2)*$A18)/(D$1*SQRT($A18)),TRUE)-MonteCarlo!$B$5*EXP(-MonteCarlo!$B$9*$A18)*_xlfn.NORM.S.DIST(((LN(MonteCarlo!$B$6/MonteCarlo!$B$5)+(MonteCarlo!$B$9+(D$1^2)/2)*$A18)/(D$1*SQRT($A18)))-(D$1*SQRT($A18)),TRUE),MonteCarlo!$B$5*EXP(-MonteCarlo!$B$9*$A18)*_xlfn.NORM.S.DIST(-(((LN(MonteCarlo!$B$6/MonteCarlo!$B$5)+(MonteCarlo!$B$9+(D$1^2)/2)*$A18)/(D$1*SQRT($A18)))-(D$1*SQRT($A18))),TRUE)-MonteCarlo!$B$6*_xlfn.NORM.S.DIST(-((LN(MonteCarlo!$B$6/MonteCarlo!$B$5)+(MonteCarlo!$B$9+(D$1^2)/2)*$A18)/(D$1*SQRT($A18))),TRUE)),"")</f>
        <v/>
      </c>
      <c r="E18" t="str">
        <f>IFERROR(IF(OR(MonteCarlo!$B$4="C",MonteCarlo!$B$4="c"),MonteCarlo!$B$6*_xlfn.NORM.S.DIST((LN(MonteCarlo!$B$6/MonteCarlo!$B$5)+(MonteCarlo!$B$9+(E$1^2)/2)*$A18)/(E$1*SQRT($A18)),TRUE)-MonteCarlo!$B$5*EXP(-MonteCarlo!$B$9*$A18)*_xlfn.NORM.S.DIST(((LN(MonteCarlo!$B$6/MonteCarlo!$B$5)+(MonteCarlo!$B$9+(E$1^2)/2)*$A18)/(E$1*SQRT($A18)))-(E$1*SQRT($A18)),TRUE),MonteCarlo!$B$5*EXP(-MonteCarlo!$B$9*$A18)*_xlfn.NORM.S.DIST(-(((LN(MonteCarlo!$B$6/MonteCarlo!$B$5)+(MonteCarlo!$B$9+(E$1^2)/2)*$A18)/(E$1*SQRT($A18)))-(E$1*SQRT($A18))),TRUE)-MonteCarlo!$B$6*_xlfn.NORM.S.DIST(-((LN(MonteCarlo!$B$6/MonteCarlo!$B$5)+(MonteCarlo!$B$9+(E$1^2)/2)*$A18)/(E$1*SQRT($A18))),TRUE)),"")</f>
        <v/>
      </c>
      <c r="F18" t="str">
        <f>IFERROR(IF(OR(MonteCarlo!$B$4="C",MonteCarlo!$B$4="c"),MonteCarlo!$B$6*_xlfn.NORM.S.DIST((LN(MonteCarlo!$B$6/MonteCarlo!$B$5)+(MonteCarlo!$B$9+(F$1^2)/2)*$A18)/(F$1*SQRT($A18)),TRUE)-MonteCarlo!$B$5*EXP(-MonteCarlo!$B$9*$A18)*_xlfn.NORM.S.DIST(((LN(MonteCarlo!$B$6/MonteCarlo!$B$5)+(MonteCarlo!$B$9+(F$1^2)/2)*$A18)/(F$1*SQRT($A18)))-(F$1*SQRT($A18)),TRUE),MonteCarlo!$B$5*EXP(-MonteCarlo!$B$9*$A18)*_xlfn.NORM.S.DIST(-(((LN(MonteCarlo!$B$6/MonteCarlo!$B$5)+(MonteCarlo!$B$9+(F$1^2)/2)*$A18)/(F$1*SQRT($A18)))-(F$1*SQRT($A18))),TRUE)-MonteCarlo!$B$6*_xlfn.NORM.S.DIST(-((LN(MonteCarlo!$B$6/MonteCarlo!$B$5)+(MonteCarlo!$B$9+(F$1^2)/2)*$A18)/(F$1*SQRT($A18))),TRUE)),"")</f>
        <v/>
      </c>
      <c r="G18" t="str">
        <f>IFERROR(IF(OR(MonteCarlo!$B$4="C",MonteCarlo!$B$4="c"),MonteCarlo!$B$6*_xlfn.NORM.S.DIST((LN(MonteCarlo!$B$6/MonteCarlo!$B$5)+(MonteCarlo!$B$9+(G$1^2)/2)*$A18)/(G$1*SQRT($A18)),TRUE)-MonteCarlo!$B$5*EXP(-MonteCarlo!$B$9*$A18)*_xlfn.NORM.S.DIST(((LN(MonteCarlo!$B$6/MonteCarlo!$B$5)+(MonteCarlo!$B$9+(G$1^2)/2)*$A18)/(G$1*SQRT($A18)))-(G$1*SQRT($A18)),TRUE),MonteCarlo!$B$5*EXP(-MonteCarlo!$B$9*$A18)*_xlfn.NORM.S.DIST(-(((LN(MonteCarlo!$B$6/MonteCarlo!$B$5)+(MonteCarlo!$B$9+(G$1^2)/2)*$A18)/(G$1*SQRT($A18)))-(G$1*SQRT($A18))),TRUE)-MonteCarlo!$B$6*_xlfn.NORM.S.DIST(-((LN(MonteCarlo!$B$6/MonteCarlo!$B$5)+(MonteCarlo!$B$9+(G$1^2)/2)*$A18)/(G$1*SQRT($A18))),TRUE)),"")</f>
        <v/>
      </c>
      <c r="H18" t="str">
        <f>IFERROR(IF(OR(MonteCarlo!$B$4="C",MonteCarlo!$B$4="c"),MonteCarlo!$B$6*_xlfn.NORM.S.DIST((LN(MonteCarlo!$B$6/MonteCarlo!$B$5)+(MonteCarlo!$B$9+(H$1^2)/2)*$A18)/(H$1*SQRT($A18)),TRUE)-MonteCarlo!$B$5*EXP(-MonteCarlo!$B$9*$A18)*_xlfn.NORM.S.DIST(((LN(MonteCarlo!$B$6/MonteCarlo!$B$5)+(MonteCarlo!$B$9+(H$1^2)/2)*$A18)/(H$1*SQRT($A18)))-(H$1*SQRT($A18)),TRUE),MonteCarlo!$B$5*EXP(-MonteCarlo!$B$9*$A18)*_xlfn.NORM.S.DIST(-(((LN(MonteCarlo!$B$6/MonteCarlo!$B$5)+(MonteCarlo!$B$9+(H$1^2)/2)*$A18)/(H$1*SQRT($A18)))-(H$1*SQRT($A18))),TRUE)-MonteCarlo!$B$6*_xlfn.NORM.S.DIST(-((LN(MonteCarlo!$B$6/MonteCarlo!$B$5)+(MonteCarlo!$B$9+(H$1^2)/2)*$A18)/(H$1*SQRT($A18))),TRUE)),"")</f>
        <v/>
      </c>
      <c r="I18" t="str">
        <f>IFERROR(IF(OR(MonteCarlo!$B$4="C",MonteCarlo!$B$4="c"),MonteCarlo!$B$6*_xlfn.NORM.S.DIST((LN(MonteCarlo!$B$6/MonteCarlo!$B$5)+(MonteCarlo!$B$9+(I$1^2)/2)*$A18)/(I$1*SQRT($A18)),TRUE)-MonteCarlo!$B$5*EXP(-MonteCarlo!$B$9*$A18)*_xlfn.NORM.S.DIST(((LN(MonteCarlo!$B$6/MonteCarlo!$B$5)+(MonteCarlo!$B$9+(I$1^2)/2)*$A18)/(I$1*SQRT($A18)))-(I$1*SQRT($A18)),TRUE),MonteCarlo!$B$5*EXP(-MonteCarlo!$B$9*$A18)*_xlfn.NORM.S.DIST(-(((LN(MonteCarlo!$B$6/MonteCarlo!$B$5)+(MonteCarlo!$B$9+(I$1^2)/2)*$A18)/(I$1*SQRT($A18)))-(I$1*SQRT($A18))),TRUE)-MonteCarlo!$B$6*_xlfn.NORM.S.DIST(-((LN(MonteCarlo!$B$6/MonteCarlo!$B$5)+(MonteCarlo!$B$9+(I$1^2)/2)*$A18)/(I$1*SQRT($A18))),TRUE)),"")</f>
        <v/>
      </c>
      <c r="J18" t="str">
        <f>IFERROR(IF(OR(MonteCarlo!$B$4="C",MonteCarlo!$B$4="c"),MonteCarlo!$B$6*_xlfn.NORM.S.DIST((LN(MonteCarlo!$B$6/MonteCarlo!$B$5)+(MonteCarlo!$B$9+(J$1^2)/2)*$A18)/(J$1*SQRT($A18)),TRUE)-MonteCarlo!$B$5*EXP(-MonteCarlo!$B$9*$A18)*_xlfn.NORM.S.DIST(((LN(MonteCarlo!$B$6/MonteCarlo!$B$5)+(MonteCarlo!$B$9+(J$1^2)/2)*$A18)/(J$1*SQRT($A18)))-(J$1*SQRT($A18)),TRUE),MonteCarlo!$B$5*EXP(-MonteCarlo!$B$9*$A18)*_xlfn.NORM.S.DIST(-(((LN(MonteCarlo!$B$6/MonteCarlo!$B$5)+(MonteCarlo!$B$9+(J$1^2)/2)*$A18)/(J$1*SQRT($A18)))-(J$1*SQRT($A18))),TRUE)-MonteCarlo!$B$6*_xlfn.NORM.S.DIST(-((LN(MonteCarlo!$B$6/MonteCarlo!$B$5)+(MonteCarlo!$B$9+(J$1^2)/2)*$A18)/(J$1*SQRT($A18))),TRUE)),"")</f>
        <v/>
      </c>
      <c r="K18" t="str">
        <f>IFERROR(IF(OR(MonteCarlo!$B$4="C",MonteCarlo!$B$4="c"),MonteCarlo!$B$6*_xlfn.NORM.S.DIST((LN(MonteCarlo!$B$6/MonteCarlo!$B$5)+(MonteCarlo!$B$9+(K$1^2)/2)*$A18)/(K$1*SQRT($A18)),TRUE)-MonteCarlo!$B$5*EXP(-MonteCarlo!$B$9*$A18)*_xlfn.NORM.S.DIST(((LN(MonteCarlo!$B$6/MonteCarlo!$B$5)+(MonteCarlo!$B$9+(K$1^2)/2)*$A18)/(K$1*SQRT($A18)))-(K$1*SQRT($A18)),TRUE),MonteCarlo!$B$5*EXP(-MonteCarlo!$B$9*$A18)*_xlfn.NORM.S.DIST(-(((LN(MonteCarlo!$B$6/MonteCarlo!$B$5)+(MonteCarlo!$B$9+(K$1^2)/2)*$A18)/(K$1*SQRT($A18)))-(K$1*SQRT($A18))),TRUE)-MonteCarlo!$B$6*_xlfn.NORM.S.DIST(-((LN(MonteCarlo!$B$6/MonteCarlo!$B$5)+(MonteCarlo!$B$9+(K$1^2)/2)*$A18)/(K$1*SQRT($A18))),TRUE)),"")</f>
        <v/>
      </c>
      <c r="L18" t="str">
        <f>IFERROR(IF(OR(MonteCarlo!$B$4="C",MonteCarlo!$B$4="c"),MonteCarlo!$B$6*_xlfn.NORM.S.DIST((LN(MonteCarlo!$B$6/MonteCarlo!$B$5)+(MonteCarlo!$B$9+(L$1^2)/2)*$A18)/(L$1*SQRT($A18)),TRUE)-MonteCarlo!$B$5*EXP(-MonteCarlo!$B$9*$A18)*_xlfn.NORM.S.DIST(((LN(MonteCarlo!$B$6/MonteCarlo!$B$5)+(MonteCarlo!$B$9+(L$1^2)/2)*$A18)/(L$1*SQRT($A18)))-(L$1*SQRT($A18)),TRUE),MonteCarlo!$B$5*EXP(-MonteCarlo!$B$9*$A18)*_xlfn.NORM.S.DIST(-(((LN(MonteCarlo!$B$6/MonteCarlo!$B$5)+(MonteCarlo!$B$9+(L$1^2)/2)*$A18)/(L$1*SQRT($A18)))-(L$1*SQRT($A18))),TRUE)-MonteCarlo!$B$6*_xlfn.NORM.S.DIST(-((LN(MonteCarlo!$B$6/MonteCarlo!$B$5)+(MonteCarlo!$B$9+(L$1^2)/2)*$A18)/(L$1*SQRT($A18))),TRUE)),"")</f>
        <v/>
      </c>
      <c r="M18" t="str">
        <f>IFERROR(IF(OR(MonteCarlo!$B$4="C",MonteCarlo!$B$4="c"),MonteCarlo!$B$6*_xlfn.NORM.S.DIST((LN(MonteCarlo!$B$6/MonteCarlo!$B$5)+(MonteCarlo!$B$9+(M$1^2)/2)*$A18)/(M$1*SQRT($A18)),TRUE)-MonteCarlo!$B$5*EXP(-MonteCarlo!$B$9*$A18)*_xlfn.NORM.S.DIST(((LN(MonteCarlo!$B$6/MonteCarlo!$B$5)+(MonteCarlo!$B$9+(M$1^2)/2)*$A18)/(M$1*SQRT($A18)))-(M$1*SQRT($A18)),TRUE),MonteCarlo!$B$5*EXP(-MonteCarlo!$B$9*$A18)*_xlfn.NORM.S.DIST(-(((LN(MonteCarlo!$B$6/MonteCarlo!$B$5)+(MonteCarlo!$B$9+(M$1^2)/2)*$A18)/(M$1*SQRT($A18)))-(M$1*SQRT($A18))),TRUE)-MonteCarlo!$B$6*_xlfn.NORM.S.DIST(-((LN(MonteCarlo!$B$6/MonteCarlo!$B$5)+(MonteCarlo!$B$9+(M$1^2)/2)*$A18)/(M$1*SQRT($A18))),TRUE)),"")</f>
        <v/>
      </c>
      <c r="N18" t="str">
        <f>IFERROR(IF(OR(MonteCarlo!$B$4="C",MonteCarlo!$B$4="c"),MonteCarlo!$B$6*_xlfn.NORM.S.DIST((LN(MonteCarlo!$B$6/MonteCarlo!$B$5)+(MonteCarlo!$B$9+(N$1^2)/2)*$A18)/(N$1*SQRT($A18)),TRUE)-MonteCarlo!$B$5*EXP(-MonteCarlo!$B$9*$A18)*_xlfn.NORM.S.DIST(((LN(MonteCarlo!$B$6/MonteCarlo!$B$5)+(MonteCarlo!$B$9+(N$1^2)/2)*$A18)/(N$1*SQRT($A18)))-(N$1*SQRT($A18)),TRUE),MonteCarlo!$B$5*EXP(-MonteCarlo!$B$9*$A18)*_xlfn.NORM.S.DIST(-(((LN(MonteCarlo!$B$6/MonteCarlo!$B$5)+(MonteCarlo!$B$9+(N$1^2)/2)*$A18)/(N$1*SQRT($A18)))-(N$1*SQRT($A18))),TRUE)-MonteCarlo!$B$6*_xlfn.NORM.S.DIST(-((LN(MonteCarlo!$B$6/MonteCarlo!$B$5)+(MonteCarlo!$B$9+(N$1^2)/2)*$A18)/(N$1*SQRT($A18))),TRUE)),"")</f>
        <v/>
      </c>
      <c r="O18" t="str">
        <f>IFERROR(IF(OR(MonteCarlo!$B$4="C",MonteCarlo!$B$4="c"),MonteCarlo!$B$6*_xlfn.NORM.S.DIST((LN(MonteCarlo!$B$6/MonteCarlo!$B$5)+(MonteCarlo!$B$9+(O$1^2)/2)*$A18)/(O$1*SQRT($A18)),TRUE)-MonteCarlo!$B$5*EXP(-MonteCarlo!$B$9*$A18)*_xlfn.NORM.S.DIST(((LN(MonteCarlo!$B$6/MonteCarlo!$B$5)+(MonteCarlo!$B$9+(O$1^2)/2)*$A18)/(O$1*SQRT($A18)))-(O$1*SQRT($A18)),TRUE),MonteCarlo!$B$5*EXP(-MonteCarlo!$B$9*$A18)*_xlfn.NORM.S.DIST(-(((LN(MonteCarlo!$B$6/MonteCarlo!$B$5)+(MonteCarlo!$B$9+(O$1^2)/2)*$A18)/(O$1*SQRT($A18)))-(O$1*SQRT($A18))),TRUE)-MonteCarlo!$B$6*_xlfn.NORM.S.DIST(-((LN(MonteCarlo!$B$6/MonteCarlo!$B$5)+(MonteCarlo!$B$9+(O$1^2)/2)*$A18)/(O$1*SQRT($A18))),TRUE)),"")</f>
        <v/>
      </c>
      <c r="P18" t="str">
        <f>IFERROR(IF(OR(MonteCarlo!$B$4="C",MonteCarlo!$B$4="c"),MonteCarlo!$B$6*_xlfn.NORM.S.DIST((LN(MonteCarlo!$B$6/MonteCarlo!$B$5)+(MonteCarlo!$B$9+(P$1^2)/2)*$A18)/(P$1*SQRT($A18)),TRUE)-MonteCarlo!$B$5*EXP(-MonteCarlo!$B$9*$A18)*_xlfn.NORM.S.DIST(((LN(MonteCarlo!$B$6/MonteCarlo!$B$5)+(MonteCarlo!$B$9+(P$1^2)/2)*$A18)/(P$1*SQRT($A18)))-(P$1*SQRT($A18)),TRUE),MonteCarlo!$B$5*EXP(-MonteCarlo!$B$9*$A18)*_xlfn.NORM.S.DIST(-(((LN(MonteCarlo!$B$6/MonteCarlo!$B$5)+(MonteCarlo!$B$9+(P$1^2)/2)*$A18)/(P$1*SQRT($A18)))-(P$1*SQRT($A18))),TRUE)-MonteCarlo!$B$6*_xlfn.NORM.S.DIST(-((LN(MonteCarlo!$B$6/MonteCarlo!$B$5)+(MonteCarlo!$B$9+(P$1^2)/2)*$A18)/(P$1*SQRT($A18))),TRUE)),"")</f>
        <v/>
      </c>
      <c r="Q18" t="str">
        <f>IFERROR(IF(OR(MonteCarlo!$B$4="C",MonteCarlo!$B$4="c"),MonteCarlo!$B$6*_xlfn.NORM.S.DIST((LN(MonteCarlo!$B$6/MonteCarlo!$B$5)+(MonteCarlo!$B$9+(Q$1^2)/2)*$A18)/(Q$1*SQRT($A18)),TRUE)-MonteCarlo!$B$5*EXP(-MonteCarlo!$B$9*$A18)*_xlfn.NORM.S.DIST(((LN(MonteCarlo!$B$6/MonteCarlo!$B$5)+(MonteCarlo!$B$9+(Q$1^2)/2)*$A18)/(Q$1*SQRT($A18)))-(Q$1*SQRT($A18)),TRUE),MonteCarlo!$B$5*EXP(-MonteCarlo!$B$9*$A18)*_xlfn.NORM.S.DIST(-(((LN(MonteCarlo!$B$6/MonteCarlo!$B$5)+(MonteCarlo!$B$9+(Q$1^2)/2)*$A18)/(Q$1*SQRT($A18)))-(Q$1*SQRT($A18))),TRUE)-MonteCarlo!$B$6*_xlfn.NORM.S.DIST(-((LN(MonteCarlo!$B$6/MonteCarlo!$B$5)+(MonteCarlo!$B$9+(Q$1^2)/2)*$A18)/(Q$1*SQRT($A18))),TRUE)),"")</f>
        <v/>
      </c>
      <c r="R18" t="str">
        <f>IFERROR(IF(OR(MonteCarlo!$B$4="C",MonteCarlo!$B$4="c"),MonteCarlo!$B$6*_xlfn.NORM.S.DIST((LN(MonteCarlo!$B$6/MonteCarlo!$B$5)+(MonteCarlo!$B$9+(R$1^2)/2)*$A18)/(R$1*SQRT($A18)),TRUE)-MonteCarlo!$B$5*EXP(-MonteCarlo!$B$9*$A18)*_xlfn.NORM.S.DIST(((LN(MonteCarlo!$B$6/MonteCarlo!$B$5)+(MonteCarlo!$B$9+(R$1^2)/2)*$A18)/(R$1*SQRT($A18)))-(R$1*SQRT($A18)),TRUE),MonteCarlo!$B$5*EXP(-MonteCarlo!$B$9*$A18)*_xlfn.NORM.S.DIST(-(((LN(MonteCarlo!$B$6/MonteCarlo!$B$5)+(MonteCarlo!$B$9+(R$1^2)/2)*$A18)/(R$1*SQRT($A18)))-(R$1*SQRT($A18))),TRUE)-MonteCarlo!$B$6*_xlfn.NORM.S.DIST(-((LN(MonteCarlo!$B$6/MonteCarlo!$B$5)+(MonteCarlo!$B$9+(R$1^2)/2)*$A18)/(R$1*SQRT($A18))),TRUE)),"")</f>
        <v/>
      </c>
      <c r="S18" t="str">
        <f>IFERROR(IF(OR(MonteCarlo!$B$4="C",MonteCarlo!$B$4="c"),MonteCarlo!$B$6*_xlfn.NORM.S.DIST((LN(MonteCarlo!$B$6/MonteCarlo!$B$5)+(MonteCarlo!$B$9+(S$1^2)/2)*$A18)/(S$1*SQRT($A18)),TRUE)-MonteCarlo!$B$5*EXP(-MonteCarlo!$B$9*$A18)*_xlfn.NORM.S.DIST(((LN(MonteCarlo!$B$6/MonteCarlo!$B$5)+(MonteCarlo!$B$9+(S$1^2)/2)*$A18)/(S$1*SQRT($A18)))-(S$1*SQRT($A18)),TRUE),MonteCarlo!$B$5*EXP(-MonteCarlo!$B$9*$A18)*_xlfn.NORM.S.DIST(-(((LN(MonteCarlo!$B$6/MonteCarlo!$B$5)+(MonteCarlo!$B$9+(S$1^2)/2)*$A18)/(S$1*SQRT($A18)))-(S$1*SQRT($A18))),TRUE)-MonteCarlo!$B$6*_xlfn.NORM.S.DIST(-((LN(MonteCarlo!$B$6/MonteCarlo!$B$5)+(MonteCarlo!$B$9+(S$1^2)/2)*$A18)/(S$1*SQRT($A18))),TRUE)),"")</f>
        <v/>
      </c>
      <c r="T18" t="str">
        <f>IFERROR(IF(OR(MonteCarlo!$B$4="C",MonteCarlo!$B$4="c"),MonteCarlo!$B$6*_xlfn.NORM.S.DIST((LN(MonteCarlo!$B$6/MonteCarlo!$B$5)+(MonteCarlo!$B$9+(T$1^2)/2)*$A18)/(T$1*SQRT($A18)),TRUE)-MonteCarlo!$B$5*EXP(-MonteCarlo!$B$9*$A18)*_xlfn.NORM.S.DIST(((LN(MonteCarlo!$B$6/MonteCarlo!$B$5)+(MonteCarlo!$B$9+(T$1^2)/2)*$A18)/(T$1*SQRT($A18)))-(T$1*SQRT($A18)),TRUE),MonteCarlo!$B$5*EXP(-MonteCarlo!$B$9*$A18)*_xlfn.NORM.S.DIST(-(((LN(MonteCarlo!$B$6/MonteCarlo!$B$5)+(MonteCarlo!$B$9+(T$1^2)/2)*$A18)/(T$1*SQRT($A18)))-(T$1*SQRT($A18))),TRUE)-MonteCarlo!$B$6*_xlfn.NORM.S.DIST(-((LN(MonteCarlo!$B$6/MonteCarlo!$B$5)+(MonteCarlo!$B$9+(T$1^2)/2)*$A18)/(T$1*SQRT($A18))),TRUE)),"")</f>
        <v/>
      </c>
      <c r="U18" t="str">
        <f>IFERROR(IF(OR(MonteCarlo!$B$4="C",MonteCarlo!$B$4="c"),MonteCarlo!$B$6*_xlfn.NORM.S.DIST((LN(MonteCarlo!$B$6/MonteCarlo!$B$5)+(MonteCarlo!$B$9+(U$1^2)/2)*$A18)/(U$1*SQRT($A18)),TRUE)-MonteCarlo!$B$5*EXP(-MonteCarlo!$B$9*$A18)*_xlfn.NORM.S.DIST(((LN(MonteCarlo!$B$6/MonteCarlo!$B$5)+(MonteCarlo!$B$9+(U$1^2)/2)*$A18)/(U$1*SQRT($A18)))-(U$1*SQRT($A18)),TRUE),MonteCarlo!$B$5*EXP(-MonteCarlo!$B$9*$A18)*_xlfn.NORM.S.DIST(-(((LN(MonteCarlo!$B$6/MonteCarlo!$B$5)+(MonteCarlo!$B$9+(U$1^2)/2)*$A18)/(U$1*SQRT($A18)))-(U$1*SQRT($A18))),TRUE)-MonteCarlo!$B$6*_xlfn.NORM.S.DIST(-((LN(MonteCarlo!$B$6/MonteCarlo!$B$5)+(MonteCarlo!$B$9+(U$1^2)/2)*$A18)/(U$1*SQRT($A18))),TRUE)),"")</f>
        <v/>
      </c>
      <c r="V18" t="str">
        <f>IFERROR(IF(OR(MonteCarlo!$B$4="C",MonteCarlo!$B$4="c"),MonteCarlo!$B$6*_xlfn.NORM.S.DIST((LN(MonteCarlo!$B$6/MonteCarlo!$B$5)+(MonteCarlo!$B$9+(V$1^2)/2)*$A18)/(V$1*SQRT($A18)),TRUE)-MonteCarlo!$B$5*EXP(-MonteCarlo!$B$9*$A18)*_xlfn.NORM.S.DIST(((LN(MonteCarlo!$B$6/MonteCarlo!$B$5)+(MonteCarlo!$B$9+(V$1^2)/2)*$A18)/(V$1*SQRT($A18)))-(V$1*SQRT($A18)),TRUE),MonteCarlo!$B$5*EXP(-MonteCarlo!$B$9*$A18)*_xlfn.NORM.S.DIST(-(((LN(MonteCarlo!$B$6/MonteCarlo!$B$5)+(MonteCarlo!$B$9+(V$1^2)/2)*$A18)/(V$1*SQRT($A18)))-(V$1*SQRT($A18))),TRUE)-MonteCarlo!$B$6*_xlfn.NORM.S.DIST(-((LN(MonteCarlo!$B$6/MonteCarlo!$B$5)+(MonteCarlo!$B$9+(V$1^2)/2)*$A18)/(V$1*SQRT($A18))),TRUE)),"")</f>
        <v/>
      </c>
      <c r="W18" t="str">
        <f>IFERROR(IF(OR(MonteCarlo!$B$4="C",MonteCarlo!$B$4="c"),MonteCarlo!$B$6*_xlfn.NORM.S.DIST((LN(MonteCarlo!$B$6/MonteCarlo!$B$5)+(MonteCarlo!$B$9+(W$1^2)/2)*$A18)/(W$1*SQRT($A18)),TRUE)-MonteCarlo!$B$5*EXP(-MonteCarlo!$B$9*$A18)*_xlfn.NORM.S.DIST(((LN(MonteCarlo!$B$6/MonteCarlo!$B$5)+(MonteCarlo!$B$9+(W$1^2)/2)*$A18)/(W$1*SQRT($A18)))-(W$1*SQRT($A18)),TRUE),MonteCarlo!$B$5*EXP(-MonteCarlo!$B$9*$A18)*_xlfn.NORM.S.DIST(-(((LN(MonteCarlo!$B$6/MonteCarlo!$B$5)+(MonteCarlo!$B$9+(W$1^2)/2)*$A18)/(W$1*SQRT($A18)))-(W$1*SQRT($A18))),TRUE)-MonteCarlo!$B$6*_xlfn.NORM.S.DIST(-((LN(MonteCarlo!$B$6/MonteCarlo!$B$5)+(MonteCarlo!$B$9+(W$1^2)/2)*$A18)/(W$1*SQRT($A18))),TRUE)),"")</f>
        <v/>
      </c>
      <c r="X18" t="str">
        <f>IFERROR(IF(OR(MonteCarlo!$B$4="C",MonteCarlo!$B$4="c"),MonteCarlo!$B$6*_xlfn.NORM.S.DIST((LN(MonteCarlo!$B$6/MonteCarlo!$B$5)+(MonteCarlo!$B$9+(X$1^2)/2)*$A18)/(X$1*SQRT($A18)),TRUE)-MonteCarlo!$B$5*EXP(-MonteCarlo!$B$9*$A18)*_xlfn.NORM.S.DIST(((LN(MonteCarlo!$B$6/MonteCarlo!$B$5)+(MonteCarlo!$B$9+(X$1^2)/2)*$A18)/(X$1*SQRT($A18)))-(X$1*SQRT($A18)),TRUE),MonteCarlo!$B$5*EXP(-MonteCarlo!$B$9*$A18)*_xlfn.NORM.S.DIST(-(((LN(MonteCarlo!$B$6/MonteCarlo!$B$5)+(MonteCarlo!$B$9+(X$1^2)/2)*$A18)/(X$1*SQRT($A18)))-(X$1*SQRT($A18))),TRUE)-MonteCarlo!$B$6*_xlfn.NORM.S.DIST(-((LN(MonteCarlo!$B$6/MonteCarlo!$B$5)+(MonteCarlo!$B$9+(X$1^2)/2)*$A18)/(X$1*SQRT($A18))),TRUE)),"")</f>
        <v/>
      </c>
      <c r="Y18" t="str">
        <f>IFERROR(IF(OR(MonteCarlo!$B$4="C",MonteCarlo!$B$4="c"),MonteCarlo!$B$6*_xlfn.NORM.S.DIST((LN(MonteCarlo!$B$6/MonteCarlo!$B$5)+(MonteCarlo!$B$9+(Y$1^2)/2)*$A18)/(Y$1*SQRT($A18)),TRUE)-MonteCarlo!$B$5*EXP(-MonteCarlo!$B$9*$A18)*_xlfn.NORM.S.DIST(((LN(MonteCarlo!$B$6/MonteCarlo!$B$5)+(MonteCarlo!$B$9+(Y$1^2)/2)*$A18)/(Y$1*SQRT($A18)))-(Y$1*SQRT($A18)),TRUE),MonteCarlo!$B$5*EXP(-MonteCarlo!$B$9*$A18)*_xlfn.NORM.S.DIST(-(((LN(MonteCarlo!$B$6/MonteCarlo!$B$5)+(MonteCarlo!$B$9+(Y$1^2)/2)*$A18)/(Y$1*SQRT($A18)))-(Y$1*SQRT($A18))),TRUE)-MonteCarlo!$B$6*_xlfn.NORM.S.DIST(-((LN(MonteCarlo!$B$6/MonteCarlo!$B$5)+(MonteCarlo!$B$9+(Y$1^2)/2)*$A18)/(Y$1*SQRT($A18))),TRUE)),"")</f>
        <v/>
      </c>
      <c r="Z18" t="str">
        <f>IFERROR(IF(OR(MonteCarlo!$B$4="C",MonteCarlo!$B$4="c"),MonteCarlo!$B$6*_xlfn.NORM.S.DIST((LN(MonteCarlo!$B$6/MonteCarlo!$B$5)+(MonteCarlo!$B$9+(Z$1^2)/2)*$A18)/(Z$1*SQRT($A18)),TRUE)-MonteCarlo!$B$5*EXP(-MonteCarlo!$B$9*$A18)*_xlfn.NORM.S.DIST(((LN(MonteCarlo!$B$6/MonteCarlo!$B$5)+(MonteCarlo!$B$9+(Z$1^2)/2)*$A18)/(Z$1*SQRT($A18)))-(Z$1*SQRT($A18)),TRUE),MonteCarlo!$B$5*EXP(-MonteCarlo!$B$9*$A18)*_xlfn.NORM.S.DIST(-(((LN(MonteCarlo!$B$6/MonteCarlo!$B$5)+(MonteCarlo!$B$9+(Z$1^2)/2)*$A18)/(Z$1*SQRT($A18)))-(Z$1*SQRT($A18))),TRUE)-MonteCarlo!$B$6*_xlfn.NORM.S.DIST(-((LN(MonteCarlo!$B$6/MonteCarlo!$B$5)+(MonteCarlo!$B$9+(Z$1^2)/2)*$A18)/(Z$1*SQRT($A18))),TRUE)),"")</f>
        <v/>
      </c>
      <c r="AA18" t="str">
        <f>IFERROR(IF(OR(MonteCarlo!$B$4="C",MonteCarlo!$B$4="c"),MonteCarlo!$B$6*_xlfn.NORM.S.DIST((LN(MonteCarlo!$B$6/MonteCarlo!$B$5)+(MonteCarlo!$B$9+(AA$1^2)/2)*$A18)/(AA$1*SQRT($A18)),TRUE)-MonteCarlo!$B$5*EXP(-MonteCarlo!$B$9*$A18)*_xlfn.NORM.S.DIST(((LN(MonteCarlo!$B$6/MonteCarlo!$B$5)+(MonteCarlo!$B$9+(AA$1^2)/2)*$A18)/(AA$1*SQRT($A18)))-(AA$1*SQRT($A18)),TRUE),MonteCarlo!$B$5*EXP(-MonteCarlo!$B$9*$A18)*_xlfn.NORM.S.DIST(-(((LN(MonteCarlo!$B$6/MonteCarlo!$B$5)+(MonteCarlo!$B$9+(AA$1^2)/2)*$A18)/(AA$1*SQRT($A18)))-(AA$1*SQRT($A18))),TRUE)-MonteCarlo!$B$6*_xlfn.NORM.S.DIST(-((LN(MonteCarlo!$B$6/MonteCarlo!$B$5)+(MonteCarlo!$B$9+(AA$1^2)/2)*$A18)/(AA$1*SQRT($A18))),TRUE)),"")</f>
        <v/>
      </c>
      <c r="AB18" t="str">
        <f>IFERROR(IF(OR(MonteCarlo!$B$4="C",MonteCarlo!$B$4="c"),MonteCarlo!$B$6*_xlfn.NORM.S.DIST((LN(MonteCarlo!$B$6/MonteCarlo!$B$5)+(MonteCarlo!$B$9+(AB$1^2)/2)*$A18)/(AB$1*SQRT($A18)),TRUE)-MonteCarlo!$B$5*EXP(-MonteCarlo!$B$9*$A18)*_xlfn.NORM.S.DIST(((LN(MonteCarlo!$B$6/MonteCarlo!$B$5)+(MonteCarlo!$B$9+(AB$1^2)/2)*$A18)/(AB$1*SQRT($A18)))-(AB$1*SQRT($A18)),TRUE),MonteCarlo!$B$5*EXP(-MonteCarlo!$B$9*$A18)*_xlfn.NORM.S.DIST(-(((LN(MonteCarlo!$B$6/MonteCarlo!$B$5)+(MonteCarlo!$B$9+(AB$1^2)/2)*$A18)/(AB$1*SQRT($A18)))-(AB$1*SQRT($A18))),TRUE)-MonteCarlo!$B$6*_xlfn.NORM.S.DIST(-((LN(MonteCarlo!$B$6/MonteCarlo!$B$5)+(MonteCarlo!$B$9+(AB$1^2)/2)*$A18)/(AB$1*SQRT($A18))),TRUE)),"")</f>
        <v/>
      </c>
      <c r="AC18" t="str">
        <f>IFERROR(IF(OR(MonteCarlo!$B$4="C",MonteCarlo!$B$4="c"),MonteCarlo!$B$6*_xlfn.NORM.S.DIST((LN(MonteCarlo!$B$6/MonteCarlo!$B$5)+(MonteCarlo!$B$9+(AC$1^2)/2)*$A18)/(AC$1*SQRT($A18)),TRUE)-MonteCarlo!$B$5*EXP(-MonteCarlo!$B$9*$A18)*_xlfn.NORM.S.DIST(((LN(MonteCarlo!$B$6/MonteCarlo!$B$5)+(MonteCarlo!$B$9+(AC$1^2)/2)*$A18)/(AC$1*SQRT($A18)))-(AC$1*SQRT($A18)),TRUE),MonteCarlo!$B$5*EXP(-MonteCarlo!$B$9*$A18)*_xlfn.NORM.S.DIST(-(((LN(MonteCarlo!$B$6/MonteCarlo!$B$5)+(MonteCarlo!$B$9+(AC$1^2)/2)*$A18)/(AC$1*SQRT($A18)))-(AC$1*SQRT($A18))),TRUE)-MonteCarlo!$B$6*_xlfn.NORM.S.DIST(-((LN(MonteCarlo!$B$6/MonteCarlo!$B$5)+(MonteCarlo!$B$9+(AC$1^2)/2)*$A18)/(AC$1*SQRT($A18))),TRUE)),"")</f>
        <v/>
      </c>
      <c r="AD18" t="str">
        <f>IFERROR(IF(OR(MonteCarlo!$B$4="C",MonteCarlo!$B$4="c"),MonteCarlo!$B$6*_xlfn.NORM.S.DIST((LN(MonteCarlo!$B$6/MonteCarlo!$B$5)+(MonteCarlo!$B$9+(AD$1^2)/2)*$A18)/(AD$1*SQRT($A18)),TRUE)-MonteCarlo!$B$5*EXP(-MonteCarlo!$B$9*$A18)*_xlfn.NORM.S.DIST(((LN(MonteCarlo!$B$6/MonteCarlo!$B$5)+(MonteCarlo!$B$9+(AD$1^2)/2)*$A18)/(AD$1*SQRT($A18)))-(AD$1*SQRT($A18)),TRUE),MonteCarlo!$B$5*EXP(-MonteCarlo!$B$9*$A18)*_xlfn.NORM.S.DIST(-(((LN(MonteCarlo!$B$6/MonteCarlo!$B$5)+(MonteCarlo!$B$9+(AD$1^2)/2)*$A18)/(AD$1*SQRT($A18)))-(AD$1*SQRT($A18))),TRUE)-MonteCarlo!$B$6*_xlfn.NORM.S.DIST(-((LN(MonteCarlo!$B$6/MonteCarlo!$B$5)+(MonteCarlo!$B$9+(AD$1^2)/2)*$A18)/(AD$1*SQRT($A18))),TRUE)),"")</f>
        <v/>
      </c>
      <c r="AE18" t="str">
        <f>IFERROR(IF(OR(MonteCarlo!$B$4="C",MonteCarlo!$B$4="c"),MonteCarlo!$B$6*_xlfn.NORM.S.DIST((LN(MonteCarlo!$B$6/MonteCarlo!$B$5)+(MonteCarlo!$B$9+(AE$1^2)/2)*$A18)/(AE$1*SQRT($A18)),TRUE)-MonteCarlo!$B$5*EXP(-MonteCarlo!$B$9*$A18)*_xlfn.NORM.S.DIST(((LN(MonteCarlo!$B$6/MonteCarlo!$B$5)+(MonteCarlo!$B$9+(AE$1^2)/2)*$A18)/(AE$1*SQRT($A18)))-(AE$1*SQRT($A18)),TRUE),MonteCarlo!$B$5*EXP(-MonteCarlo!$B$9*$A18)*_xlfn.NORM.S.DIST(-(((LN(MonteCarlo!$B$6/MonteCarlo!$B$5)+(MonteCarlo!$B$9+(AE$1^2)/2)*$A18)/(AE$1*SQRT($A18)))-(AE$1*SQRT($A18))),TRUE)-MonteCarlo!$B$6*_xlfn.NORM.S.DIST(-((LN(MonteCarlo!$B$6/MonteCarlo!$B$5)+(MonteCarlo!$B$9+(AE$1^2)/2)*$A18)/(AE$1*SQRT($A18))),TRUE)),"")</f>
        <v/>
      </c>
      <c r="AF18" t="str">
        <f>IFERROR(IF(OR(MonteCarlo!$B$4="C",MonteCarlo!$B$4="c"),MonteCarlo!$B$6*_xlfn.NORM.S.DIST((LN(MonteCarlo!$B$6/MonteCarlo!$B$5)+(MonteCarlo!$B$9+(AF$1^2)/2)*$A18)/(AF$1*SQRT($A18)),TRUE)-MonteCarlo!$B$5*EXP(-MonteCarlo!$B$9*$A18)*_xlfn.NORM.S.DIST(((LN(MonteCarlo!$B$6/MonteCarlo!$B$5)+(MonteCarlo!$B$9+(AF$1^2)/2)*$A18)/(AF$1*SQRT($A18)))-(AF$1*SQRT($A18)),TRUE),MonteCarlo!$B$5*EXP(-MonteCarlo!$B$9*$A18)*_xlfn.NORM.S.DIST(-(((LN(MonteCarlo!$B$6/MonteCarlo!$B$5)+(MonteCarlo!$B$9+(AF$1^2)/2)*$A18)/(AF$1*SQRT($A18)))-(AF$1*SQRT($A18))),TRUE)-MonteCarlo!$B$6*_xlfn.NORM.S.DIST(-((LN(MonteCarlo!$B$6/MonteCarlo!$B$5)+(MonteCarlo!$B$9+(AF$1^2)/2)*$A18)/(AF$1*SQRT($A18))),TRUE)),"")</f>
        <v/>
      </c>
    </row>
    <row r="19" spans="2:32" x14ac:dyDescent="0.25">
      <c r="B19" t="str">
        <f>IFERROR(IF(OR(MonteCarlo!$B$4="C",MonteCarlo!$B$4="c"),MonteCarlo!$B$6*_xlfn.NORM.S.DIST((LN(MonteCarlo!$B$6/MonteCarlo!$B$5)+(MonteCarlo!$B$9+(B$1^2)/2)*$A19)/(B$1*SQRT($A19)),TRUE)-MonteCarlo!$B$5*EXP(-MonteCarlo!$B$9*$A19)*_xlfn.NORM.S.DIST(((LN(MonteCarlo!$B$6/MonteCarlo!$B$5)+(MonteCarlo!$B$9+(B$1^2)/2)*$A19)/(B$1*SQRT($A19)))-(B$1*SQRT($A19)),TRUE),MonteCarlo!$B$5*EXP(-MonteCarlo!$B$9*$A19)*_xlfn.NORM.S.DIST(-(((LN(MonteCarlo!$B$6/MonteCarlo!$B$5)+(MonteCarlo!$B$9+(B$1^2)/2)*$A19)/(B$1*SQRT($A19)))-(B$1*SQRT($A19))),TRUE)-MonteCarlo!$B$6*_xlfn.NORM.S.DIST(-((LN(MonteCarlo!$B$6/MonteCarlo!$B$5)+(MonteCarlo!$B$9+(B$1^2)/2)*$A19)/(B$1*SQRT($A19))),TRUE)),"")</f>
        <v/>
      </c>
      <c r="C19" t="str">
        <f>IFERROR(IF(OR(MonteCarlo!$B$4="C",MonteCarlo!$B$4="c"),MonteCarlo!$B$6*_xlfn.NORM.S.DIST((LN(MonteCarlo!$B$6/MonteCarlo!$B$5)+(MonteCarlo!$B$9+(C$1^2)/2)*$A19)/(C$1*SQRT($A19)),TRUE)-MonteCarlo!$B$5*EXP(-MonteCarlo!$B$9*$A19)*_xlfn.NORM.S.DIST(((LN(MonteCarlo!$B$6/MonteCarlo!$B$5)+(MonteCarlo!$B$9+(C$1^2)/2)*$A19)/(C$1*SQRT($A19)))-(C$1*SQRT($A19)),TRUE),MonteCarlo!$B$5*EXP(-MonteCarlo!$B$9*$A19)*_xlfn.NORM.S.DIST(-(((LN(MonteCarlo!$B$6/MonteCarlo!$B$5)+(MonteCarlo!$B$9+(C$1^2)/2)*$A19)/(C$1*SQRT($A19)))-(C$1*SQRT($A19))),TRUE)-MonteCarlo!$B$6*_xlfn.NORM.S.DIST(-((LN(MonteCarlo!$B$6/MonteCarlo!$B$5)+(MonteCarlo!$B$9+(C$1^2)/2)*$A19)/(C$1*SQRT($A19))),TRUE)),"")</f>
        <v/>
      </c>
      <c r="D19" t="str">
        <f>IFERROR(IF(OR(MonteCarlo!$B$4="C",MonteCarlo!$B$4="c"),MonteCarlo!$B$6*_xlfn.NORM.S.DIST((LN(MonteCarlo!$B$6/MonteCarlo!$B$5)+(MonteCarlo!$B$9+(D$1^2)/2)*$A19)/(D$1*SQRT($A19)),TRUE)-MonteCarlo!$B$5*EXP(-MonteCarlo!$B$9*$A19)*_xlfn.NORM.S.DIST(((LN(MonteCarlo!$B$6/MonteCarlo!$B$5)+(MonteCarlo!$B$9+(D$1^2)/2)*$A19)/(D$1*SQRT($A19)))-(D$1*SQRT($A19)),TRUE),MonteCarlo!$B$5*EXP(-MonteCarlo!$B$9*$A19)*_xlfn.NORM.S.DIST(-(((LN(MonteCarlo!$B$6/MonteCarlo!$B$5)+(MonteCarlo!$B$9+(D$1^2)/2)*$A19)/(D$1*SQRT($A19)))-(D$1*SQRT($A19))),TRUE)-MonteCarlo!$B$6*_xlfn.NORM.S.DIST(-((LN(MonteCarlo!$B$6/MonteCarlo!$B$5)+(MonteCarlo!$B$9+(D$1^2)/2)*$A19)/(D$1*SQRT($A19))),TRUE)),"")</f>
        <v/>
      </c>
      <c r="E19" t="str">
        <f>IFERROR(IF(OR(MonteCarlo!$B$4="C",MonteCarlo!$B$4="c"),MonteCarlo!$B$6*_xlfn.NORM.S.DIST((LN(MonteCarlo!$B$6/MonteCarlo!$B$5)+(MonteCarlo!$B$9+(E$1^2)/2)*$A19)/(E$1*SQRT($A19)),TRUE)-MonteCarlo!$B$5*EXP(-MonteCarlo!$B$9*$A19)*_xlfn.NORM.S.DIST(((LN(MonteCarlo!$B$6/MonteCarlo!$B$5)+(MonteCarlo!$B$9+(E$1^2)/2)*$A19)/(E$1*SQRT($A19)))-(E$1*SQRT($A19)),TRUE),MonteCarlo!$B$5*EXP(-MonteCarlo!$B$9*$A19)*_xlfn.NORM.S.DIST(-(((LN(MonteCarlo!$B$6/MonteCarlo!$B$5)+(MonteCarlo!$B$9+(E$1^2)/2)*$A19)/(E$1*SQRT($A19)))-(E$1*SQRT($A19))),TRUE)-MonteCarlo!$B$6*_xlfn.NORM.S.DIST(-((LN(MonteCarlo!$B$6/MonteCarlo!$B$5)+(MonteCarlo!$B$9+(E$1^2)/2)*$A19)/(E$1*SQRT($A19))),TRUE)),"")</f>
        <v/>
      </c>
      <c r="F19" t="str">
        <f>IFERROR(IF(OR(MonteCarlo!$B$4="C",MonteCarlo!$B$4="c"),MonteCarlo!$B$6*_xlfn.NORM.S.DIST((LN(MonteCarlo!$B$6/MonteCarlo!$B$5)+(MonteCarlo!$B$9+(F$1^2)/2)*$A19)/(F$1*SQRT($A19)),TRUE)-MonteCarlo!$B$5*EXP(-MonteCarlo!$B$9*$A19)*_xlfn.NORM.S.DIST(((LN(MonteCarlo!$B$6/MonteCarlo!$B$5)+(MonteCarlo!$B$9+(F$1^2)/2)*$A19)/(F$1*SQRT($A19)))-(F$1*SQRT($A19)),TRUE),MonteCarlo!$B$5*EXP(-MonteCarlo!$B$9*$A19)*_xlfn.NORM.S.DIST(-(((LN(MonteCarlo!$B$6/MonteCarlo!$B$5)+(MonteCarlo!$B$9+(F$1^2)/2)*$A19)/(F$1*SQRT($A19)))-(F$1*SQRT($A19))),TRUE)-MonteCarlo!$B$6*_xlfn.NORM.S.DIST(-((LN(MonteCarlo!$B$6/MonteCarlo!$B$5)+(MonteCarlo!$B$9+(F$1^2)/2)*$A19)/(F$1*SQRT($A19))),TRUE)),"")</f>
        <v/>
      </c>
      <c r="G19" t="str">
        <f>IFERROR(IF(OR(MonteCarlo!$B$4="C",MonteCarlo!$B$4="c"),MonteCarlo!$B$6*_xlfn.NORM.S.DIST((LN(MonteCarlo!$B$6/MonteCarlo!$B$5)+(MonteCarlo!$B$9+(G$1^2)/2)*$A19)/(G$1*SQRT($A19)),TRUE)-MonteCarlo!$B$5*EXP(-MonteCarlo!$B$9*$A19)*_xlfn.NORM.S.DIST(((LN(MonteCarlo!$B$6/MonteCarlo!$B$5)+(MonteCarlo!$B$9+(G$1^2)/2)*$A19)/(G$1*SQRT($A19)))-(G$1*SQRT($A19)),TRUE),MonteCarlo!$B$5*EXP(-MonteCarlo!$B$9*$A19)*_xlfn.NORM.S.DIST(-(((LN(MonteCarlo!$B$6/MonteCarlo!$B$5)+(MonteCarlo!$B$9+(G$1^2)/2)*$A19)/(G$1*SQRT($A19)))-(G$1*SQRT($A19))),TRUE)-MonteCarlo!$B$6*_xlfn.NORM.S.DIST(-((LN(MonteCarlo!$B$6/MonteCarlo!$B$5)+(MonteCarlo!$B$9+(G$1^2)/2)*$A19)/(G$1*SQRT($A19))),TRUE)),"")</f>
        <v/>
      </c>
      <c r="H19" t="str">
        <f>IFERROR(IF(OR(MonteCarlo!$B$4="C",MonteCarlo!$B$4="c"),MonteCarlo!$B$6*_xlfn.NORM.S.DIST((LN(MonteCarlo!$B$6/MonteCarlo!$B$5)+(MonteCarlo!$B$9+(H$1^2)/2)*$A19)/(H$1*SQRT($A19)),TRUE)-MonteCarlo!$B$5*EXP(-MonteCarlo!$B$9*$A19)*_xlfn.NORM.S.DIST(((LN(MonteCarlo!$B$6/MonteCarlo!$B$5)+(MonteCarlo!$B$9+(H$1^2)/2)*$A19)/(H$1*SQRT($A19)))-(H$1*SQRT($A19)),TRUE),MonteCarlo!$B$5*EXP(-MonteCarlo!$B$9*$A19)*_xlfn.NORM.S.DIST(-(((LN(MonteCarlo!$B$6/MonteCarlo!$B$5)+(MonteCarlo!$B$9+(H$1^2)/2)*$A19)/(H$1*SQRT($A19)))-(H$1*SQRT($A19))),TRUE)-MonteCarlo!$B$6*_xlfn.NORM.S.DIST(-((LN(MonteCarlo!$B$6/MonteCarlo!$B$5)+(MonteCarlo!$B$9+(H$1^2)/2)*$A19)/(H$1*SQRT($A19))),TRUE)),"")</f>
        <v/>
      </c>
      <c r="I19" t="str">
        <f>IFERROR(IF(OR(MonteCarlo!$B$4="C",MonteCarlo!$B$4="c"),MonteCarlo!$B$6*_xlfn.NORM.S.DIST((LN(MonteCarlo!$B$6/MonteCarlo!$B$5)+(MonteCarlo!$B$9+(I$1^2)/2)*$A19)/(I$1*SQRT($A19)),TRUE)-MonteCarlo!$B$5*EXP(-MonteCarlo!$B$9*$A19)*_xlfn.NORM.S.DIST(((LN(MonteCarlo!$B$6/MonteCarlo!$B$5)+(MonteCarlo!$B$9+(I$1^2)/2)*$A19)/(I$1*SQRT($A19)))-(I$1*SQRT($A19)),TRUE),MonteCarlo!$B$5*EXP(-MonteCarlo!$B$9*$A19)*_xlfn.NORM.S.DIST(-(((LN(MonteCarlo!$B$6/MonteCarlo!$B$5)+(MonteCarlo!$B$9+(I$1^2)/2)*$A19)/(I$1*SQRT($A19)))-(I$1*SQRT($A19))),TRUE)-MonteCarlo!$B$6*_xlfn.NORM.S.DIST(-((LN(MonteCarlo!$B$6/MonteCarlo!$B$5)+(MonteCarlo!$B$9+(I$1^2)/2)*$A19)/(I$1*SQRT($A19))),TRUE)),"")</f>
        <v/>
      </c>
      <c r="J19" t="str">
        <f>IFERROR(IF(OR(MonteCarlo!$B$4="C",MonteCarlo!$B$4="c"),MonteCarlo!$B$6*_xlfn.NORM.S.DIST((LN(MonteCarlo!$B$6/MonteCarlo!$B$5)+(MonteCarlo!$B$9+(J$1^2)/2)*$A19)/(J$1*SQRT($A19)),TRUE)-MonteCarlo!$B$5*EXP(-MonteCarlo!$B$9*$A19)*_xlfn.NORM.S.DIST(((LN(MonteCarlo!$B$6/MonteCarlo!$B$5)+(MonteCarlo!$B$9+(J$1^2)/2)*$A19)/(J$1*SQRT($A19)))-(J$1*SQRT($A19)),TRUE),MonteCarlo!$B$5*EXP(-MonteCarlo!$B$9*$A19)*_xlfn.NORM.S.DIST(-(((LN(MonteCarlo!$B$6/MonteCarlo!$B$5)+(MonteCarlo!$B$9+(J$1^2)/2)*$A19)/(J$1*SQRT($A19)))-(J$1*SQRT($A19))),TRUE)-MonteCarlo!$B$6*_xlfn.NORM.S.DIST(-((LN(MonteCarlo!$B$6/MonteCarlo!$B$5)+(MonteCarlo!$B$9+(J$1^2)/2)*$A19)/(J$1*SQRT($A19))),TRUE)),"")</f>
        <v/>
      </c>
      <c r="K19" t="str">
        <f>IFERROR(IF(OR(MonteCarlo!$B$4="C",MonteCarlo!$B$4="c"),MonteCarlo!$B$6*_xlfn.NORM.S.DIST((LN(MonteCarlo!$B$6/MonteCarlo!$B$5)+(MonteCarlo!$B$9+(K$1^2)/2)*$A19)/(K$1*SQRT($A19)),TRUE)-MonteCarlo!$B$5*EXP(-MonteCarlo!$B$9*$A19)*_xlfn.NORM.S.DIST(((LN(MonteCarlo!$B$6/MonteCarlo!$B$5)+(MonteCarlo!$B$9+(K$1^2)/2)*$A19)/(K$1*SQRT($A19)))-(K$1*SQRT($A19)),TRUE),MonteCarlo!$B$5*EXP(-MonteCarlo!$B$9*$A19)*_xlfn.NORM.S.DIST(-(((LN(MonteCarlo!$B$6/MonteCarlo!$B$5)+(MonteCarlo!$B$9+(K$1^2)/2)*$A19)/(K$1*SQRT($A19)))-(K$1*SQRT($A19))),TRUE)-MonteCarlo!$B$6*_xlfn.NORM.S.DIST(-((LN(MonteCarlo!$B$6/MonteCarlo!$B$5)+(MonteCarlo!$B$9+(K$1^2)/2)*$A19)/(K$1*SQRT($A19))),TRUE)),"")</f>
        <v/>
      </c>
      <c r="L19" t="str">
        <f>IFERROR(IF(OR(MonteCarlo!$B$4="C",MonteCarlo!$B$4="c"),MonteCarlo!$B$6*_xlfn.NORM.S.DIST((LN(MonteCarlo!$B$6/MonteCarlo!$B$5)+(MonteCarlo!$B$9+(L$1^2)/2)*$A19)/(L$1*SQRT($A19)),TRUE)-MonteCarlo!$B$5*EXP(-MonteCarlo!$B$9*$A19)*_xlfn.NORM.S.DIST(((LN(MonteCarlo!$B$6/MonteCarlo!$B$5)+(MonteCarlo!$B$9+(L$1^2)/2)*$A19)/(L$1*SQRT($A19)))-(L$1*SQRT($A19)),TRUE),MonteCarlo!$B$5*EXP(-MonteCarlo!$B$9*$A19)*_xlfn.NORM.S.DIST(-(((LN(MonteCarlo!$B$6/MonteCarlo!$B$5)+(MonteCarlo!$B$9+(L$1^2)/2)*$A19)/(L$1*SQRT($A19)))-(L$1*SQRT($A19))),TRUE)-MonteCarlo!$B$6*_xlfn.NORM.S.DIST(-((LN(MonteCarlo!$B$6/MonteCarlo!$B$5)+(MonteCarlo!$B$9+(L$1^2)/2)*$A19)/(L$1*SQRT($A19))),TRUE)),"")</f>
        <v/>
      </c>
      <c r="M19" t="str">
        <f>IFERROR(IF(OR(MonteCarlo!$B$4="C",MonteCarlo!$B$4="c"),MonteCarlo!$B$6*_xlfn.NORM.S.DIST((LN(MonteCarlo!$B$6/MonteCarlo!$B$5)+(MonteCarlo!$B$9+(M$1^2)/2)*$A19)/(M$1*SQRT($A19)),TRUE)-MonteCarlo!$B$5*EXP(-MonteCarlo!$B$9*$A19)*_xlfn.NORM.S.DIST(((LN(MonteCarlo!$B$6/MonteCarlo!$B$5)+(MonteCarlo!$B$9+(M$1^2)/2)*$A19)/(M$1*SQRT($A19)))-(M$1*SQRT($A19)),TRUE),MonteCarlo!$B$5*EXP(-MonteCarlo!$B$9*$A19)*_xlfn.NORM.S.DIST(-(((LN(MonteCarlo!$B$6/MonteCarlo!$B$5)+(MonteCarlo!$B$9+(M$1^2)/2)*$A19)/(M$1*SQRT($A19)))-(M$1*SQRT($A19))),TRUE)-MonteCarlo!$B$6*_xlfn.NORM.S.DIST(-((LN(MonteCarlo!$B$6/MonteCarlo!$B$5)+(MonteCarlo!$B$9+(M$1^2)/2)*$A19)/(M$1*SQRT($A19))),TRUE)),"")</f>
        <v/>
      </c>
      <c r="N19" t="str">
        <f>IFERROR(IF(OR(MonteCarlo!$B$4="C",MonteCarlo!$B$4="c"),MonteCarlo!$B$6*_xlfn.NORM.S.DIST((LN(MonteCarlo!$B$6/MonteCarlo!$B$5)+(MonteCarlo!$B$9+(N$1^2)/2)*$A19)/(N$1*SQRT($A19)),TRUE)-MonteCarlo!$B$5*EXP(-MonteCarlo!$B$9*$A19)*_xlfn.NORM.S.DIST(((LN(MonteCarlo!$B$6/MonteCarlo!$B$5)+(MonteCarlo!$B$9+(N$1^2)/2)*$A19)/(N$1*SQRT($A19)))-(N$1*SQRT($A19)),TRUE),MonteCarlo!$B$5*EXP(-MonteCarlo!$B$9*$A19)*_xlfn.NORM.S.DIST(-(((LN(MonteCarlo!$B$6/MonteCarlo!$B$5)+(MonteCarlo!$B$9+(N$1^2)/2)*$A19)/(N$1*SQRT($A19)))-(N$1*SQRT($A19))),TRUE)-MonteCarlo!$B$6*_xlfn.NORM.S.DIST(-((LN(MonteCarlo!$B$6/MonteCarlo!$B$5)+(MonteCarlo!$B$9+(N$1^2)/2)*$A19)/(N$1*SQRT($A19))),TRUE)),"")</f>
        <v/>
      </c>
      <c r="O19" t="str">
        <f>IFERROR(IF(OR(MonteCarlo!$B$4="C",MonteCarlo!$B$4="c"),MonteCarlo!$B$6*_xlfn.NORM.S.DIST((LN(MonteCarlo!$B$6/MonteCarlo!$B$5)+(MonteCarlo!$B$9+(O$1^2)/2)*$A19)/(O$1*SQRT($A19)),TRUE)-MonteCarlo!$B$5*EXP(-MonteCarlo!$B$9*$A19)*_xlfn.NORM.S.DIST(((LN(MonteCarlo!$B$6/MonteCarlo!$B$5)+(MonteCarlo!$B$9+(O$1^2)/2)*$A19)/(O$1*SQRT($A19)))-(O$1*SQRT($A19)),TRUE),MonteCarlo!$B$5*EXP(-MonteCarlo!$B$9*$A19)*_xlfn.NORM.S.DIST(-(((LN(MonteCarlo!$B$6/MonteCarlo!$B$5)+(MonteCarlo!$B$9+(O$1^2)/2)*$A19)/(O$1*SQRT($A19)))-(O$1*SQRT($A19))),TRUE)-MonteCarlo!$B$6*_xlfn.NORM.S.DIST(-((LN(MonteCarlo!$B$6/MonteCarlo!$B$5)+(MonteCarlo!$B$9+(O$1^2)/2)*$A19)/(O$1*SQRT($A19))),TRUE)),"")</f>
        <v/>
      </c>
      <c r="P19" t="str">
        <f>IFERROR(IF(OR(MonteCarlo!$B$4="C",MonteCarlo!$B$4="c"),MonteCarlo!$B$6*_xlfn.NORM.S.DIST((LN(MonteCarlo!$B$6/MonteCarlo!$B$5)+(MonteCarlo!$B$9+(P$1^2)/2)*$A19)/(P$1*SQRT($A19)),TRUE)-MonteCarlo!$B$5*EXP(-MonteCarlo!$B$9*$A19)*_xlfn.NORM.S.DIST(((LN(MonteCarlo!$B$6/MonteCarlo!$B$5)+(MonteCarlo!$B$9+(P$1^2)/2)*$A19)/(P$1*SQRT($A19)))-(P$1*SQRT($A19)),TRUE),MonteCarlo!$B$5*EXP(-MonteCarlo!$B$9*$A19)*_xlfn.NORM.S.DIST(-(((LN(MonteCarlo!$B$6/MonteCarlo!$B$5)+(MonteCarlo!$B$9+(P$1^2)/2)*$A19)/(P$1*SQRT($A19)))-(P$1*SQRT($A19))),TRUE)-MonteCarlo!$B$6*_xlfn.NORM.S.DIST(-((LN(MonteCarlo!$B$6/MonteCarlo!$B$5)+(MonteCarlo!$B$9+(P$1^2)/2)*$A19)/(P$1*SQRT($A19))),TRUE)),"")</f>
        <v/>
      </c>
      <c r="Q19" t="str">
        <f>IFERROR(IF(OR(MonteCarlo!$B$4="C",MonteCarlo!$B$4="c"),MonteCarlo!$B$6*_xlfn.NORM.S.DIST((LN(MonteCarlo!$B$6/MonteCarlo!$B$5)+(MonteCarlo!$B$9+(Q$1^2)/2)*$A19)/(Q$1*SQRT($A19)),TRUE)-MonteCarlo!$B$5*EXP(-MonteCarlo!$B$9*$A19)*_xlfn.NORM.S.DIST(((LN(MonteCarlo!$B$6/MonteCarlo!$B$5)+(MonteCarlo!$B$9+(Q$1^2)/2)*$A19)/(Q$1*SQRT($A19)))-(Q$1*SQRT($A19)),TRUE),MonteCarlo!$B$5*EXP(-MonteCarlo!$B$9*$A19)*_xlfn.NORM.S.DIST(-(((LN(MonteCarlo!$B$6/MonteCarlo!$B$5)+(MonteCarlo!$B$9+(Q$1^2)/2)*$A19)/(Q$1*SQRT($A19)))-(Q$1*SQRT($A19))),TRUE)-MonteCarlo!$B$6*_xlfn.NORM.S.DIST(-((LN(MonteCarlo!$B$6/MonteCarlo!$B$5)+(MonteCarlo!$B$9+(Q$1^2)/2)*$A19)/(Q$1*SQRT($A19))),TRUE)),"")</f>
        <v/>
      </c>
      <c r="R19" t="str">
        <f>IFERROR(IF(OR(MonteCarlo!$B$4="C",MonteCarlo!$B$4="c"),MonteCarlo!$B$6*_xlfn.NORM.S.DIST((LN(MonteCarlo!$B$6/MonteCarlo!$B$5)+(MonteCarlo!$B$9+(R$1^2)/2)*$A19)/(R$1*SQRT($A19)),TRUE)-MonteCarlo!$B$5*EXP(-MonteCarlo!$B$9*$A19)*_xlfn.NORM.S.DIST(((LN(MonteCarlo!$B$6/MonteCarlo!$B$5)+(MonteCarlo!$B$9+(R$1^2)/2)*$A19)/(R$1*SQRT($A19)))-(R$1*SQRT($A19)),TRUE),MonteCarlo!$B$5*EXP(-MonteCarlo!$B$9*$A19)*_xlfn.NORM.S.DIST(-(((LN(MonteCarlo!$B$6/MonteCarlo!$B$5)+(MonteCarlo!$B$9+(R$1^2)/2)*$A19)/(R$1*SQRT($A19)))-(R$1*SQRT($A19))),TRUE)-MonteCarlo!$B$6*_xlfn.NORM.S.DIST(-((LN(MonteCarlo!$B$6/MonteCarlo!$B$5)+(MonteCarlo!$B$9+(R$1^2)/2)*$A19)/(R$1*SQRT($A19))),TRUE)),"")</f>
        <v/>
      </c>
      <c r="S19" t="str">
        <f>IFERROR(IF(OR(MonteCarlo!$B$4="C",MonteCarlo!$B$4="c"),MonteCarlo!$B$6*_xlfn.NORM.S.DIST((LN(MonteCarlo!$B$6/MonteCarlo!$B$5)+(MonteCarlo!$B$9+(S$1^2)/2)*$A19)/(S$1*SQRT($A19)),TRUE)-MonteCarlo!$B$5*EXP(-MonteCarlo!$B$9*$A19)*_xlfn.NORM.S.DIST(((LN(MonteCarlo!$B$6/MonteCarlo!$B$5)+(MonteCarlo!$B$9+(S$1^2)/2)*$A19)/(S$1*SQRT($A19)))-(S$1*SQRT($A19)),TRUE),MonteCarlo!$B$5*EXP(-MonteCarlo!$B$9*$A19)*_xlfn.NORM.S.DIST(-(((LN(MonteCarlo!$B$6/MonteCarlo!$B$5)+(MonteCarlo!$B$9+(S$1^2)/2)*$A19)/(S$1*SQRT($A19)))-(S$1*SQRT($A19))),TRUE)-MonteCarlo!$B$6*_xlfn.NORM.S.DIST(-((LN(MonteCarlo!$B$6/MonteCarlo!$B$5)+(MonteCarlo!$B$9+(S$1^2)/2)*$A19)/(S$1*SQRT($A19))),TRUE)),"")</f>
        <v/>
      </c>
      <c r="T19" t="str">
        <f>IFERROR(IF(OR(MonteCarlo!$B$4="C",MonteCarlo!$B$4="c"),MonteCarlo!$B$6*_xlfn.NORM.S.DIST((LN(MonteCarlo!$B$6/MonteCarlo!$B$5)+(MonteCarlo!$B$9+(T$1^2)/2)*$A19)/(T$1*SQRT($A19)),TRUE)-MonteCarlo!$B$5*EXP(-MonteCarlo!$B$9*$A19)*_xlfn.NORM.S.DIST(((LN(MonteCarlo!$B$6/MonteCarlo!$B$5)+(MonteCarlo!$B$9+(T$1^2)/2)*$A19)/(T$1*SQRT($A19)))-(T$1*SQRT($A19)),TRUE),MonteCarlo!$B$5*EXP(-MonteCarlo!$B$9*$A19)*_xlfn.NORM.S.DIST(-(((LN(MonteCarlo!$B$6/MonteCarlo!$B$5)+(MonteCarlo!$B$9+(T$1^2)/2)*$A19)/(T$1*SQRT($A19)))-(T$1*SQRT($A19))),TRUE)-MonteCarlo!$B$6*_xlfn.NORM.S.DIST(-((LN(MonteCarlo!$B$6/MonteCarlo!$B$5)+(MonteCarlo!$B$9+(T$1^2)/2)*$A19)/(T$1*SQRT($A19))),TRUE)),"")</f>
        <v/>
      </c>
      <c r="U19" t="str">
        <f>IFERROR(IF(OR(MonteCarlo!$B$4="C",MonteCarlo!$B$4="c"),MonteCarlo!$B$6*_xlfn.NORM.S.DIST((LN(MonteCarlo!$B$6/MonteCarlo!$B$5)+(MonteCarlo!$B$9+(U$1^2)/2)*$A19)/(U$1*SQRT($A19)),TRUE)-MonteCarlo!$B$5*EXP(-MonteCarlo!$B$9*$A19)*_xlfn.NORM.S.DIST(((LN(MonteCarlo!$B$6/MonteCarlo!$B$5)+(MonteCarlo!$B$9+(U$1^2)/2)*$A19)/(U$1*SQRT($A19)))-(U$1*SQRT($A19)),TRUE),MonteCarlo!$B$5*EXP(-MonteCarlo!$B$9*$A19)*_xlfn.NORM.S.DIST(-(((LN(MonteCarlo!$B$6/MonteCarlo!$B$5)+(MonteCarlo!$B$9+(U$1^2)/2)*$A19)/(U$1*SQRT($A19)))-(U$1*SQRT($A19))),TRUE)-MonteCarlo!$B$6*_xlfn.NORM.S.DIST(-((LN(MonteCarlo!$B$6/MonteCarlo!$B$5)+(MonteCarlo!$B$9+(U$1^2)/2)*$A19)/(U$1*SQRT($A19))),TRUE)),"")</f>
        <v/>
      </c>
      <c r="V19" t="str">
        <f>IFERROR(IF(OR(MonteCarlo!$B$4="C",MonteCarlo!$B$4="c"),MonteCarlo!$B$6*_xlfn.NORM.S.DIST((LN(MonteCarlo!$B$6/MonteCarlo!$B$5)+(MonteCarlo!$B$9+(V$1^2)/2)*$A19)/(V$1*SQRT($A19)),TRUE)-MonteCarlo!$B$5*EXP(-MonteCarlo!$B$9*$A19)*_xlfn.NORM.S.DIST(((LN(MonteCarlo!$B$6/MonteCarlo!$B$5)+(MonteCarlo!$B$9+(V$1^2)/2)*$A19)/(V$1*SQRT($A19)))-(V$1*SQRT($A19)),TRUE),MonteCarlo!$B$5*EXP(-MonteCarlo!$B$9*$A19)*_xlfn.NORM.S.DIST(-(((LN(MonteCarlo!$B$6/MonteCarlo!$B$5)+(MonteCarlo!$B$9+(V$1^2)/2)*$A19)/(V$1*SQRT($A19)))-(V$1*SQRT($A19))),TRUE)-MonteCarlo!$B$6*_xlfn.NORM.S.DIST(-((LN(MonteCarlo!$B$6/MonteCarlo!$B$5)+(MonteCarlo!$B$9+(V$1^2)/2)*$A19)/(V$1*SQRT($A19))),TRUE)),"")</f>
        <v/>
      </c>
      <c r="W19" t="str">
        <f>IFERROR(IF(OR(MonteCarlo!$B$4="C",MonteCarlo!$B$4="c"),MonteCarlo!$B$6*_xlfn.NORM.S.DIST((LN(MonteCarlo!$B$6/MonteCarlo!$B$5)+(MonteCarlo!$B$9+(W$1^2)/2)*$A19)/(W$1*SQRT($A19)),TRUE)-MonteCarlo!$B$5*EXP(-MonteCarlo!$B$9*$A19)*_xlfn.NORM.S.DIST(((LN(MonteCarlo!$B$6/MonteCarlo!$B$5)+(MonteCarlo!$B$9+(W$1^2)/2)*$A19)/(W$1*SQRT($A19)))-(W$1*SQRT($A19)),TRUE),MonteCarlo!$B$5*EXP(-MonteCarlo!$B$9*$A19)*_xlfn.NORM.S.DIST(-(((LN(MonteCarlo!$B$6/MonteCarlo!$B$5)+(MonteCarlo!$B$9+(W$1^2)/2)*$A19)/(W$1*SQRT($A19)))-(W$1*SQRT($A19))),TRUE)-MonteCarlo!$B$6*_xlfn.NORM.S.DIST(-((LN(MonteCarlo!$B$6/MonteCarlo!$B$5)+(MonteCarlo!$B$9+(W$1^2)/2)*$A19)/(W$1*SQRT($A19))),TRUE)),"")</f>
        <v/>
      </c>
      <c r="X19" t="str">
        <f>IFERROR(IF(OR(MonteCarlo!$B$4="C",MonteCarlo!$B$4="c"),MonteCarlo!$B$6*_xlfn.NORM.S.DIST((LN(MonteCarlo!$B$6/MonteCarlo!$B$5)+(MonteCarlo!$B$9+(X$1^2)/2)*$A19)/(X$1*SQRT($A19)),TRUE)-MonteCarlo!$B$5*EXP(-MonteCarlo!$B$9*$A19)*_xlfn.NORM.S.DIST(((LN(MonteCarlo!$B$6/MonteCarlo!$B$5)+(MonteCarlo!$B$9+(X$1^2)/2)*$A19)/(X$1*SQRT($A19)))-(X$1*SQRT($A19)),TRUE),MonteCarlo!$B$5*EXP(-MonteCarlo!$B$9*$A19)*_xlfn.NORM.S.DIST(-(((LN(MonteCarlo!$B$6/MonteCarlo!$B$5)+(MonteCarlo!$B$9+(X$1^2)/2)*$A19)/(X$1*SQRT($A19)))-(X$1*SQRT($A19))),TRUE)-MonteCarlo!$B$6*_xlfn.NORM.S.DIST(-((LN(MonteCarlo!$B$6/MonteCarlo!$B$5)+(MonteCarlo!$B$9+(X$1^2)/2)*$A19)/(X$1*SQRT($A19))),TRUE)),"")</f>
        <v/>
      </c>
      <c r="Y19" t="str">
        <f>IFERROR(IF(OR(MonteCarlo!$B$4="C",MonteCarlo!$B$4="c"),MonteCarlo!$B$6*_xlfn.NORM.S.DIST((LN(MonteCarlo!$B$6/MonteCarlo!$B$5)+(MonteCarlo!$B$9+(Y$1^2)/2)*$A19)/(Y$1*SQRT($A19)),TRUE)-MonteCarlo!$B$5*EXP(-MonteCarlo!$B$9*$A19)*_xlfn.NORM.S.DIST(((LN(MonteCarlo!$B$6/MonteCarlo!$B$5)+(MonteCarlo!$B$9+(Y$1^2)/2)*$A19)/(Y$1*SQRT($A19)))-(Y$1*SQRT($A19)),TRUE),MonteCarlo!$B$5*EXP(-MonteCarlo!$B$9*$A19)*_xlfn.NORM.S.DIST(-(((LN(MonteCarlo!$B$6/MonteCarlo!$B$5)+(MonteCarlo!$B$9+(Y$1^2)/2)*$A19)/(Y$1*SQRT($A19)))-(Y$1*SQRT($A19))),TRUE)-MonteCarlo!$B$6*_xlfn.NORM.S.DIST(-((LN(MonteCarlo!$B$6/MonteCarlo!$B$5)+(MonteCarlo!$B$9+(Y$1^2)/2)*$A19)/(Y$1*SQRT($A19))),TRUE)),"")</f>
        <v/>
      </c>
      <c r="Z19" t="str">
        <f>IFERROR(IF(OR(MonteCarlo!$B$4="C",MonteCarlo!$B$4="c"),MonteCarlo!$B$6*_xlfn.NORM.S.DIST((LN(MonteCarlo!$B$6/MonteCarlo!$B$5)+(MonteCarlo!$B$9+(Z$1^2)/2)*$A19)/(Z$1*SQRT($A19)),TRUE)-MonteCarlo!$B$5*EXP(-MonteCarlo!$B$9*$A19)*_xlfn.NORM.S.DIST(((LN(MonteCarlo!$B$6/MonteCarlo!$B$5)+(MonteCarlo!$B$9+(Z$1^2)/2)*$A19)/(Z$1*SQRT($A19)))-(Z$1*SQRT($A19)),TRUE),MonteCarlo!$B$5*EXP(-MonteCarlo!$B$9*$A19)*_xlfn.NORM.S.DIST(-(((LN(MonteCarlo!$B$6/MonteCarlo!$B$5)+(MonteCarlo!$B$9+(Z$1^2)/2)*$A19)/(Z$1*SQRT($A19)))-(Z$1*SQRT($A19))),TRUE)-MonteCarlo!$B$6*_xlfn.NORM.S.DIST(-((LN(MonteCarlo!$B$6/MonteCarlo!$B$5)+(MonteCarlo!$B$9+(Z$1^2)/2)*$A19)/(Z$1*SQRT($A19))),TRUE)),"")</f>
        <v/>
      </c>
      <c r="AA19" t="str">
        <f>IFERROR(IF(OR(MonteCarlo!$B$4="C",MonteCarlo!$B$4="c"),MonteCarlo!$B$6*_xlfn.NORM.S.DIST((LN(MonteCarlo!$B$6/MonteCarlo!$B$5)+(MonteCarlo!$B$9+(AA$1^2)/2)*$A19)/(AA$1*SQRT($A19)),TRUE)-MonteCarlo!$B$5*EXP(-MonteCarlo!$B$9*$A19)*_xlfn.NORM.S.DIST(((LN(MonteCarlo!$B$6/MonteCarlo!$B$5)+(MonteCarlo!$B$9+(AA$1^2)/2)*$A19)/(AA$1*SQRT($A19)))-(AA$1*SQRT($A19)),TRUE),MonteCarlo!$B$5*EXP(-MonteCarlo!$B$9*$A19)*_xlfn.NORM.S.DIST(-(((LN(MonteCarlo!$B$6/MonteCarlo!$B$5)+(MonteCarlo!$B$9+(AA$1^2)/2)*$A19)/(AA$1*SQRT($A19)))-(AA$1*SQRT($A19))),TRUE)-MonteCarlo!$B$6*_xlfn.NORM.S.DIST(-((LN(MonteCarlo!$B$6/MonteCarlo!$B$5)+(MonteCarlo!$B$9+(AA$1^2)/2)*$A19)/(AA$1*SQRT($A19))),TRUE)),"")</f>
        <v/>
      </c>
      <c r="AB19" t="str">
        <f>IFERROR(IF(OR(MonteCarlo!$B$4="C",MonteCarlo!$B$4="c"),MonteCarlo!$B$6*_xlfn.NORM.S.DIST((LN(MonteCarlo!$B$6/MonteCarlo!$B$5)+(MonteCarlo!$B$9+(AB$1^2)/2)*$A19)/(AB$1*SQRT($A19)),TRUE)-MonteCarlo!$B$5*EXP(-MonteCarlo!$B$9*$A19)*_xlfn.NORM.S.DIST(((LN(MonteCarlo!$B$6/MonteCarlo!$B$5)+(MonteCarlo!$B$9+(AB$1^2)/2)*$A19)/(AB$1*SQRT($A19)))-(AB$1*SQRT($A19)),TRUE),MonteCarlo!$B$5*EXP(-MonteCarlo!$B$9*$A19)*_xlfn.NORM.S.DIST(-(((LN(MonteCarlo!$B$6/MonteCarlo!$B$5)+(MonteCarlo!$B$9+(AB$1^2)/2)*$A19)/(AB$1*SQRT($A19)))-(AB$1*SQRT($A19))),TRUE)-MonteCarlo!$B$6*_xlfn.NORM.S.DIST(-((LN(MonteCarlo!$B$6/MonteCarlo!$B$5)+(MonteCarlo!$B$9+(AB$1^2)/2)*$A19)/(AB$1*SQRT($A19))),TRUE)),"")</f>
        <v/>
      </c>
      <c r="AC19" t="str">
        <f>IFERROR(IF(OR(MonteCarlo!$B$4="C",MonteCarlo!$B$4="c"),MonteCarlo!$B$6*_xlfn.NORM.S.DIST((LN(MonteCarlo!$B$6/MonteCarlo!$B$5)+(MonteCarlo!$B$9+(AC$1^2)/2)*$A19)/(AC$1*SQRT($A19)),TRUE)-MonteCarlo!$B$5*EXP(-MonteCarlo!$B$9*$A19)*_xlfn.NORM.S.DIST(((LN(MonteCarlo!$B$6/MonteCarlo!$B$5)+(MonteCarlo!$B$9+(AC$1^2)/2)*$A19)/(AC$1*SQRT($A19)))-(AC$1*SQRT($A19)),TRUE),MonteCarlo!$B$5*EXP(-MonteCarlo!$B$9*$A19)*_xlfn.NORM.S.DIST(-(((LN(MonteCarlo!$B$6/MonteCarlo!$B$5)+(MonteCarlo!$B$9+(AC$1^2)/2)*$A19)/(AC$1*SQRT($A19)))-(AC$1*SQRT($A19))),TRUE)-MonteCarlo!$B$6*_xlfn.NORM.S.DIST(-((LN(MonteCarlo!$B$6/MonteCarlo!$B$5)+(MonteCarlo!$B$9+(AC$1^2)/2)*$A19)/(AC$1*SQRT($A19))),TRUE)),"")</f>
        <v/>
      </c>
      <c r="AD19" t="str">
        <f>IFERROR(IF(OR(MonteCarlo!$B$4="C",MonteCarlo!$B$4="c"),MonteCarlo!$B$6*_xlfn.NORM.S.DIST((LN(MonteCarlo!$B$6/MonteCarlo!$B$5)+(MonteCarlo!$B$9+(AD$1^2)/2)*$A19)/(AD$1*SQRT($A19)),TRUE)-MonteCarlo!$B$5*EXP(-MonteCarlo!$B$9*$A19)*_xlfn.NORM.S.DIST(((LN(MonteCarlo!$B$6/MonteCarlo!$B$5)+(MonteCarlo!$B$9+(AD$1^2)/2)*$A19)/(AD$1*SQRT($A19)))-(AD$1*SQRT($A19)),TRUE),MonteCarlo!$B$5*EXP(-MonteCarlo!$B$9*$A19)*_xlfn.NORM.S.DIST(-(((LN(MonteCarlo!$B$6/MonteCarlo!$B$5)+(MonteCarlo!$B$9+(AD$1^2)/2)*$A19)/(AD$1*SQRT($A19)))-(AD$1*SQRT($A19))),TRUE)-MonteCarlo!$B$6*_xlfn.NORM.S.DIST(-((LN(MonteCarlo!$B$6/MonteCarlo!$B$5)+(MonteCarlo!$B$9+(AD$1^2)/2)*$A19)/(AD$1*SQRT($A19))),TRUE)),"")</f>
        <v/>
      </c>
      <c r="AE19" t="str">
        <f>IFERROR(IF(OR(MonteCarlo!$B$4="C",MonteCarlo!$B$4="c"),MonteCarlo!$B$6*_xlfn.NORM.S.DIST((LN(MonteCarlo!$B$6/MonteCarlo!$B$5)+(MonteCarlo!$B$9+(AE$1^2)/2)*$A19)/(AE$1*SQRT($A19)),TRUE)-MonteCarlo!$B$5*EXP(-MonteCarlo!$B$9*$A19)*_xlfn.NORM.S.DIST(((LN(MonteCarlo!$B$6/MonteCarlo!$B$5)+(MonteCarlo!$B$9+(AE$1^2)/2)*$A19)/(AE$1*SQRT($A19)))-(AE$1*SQRT($A19)),TRUE),MonteCarlo!$B$5*EXP(-MonteCarlo!$B$9*$A19)*_xlfn.NORM.S.DIST(-(((LN(MonteCarlo!$B$6/MonteCarlo!$B$5)+(MonteCarlo!$B$9+(AE$1^2)/2)*$A19)/(AE$1*SQRT($A19)))-(AE$1*SQRT($A19))),TRUE)-MonteCarlo!$B$6*_xlfn.NORM.S.DIST(-((LN(MonteCarlo!$B$6/MonteCarlo!$B$5)+(MonteCarlo!$B$9+(AE$1^2)/2)*$A19)/(AE$1*SQRT($A19))),TRUE)),"")</f>
        <v/>
      </c>
      <c r="AF19" t="str">
        <f>IFERROR(IF(OR(MonteCarlo!$B$4="C",MonteCarlo!$B$4="c"),MonteCarlo!$B$6*_xlfn.NORM.S.DIST((LN(MonteCarlo!$B$6/MonteCarlo!$B$5)+(MonteCarlo!$B$9+(AF$1^2)/2)*$A19)/(AF$1*SQRT($A19)),TRUE)-MonteCarlo!$B$5*EXP(-MonteCarlo!$B$9*$A19)*_xlfn.NORM.S.DIST(((LN(MonteCarlo!$B$6/MonteCarlo!$B$5)+(MonteCarlo!$B$9+(AF$1^2)/2)*$A19)/(AF$1*SQRT($A19)))-(AF$1*SQRT($A19)),TRUE),MonteCarlo!$B$5*EXP(-MonteCarlo!$B$9*$A19)*_xlfn.NORM.S.DIST(-(((LN(MonteCarlo!$B$6/MonteCarlo!$B$5)+(MonteCarlo!$B$9+(AF$1^2)/2)*$A19)/(AF$1*SQRT($A19)))-(AF$1*SQRT($A19))),TRUE)-MonteCarlo!$B$6*_xlfn.NORM.S.DIST(-((LN(MonteCarlo!$B$6/MonteCarlo!$B$5)+(MonteCarlo!$B$9+(AF$1^2)/2)*$A19)/(AF$1*SQRT($A19))),TRUE)),"")</f>
        <v/>
      </c>
    </row>
    <row r="20" spans="2:32" x14ac:dyDescent="0.25">
      <c r="B20" t="str">
        <f>IFERROR(IF(OR(MonteCarlo!$B$4="C",MonteCarlo!$B$4="c"),MonteCarlo!$B$6*_xlfn.NORM.S.DIST((LN(MonteCarlo!$B$6/MonteCarlo!$B$5)+(MonteCarlo!$B$9+(B$1^2)/2)*$A20)/(B$1*SQRT($A20)),TRUE)-MonteCarlo!$B$5*EXP(-MonteCarlo!$B$9*$A20)*_xlfn.NORM.S.DIST(((LN(MonteCarlo!$B$6/MonteCarlo!$B$5)+(MonteCarlo!$B$9+(B$1^2)/2)*$A20)/(B$1*SQRT($A20)))-(B$1*SQRT($A20)),TRUE),MonteCarlo!$B$5*EXP(-MonteCarlo!$B$9*$A20)*_xlfn.NORM.S.DIST(-(((LN(MonteCarlo!$B$6/MonteCarlo!$B$5)+(MonteCarlo!$B$9+(B$1^2)/2)*$A20)/(B$1*SQRT($A20)))-(B$1*SQRT($A20))),TRUE)-MonteCarlo!$B$6*_xlfn.NORM.S.DIST(-((LN(MonteCarlo!$B$6/MonteCarlo!$B$5)+(MonteCarlo!$B$9+(B$1^2)/2)*$A20)/(B$1*SQRT($A20))),TRUE)),"")</f>
        <v/>
      </c>
      <c r="C20" t="str">
        <f>IFERROR(IF(OR(MonteCarlo!$B$4="C",MonteCarlo!$B$4="c"),MonteCarlo!$B$6*_xlfn.NORM.S.DIST((LN(MonteCarlo!$B$6/MonteCarlo!$B$5)+(MonteCarlo!$B$9+(C$1^2)/2)*$A20)/(C$1*SQRT($A20)),TRUE)-MonteCarlo!$B$5*EXP(-MonteCarlo!$B$9*$A20)*_xlfn.NORM.S.DIST(((LN(MonteCarlo!$B$6/MonteCarlo!$B$5)+(MonteCarlo!$B$9+(C$1^2)/2)*$A20)/(C$1*SQRT($A20)))-(C$1*SQRT($A20)),TRUE),MonteCarlo!$B$5*EXP(-MonteCarlo!$B$9*$A20)*_xlfn.NORM.S.DIST(-(((LN(MonteCarlo!$B$6/MonteCarlo!$B$5)+(MonteCarlo!$B$9+(C$1^2)/2)*$A20)/(C$1*SQRT($A20)))-(C$1*SQRT($A20))),TRUE)-MonteCarlo!$B$6*_xlfn.NORM.S.DIST(-((LN(MonteCarlo!$B$6/MonteCarlo!$B$5)+(MonteCarlo!$B$9+(C$1^2)/2)*$A20)/(C$1*SQRT($A20))),TRUE)),"")</f>
        <v/>
      </c>
      <c r="D20" t="str">
        <f>IFERROR(IF(OR(MonteCarlo!$B$4="C",MonteCarlo!$B$4="c"),MonteCarlo!$B$6*_xlfn.NORM.S.DIST((LN(MonteCarlo!$B$6/MonteCarlo!$B$5)+(MonteCarlo!$B$9+(D$1^2)/2)*$A20)/(D$1*SQRT($A20)),TRUE)-MonteCarlo!$B$5*EXP(-MonteCarlo!$B$9*$A20)*_xlfn.NORM.S.DIST(((LN(MonteCarlo!$B$6/MonteCarlo!$B$5)+(MonteCarlo!$B$9+(D$1^2)/2)*$A20)/(D$1*SQRT($A20)))-(D$1*SQRT($A20)),TRUE),MonteCarlo!$B$5*EXP(-MonteCarlo!$B$9*$A20)*_xlfn.NORM.S.DIST(-(((LN(MonteCarlo!$B$6/MonteCarlo!$B$5)+(MonteCarlo!$B$9+(D$1^2)/2)*$A20)/(D$1*SQRT($A20)))-(D$1*SQRT($A20))),TRUE)-MonteCarlo!$B$6*_xlfn.NORM.S.DIST(-((LN(MonteCarlo!$B$6/MonteCarlo!$B$5)+(MonteCarlo!$B$9+(D$1^2)/2)*$A20)/(D$1*SQRT($A20))),TRUE)),"")</f>
        <v/>
      </c>
      <c r="E20" t="str">
        <f>IFERROR(IF(OR(MonteCarlo!$B$4="C",MonteCarlo!$B$4="c"),MonteCarlo!$B$6*_xlfn.NORM.S.DIST((LN(MonteCarlo!$B$6/MonteCarlo!$B$5)+(MonteCarlo!$B$9+(E$1^2)/2)*$A20)/(E$1*SQRT($A20)),TRUE)-MonteCarlo!$B$5*EXP(-MonteCarlo!$B$9*$A20)*_xlfn.NORM.S.DIST(((LN(MonteCarlo!$B$6/MonteCarlo!$B$5)+(MonteCarlo!$B$9+(E$1^2)/2)*$A20)/(E$1*SQRT($A20)))-(E$1*SQRT($A20)),TRUE),MonteCarlo!$B$5*EXP(-MonteCarlo!$B$9*$A20)*_xlfn.NORM.S.DIST(-(((LN(MonteCarlo!$B$6/MonteCarlo!$B$5)+(MonteCarlo!$B$9+(E$1^2)/2)*$A20)/(E$1*SQRT($A20)))-(E$1*SQRT($A20))),TRUE)-MonteCarlo!$B$6*_xlfn.NORM.S.DIST(-((LN(MonteCarlo!$B$6/MonteCarlo!$B$5)+(MonteCarlo!$B$9+(E$1^2)/2)*$A20)/(E$1*SQRT($A20))),TRUE)),"")</f>
        <v/>
      </c>
      <c r="F20" t="str">
        <f>IFERROR(IF(OR(MonteCarlo!$B$4="C",MonteCarlo!$B$4="c"),MonteCarlo!$B$6*_xlfn.NORM.S.DIST((LN(MonteCarlo!$B$6/MonteCarlo!$B$5)+(MonteCarlo!$B$9+(F$1^2)/2)*$A20)/(F$1*SQRT($A20)),TRUE)-MonteCarlo!$B$5*EXP(-MonteCarlo!$B$9*$A20)*_xlfn.NORM.S.DIST(((LN(MonteCarlo!$B$6/MonteCarlo!$B$5)+(MonteCarlo!$B$9+(F$1^2)/2)*$A20)/(F$1*SQRT($A20)))-(F$1*SQRT($A20)),TRUE),MonteCarlo!$B$5*EXP(-MonteCarlo!$B$9*$A20)*_xlfn.NORM.S.DIST(-(((LN(MonteCarlo!$B$6/MonteCarlo!$B$5)+(MonteCarlo!$B$9+(F$1^2)/2)*$A20)/(F$1*SQRT($A20)))-(F$1*SQRT($A20))),TRUE)-MonteCarlo!$B$6*_xlfn.NORM.S.DIST(-((LN(MonteCarlo!$B$6/MonteCarlo!$B$5)+(MonteCarlo!$B$9+(F$1^2)/2)*$A20)/(F$1*SQRT($A20))),TRUE)),"")</f>
        <v/>
      </c>
      <c r="G20" t="str">
        <f>IFERROR(IF(OR(MonteCarlo!$B$4="C",MonteCarlo!$B$4="c"),MonteCarlo!$B$6*_xlfn.NORM.S.DIST((LN(MonteCarlo!$B$6/MonteCarlo!$B$5)+(MonteCarlo!$B$9+(G$1^2)/2)*$A20)/(G$1*SQRT($A20)),TRUE)-MonteCarlo!$B$5*EXP(-MonteCarlo!$B$9*$A20)*_xlfn.NORM.S.DIST(((LN(MonteCarlo!$B$6/MonteCarlo!$B$5)+(MonteCarlo!$B$9+(G$1^2)/2)*$A20)/(G$1*SQRT($A20)))-(G$1*SQRT($A20)),TRUE),MonteCarlo!$B$5*EXP(-MonteCarlo!$B$9*$A20)*_xlfn.NORM.S.DIST(-(((LN(MonteCarlo!$B$6/MonteCarlo!$B$5)+(MonteCarlo!$B$9+(G$1^2)/2)*$A20)/(G$1*SQRT($A20)))-(G$1*SQRT($A20))),TRUE)-MonteCarlo!$B$6*_xlfn.NORM.S.DIST(-((LN(MonteCarlo!$B$6/MonteCarlo!$B$5)+(MonteCarlo!$B$9+(G$1^2)/2)*$A20)/(G$1*SQRT($A20))),TRUE)),"")</f>
        <v/>
      </c>
      <c r="H20" t="str">
        <f>IFERROR(IF(OR(MonteCarlo!$B$4="C",MonteCarlo!$B$4="c"),MonteCarlo!$B$6*_xlfn.NORM.S.DIST((LN(MonteCarlo!$B$6/MonteCarlo!$B$5)+(MonteCarlo!$B$9+(H$1^2)/2)*$A20)/(H$1*SQRT($A20)),TRUE)-MonteCarlo!$B$5*EXP(-MonteCarlo!$B$9*$A20)*_xlfn.NORM.S.DIST(((LN(MonteCarlo!$B$6/MonteCarlo!$B$5)+(MonteCarlo!$B$9+(H$1^2)/2)*$A20)/(H$1*SQRT($A20)))-(H$1*SQRT($A20)),TRUE),MonteCarlo!$B$5*EXP(-MonteCarlo!$B$9*$A20)*_xlfn.NORM.S.DIST(-(((LN(MonteCarlo!$B$6/MonteCarlo!$B$5)+(MonteCarlo!$B$9+(H$1^2)/2)*$A20)/(H$1*SQRT($A20)))-(H$1*SQRT($A20))),TRUE)-MonteCarlo!$B$6*_xlfn.NORM.S.DIST(-((LN(MonteCarlo!$B$6/MonteCarlo!$B$5)+(MonteCarlo!$B$9+(H$1^2)/2)*$A20)/(H$1*SQRT($A20))),TRUE)),"")</f>
        <v/>
      </c>
      <c r="I20" t="str">
        <f>IFERROR(IF(OR(MonteCarlo!$B$4="C",MonteCarlo!$B$4="c"),MonteCarlo!$B$6*_xlfn.NORM.S.DIST((LN(MonteCarlo!$B$6/MonteCarlo!$B$5)+(MonteCarlo!$B$9+(I$1^2)/2)*$A20)/(I$1*SQRT($A20)),TRUE)-MonteCarlo!$B$5*EXP(-MonteCarlo!$B$9*$A20)*_xlfn.NORM.S.DIST(((LN(MonteCarlo!$B$6/MonteCarlo!$B$5)+(MonteCarlo!$B$9+(I$1^2)/2)*$A20)/(I$1*SQRT($A20)))-(I$1*SQRT($A20)),TRUE),MonteCarlo!$B$5*EXP(-MonteCarlo!$B$9*$A20)*_xlfn.NORM.S.DIST(-(((LN(MonteCarlo!$B$6/MonteCarlo!$B$5)+(MonteCarlo!$B$9+(I$1^2)/2)*$A20)/(I$1*SQRT($A20)))-(I$1*SQRT($A20))),TRUE)-MonteCarlo!$B$6*_xlfn.NORM.S.DIST(-((LN(MonteCarlo!$B$6/MonteCarlo!$B$5)+(MonteCarlo!$B$9+(I$1^2)/2)*$A20)/(I$1*SQRT($A20))),TRUE)),"")</f>
        <v/>
      </c>
      <c r="J20" t="str">
        <f>IFERROR(IF(OR(MonteCarlo!$B$4="C",MonteCarlo!$B$4="c"),MonteCarlo!$B$6*_xlfn.NORM.S.DIST((LN(MonteCarlo!$B$6/MonteCarlo!$B$5)+(MonteCarlo!$B$9+(J$1^2)/2)*$A20)/(J$1*SQRT($A20)),TRUE)-MonteCarlo!$B$5*EXP(-MonteCarlo!$B$9*$A20)*_xlfn.NORM.S.DIST(((LN(MonteCarlo!$B$6/MonteCarlo!$B$5)+(MonteCarlo!$B$9+(J$1^2)/2)*$A20)/(J$1*SQRT($A20)))-(J$1*SQRT($A20)),TRUE),MonteCarlo!$B$5*EXP(-MonteCarlo!$B$9*$A20)*_xlfn.NORM.S.DIST(-(((LN(MonteCarlo!$B$6/MonteCarlo!$B$5)+(MonteCarlo!$B$9+(J$1^2)/2)*$A20)/(J$1*SQRT($A20)))-(J$1*SQRT($A20))),TRUE)-MonteCarlo!$B$6*_xlfn.NORM.S.DIST(-((LN(MonteCarlo!$B$6/MonteCarlo!$B$5)+(MonteCarlo!$B$9+(J$1^2)/2)*$A20)/(J$1*SQRT($A20))),TRUE)),"")</f>
        <v/>
      </c>
      <c r="K20" t="str">
        <f>IFERROR(IF(OR(MonteCarlo!$B$4="C",MonteCarlo!$B$4="c"),MonteCarlo!$B$6*_xlfn.NORM.S.DIST((LN(MonteCarlo!$B$6/MonteCarlo!$B$5)+(MonteCarlo!$B$9+(K$1^2)/2)*$A20)/(K$1*SQRT($A20)),TRUE)-MonteCarlo!$B$5*EXP(-MonteCarlo!$B$9*$A20)*_xlfn.NORM.S.DIST(((LN(MonteCarlo!$B$6/MonteCarlo!$B$5)+(MonteCarlo!$B$9+(K$1^2)/2)*$A20)/(K$1*SQRT($A20)))-(K$1*SQRT($A20)),TRUE),MonteCarlo!$B$5*EXP(-MonteCarlo!$B$9*$A20)*_xlfn.NORM.S.DIST(-(((LN(MonteCarlo!$B$6/MonteCarlo!$B$5)+(MonteCarlo!$B$9+(K$1^2)/2)*$A20)/(K$1*SQRT($A20)))-(K$1*SQRT($A20))),TRUE)-MonteCarlo!$B$6*_xlfn.NORM.S.DIST(-((LN(MonteCarlo!$B$6/MonteCarlo!$B$5)+(MonteCarlo!$B$9+(K$1^2)/2)*$A20)/(K$1*SQRT($A20))),TRUE)),"")</f>
        <v/>
      </c>
      <c r="L20" t="str">
        <f>IFERROR(IF(OR(MonteCarlo!$B$4="C",MonteCarlo!$B$4="c"),MonteCarlo!$B$6*_xlfn.NORM.S.DIST((LN(MonteCarlo!$B$6/MonteCarlo!$B$5)+(MonteCarlo!$B$9+(L$1^2)/2)*$A20)/(L$1*SQRT($A20)),TRUE)-MonteCarlo!$B$5*EXP(-MonteCarlo!$B$9*$A20)*_xlfn.NORM.S.DIST(((LN(MonteCarlo!$B$6/MonteCarlo!$B$5)+(MonteCarlo!$B$9+(L$1^2)/2)*$A20)/(L$1*SQRT($A20)))-(L$1*SQRT($A20)),TRUE),MonteCarlo!$B$5*EXP(-MonteCarlo!$B$9*$A20)*_xlfn.NORM.S.DIST(-(((LN(MonteCarlo!$B$6/MonteCarlo!$B$5)+(MonteCarlo!$B$9+(L$1^2)/2)*$A20)/(L$1*SQRT($A20)))-(L$1*SQRT($A20))),TRUE)-MonteCarlo!$B$6*_xlfn.NORM.S.DIST(-((LN(MonteCarlo!$B$6/MonteCarlo!$B$5)+(MonteCarlo!$B$9+(L$1^2)/2)*$A20)/(L$1*SQRT($A20))),TRUE)),"")</f>
        <v/>
      </c>
      <c r="M20" t="str">
        <f>IFERROR(IF(OR(MonteCarlo!$B$4="C",MonteCarlo!$B$4="c"),MonteCarlo!$B$6*_xlfn.NORM.S.DIST((LN(MonteCarlo!$B$6/MonteCarlo!$B$5)+(MonteCarlo!$B$9+(M$1^2)/2)*$A20)/(M$1*SQRT($A20)),TRUE)-MonteCarlo!$B$5*EXP(-MonteCarlo!$B$9*$A20)*_xlfn.NORM.S.DIST(((LN(MonteCarlo!$B$6/MonteCarlo!$B$5)+(MonteCarlo!$B$9+(M$1^2)/2)*$A20)/(M$1*SQRT($A20)))-(M$1*SQRT($A20)),TRUE),MonteCarlo!$B$5*EXP(-MonteCarlo!$B$9*$A20)*_xlfn.NORM.S.DIST(-(((LN(MonteCarlo!$B$6/MonteCarlo!$B$5)+(MonteCarlo!$B$9+(M$1^2)/2)*$A20)/(M$1*SQRT($A20)))-(M$1*SQRT($A20))),TRUE)-MonteCarlo!$B$6*_xlfn.NORM.S.DIST(-((LN(MonteCarlo!$B$6/MonteCarlo!$B$5)+(MonteCarlo!$B$9+(M$1^2)/2)*$A20)/(M$1*SQRT($A20))),TRUE)),"")</f>
        <v/>
      </c>
      <c r="N20" t="str">
        <f>IFERROR(IF(OR(MonteCarlo!$B$4="C",MonteCarlo!$B$4="c"),MonteCarlo!$B$6*_xlfn.NORM.S.DIST((LN(MonteCarlo!$B$6/MonteCarlo!$B$5)+(MonteCarlo!$B$9+(N$1^2)/2)*$A20)/(N$1*SQRT($A20)),TRUE)-MonteCarlo!$B$5*EXP(-MonteCarlo!$B$9*$A20)*_xlfn.NORM.S.DIST(((LN(MonteCarlo!$B$6/MonteCarlo!$B$5)+(MonteCarlo!$B$9+(N$1^2)/2)*$A20)/(N$1*SQRT($A20)))-(N$1*SQRT($A20)),TRUE),MonteCarlo!$B$5*EXP(-MonteCarlo!$B$9*$A20)*_xlfn.NORM.S.DIST(-(((LN(MonteCarlo!$B$6/MonteCarlo!$B$5)+(MonteCarlo!$B$9+(N$1^2)/2)*$A20)/(N$1*SQRT($A20)))-(N$1*SQRT($A20))),TRUE)-MonteCarlo!$B$6*_xlfn.NORM.S.DIST(-((LN(MonteCarlo!$B$6/MonteCarlo!$B$5)+(MonteCarlo!$B$9+(N$1^2)/2)*$A20)/(N$1*SQRT($A20))),TRUE)),"")</f>
        <v/>
      </c>
      <c r="O20" t="str">
        <f>IFERROR(IF(OR(MonteCarlo!$B$4="C",MonteCarlo!$B$4="c"),MonteCarlo!$B$6*_xlfn.NORM.S.DIST((LN(MonteCarlo!$B$6/MonteCarlo!$B$5)+(MonteCarlo!$B$9+(O$1^2)/2)*$A20)/(O$1*SQRT($A20)),TRUE)-MonteCarlo!$B$5*EXP(-MonteCarlo!$B$9*$A20)*_xlfn.NORM.S.DIST(((LN(MonteCarlo!$B$6/MonteCarlo!$B$5)+(MonteCarlo!$B$9+(O$1^2)/2)*$A20)/(O$1*SQRT($A20)))-(O$1*SQRT($A20)),TRUE),MonteCarlo!$B$5*EXP(-MonteCarlo!$B$9*$A20)*_xlfn.NORM.S.DIST(-(((LN(MonteCarlo!$B$6/MonteCarlo!$B$5)+(MonteCarlo!$B$9+(O$1^2)/2)*$A20)/(O$1*SQRT($A20)))-(O$1*SQRT($A20))),TRUE)-MonteCarlo!$B$6*_xlfn.NORM.S.DIST(-((LN(MonteCarlo!$B$6/MonteCarlo!$B$5)+(MonteCarlo!$B$9+(O$1^2)/2)*$A20)/(O$1*SQRT($A20))),TRUE)),"")</f>
        <v/>
      </c>
      <c r="P20" t="str">
        <f>IFERROR(IF(OR(MonteCarlo!$B$4="C",MonteCarlo!$B$4="c"),MonteCarlo!$B$6*_xlfn.NORM.S.DIST((LN(MonteCarlo!$B$6/MonteCarlo!$B$5)+(MonteCarlo!$B$9+(P$1^2)/2)*$A20)/(P$1*SQRT($A20)),TRUE)-MonteCarlo!$B$5*EXP(-MonteCarlo!$B$9*$A20)*_xlfn.NORM.S.DIST(((LN(MonteCarlo!$B$6/MonteCarlo!$B$5)+(MonteCarlo!$B$9+(P$1^2)/2)*$A20)/(P$1*SQRT($A20)))-(P$1*SQRT($A20)),TRUE),MonteCarlo!$B$5*EXP(-MonteCarlo!$B$9*$A20)*_xlfn.NORM.S.DIST(-(((LN(MonteCarlo!$B$6/MonteCarlo!$B$5)+(MonteCarlo!$B$9+(P$1^2)/2)*$A20)/(P$1*SQRT($A20)))-(P$1*SQRT($A20))),TRUE)-MonteCarlo!$B$6*_xlfn.NORM.S.DIST(-((LN(MonteCarlo!$B$6/MonteCarlo!$B$5)+(MonteCarlo!$B$9+(P$1^2)/2)*$A20)/(P$1*SQRT($A20))),TRUE)),"")</f>
        <v/>
      </c>
      <c r="Q20" t="str">
        <f>IFERROR(IF(OR(MonteCarlo!$B$4="C",MonteCarlo!$B$4="c"),MonteCarlo!$B$6*_xlfn.NORM.S.DIST((LN(MonteCarlo!$B$6/MonteCarlo!$B$5)+(MonteCarlo!$B$9+(Q$1^2)/2)*$A20)/(Q$1*SQRT($A20)),TRUE)-MonteCarlo!$B$5*EXP(-MonteCarlo!$B$9*$A20)*_xlfn.NORM.S.DIST(((LN(MonteCarlo!$B$6/MonteCarlo!$B$5)+(MonteCarlo!$B$9+(Q$1^2)/2)*$A20)/(Q$1*SQRT($A20)))-(Q$1*SQRT($A20)),TRUE),MonteCarlo!$B$5*EXP(-MonteCarlo!$B$9*$A20)*_xlfn.NORM.S.DIST(-(((LN(MonteCarlo!$B$6/MonteCarlo!$B$5)+(MonteCarlo!$B$9+(Q$1^2)/2)*$A20)/(Q$1*SQRT($A20)))-(Q$1*SQRT($A20))),TRUE)-MonteCarlo!$B$6*_xlfn.NORM.S.DIST(-((LN(MonteCarlo!$B$6/MonteCarlo!$B$5)+(MonteCarlo!$B$9+(Q$1^2)/2)*$A20)/(Q$1*SQRT($A20))),TRUE)),"")</f>
        <v/>
      </c>
      <c r="R20" t="str">
        <f>IFERROR(IF(OR(MonteCarlo!$B$4="C",MonteCarlo!$B$4="c"),MonteCarlo!$B$6*_xlfn.NORM.S.DIST((LN(MonteCarlo!$B$6/MonteCarlo!$B$5)+(MonteCarlo!$B$9+(R$1^2)/2)*$A20)/(R$1*SQRT($A20)),TRUE)-MonteCarlo!$B$5*EXP(-MonteCarlo!$B$9*$A20)*_xlfn.NORM.S.DIST(((LN(MonteCarlo!$B$6/MonteCarlo!$B$5)+(MonteCarlo!$B$9+(R$1^2)/2)*$A20)/(R$1*SQRT($A20)))-(R$1*SQRT($A20)),TRUE),MonteCarlo!$B$5*EXP(-MonteCarlo!$B$9*$A20)*_xlfn.NORM.S.DIST(-(((LN(MonteCarlo!$B$6/MonteCarlo!$B$5)+(MonteCarlo!$B$9+(R$1^2)/2)*$A20)/(R$1*SQRT($A20)))-(R$1*SQRT($A20))),TRUE)-MonteCarlo!$B$6*_xlfn.NORM.S.DIST(-((LN(MonteCarlo!$B$6/MonteCarlo!$B$5)+(MonteCarlo!$B$9+(R$1^2)/2)*$A20)/(R$1*SQRT($A20))),TRUE)),"")</f>
        <v/>
      </c>
      <c r="S20" t="str">
        <f>IFERROR(IF(OR(MonteCarlo!$B$4="C",MonteCarlo!$B$4="c"),MonteCarlo!$B$6*_xlfn.NORM.S.DIST((LN(MonteCarlo!$B$6/MonteCarlo!$B$5)+(MonteCarlo!$B$9+(S$1^2)/2)*$A20)/(S$1*SQRT($A20)),TRUE)-MonteCarlo!$B$5*EXP(-MonteCarlo!$B$9*$A20)*_xlfn.NORM.S.DIST(((LN(MonteCarlo!$B$6/MonteCarlo!$B$5)+(MonteCarlo!$B$9+(S$1^2)/2)*$A20)/(S$1*SQRT($A20)))-(S$1*SQRT($A20)),TRUE),MonteCarlo!$B$5*EXP(-MonteCarlo!$B$9*$A20)*_xlfn.NORM.S.DIST(-(((LN(MonteCarlo!$B$6/MonteCarlo!$B$5)+(MonteCarlo!$B$9+(S$1^2)/2)*$A20)/(S$1*SQRT($A20)))-(S$1*SQRT($A20))),TRUE)-MonteCarlo!$B$6*_xlfn.NORM.S.DIST(-((LN(MonteCarlo!$B$6/MonteCarlo!$B$5)+(MonteCarlo!$B$9+(S$1^2)/2)*$A20)/(S$1*SQRT($A20))),TRUE)),"")</f>
        <v/>
      </c>
      <c r="T20" t="str">
        <f>IFERROR(IF(OR(MonteCarlo!$B$4="C",MonteCarlo!$B$4="c"),MonteCarlo!$B$6*_xlfn.NORM.S.DIST((LN(MonteCarlo!$B$6/MonteCarlo!$B$5)+(MonteCarlo!$B$9+(T$1^2)/2)*$A20)/(T$1*SQRT($A20)),TRUE)-MonteCarlo!$B$5*EXP(-MonteCarlo!$B$9*$A20)*_xlfn.NORM.S.DIST(((LN(MonteCarlo!$B$6/MonteCarlo!$B$5)+(MonteCarlo!$B$9+(T$1^2)/2)*$A20)/(T$1*SQRT($A20)))-(T$1*SQRT($A20)),TRUE),MonteCarlo!$B$5*EXP(-MonteCarlo!$B$9*$A20)*_xlfn.NORM.S.DIST(-(((LN(MonteCarlo!$B$6/MonteCarlo!$B$5)+(MonteCarlo!$B$9+(T$1^2)/2)*$A20)/(T$1*SQRT($A20)))-(T$1*SQRT($A20))),TRUE)-MonteCarlo!$B$6*_xlfn.NORM.S.DIST(-((LN(MonteCarlo!$B$6/MonteCarlo!$B$5)+(MonteCarlo!$B$9+(T$1^2)/2)*$A20)/(T$1*SQRT($A20))),TRUE)),"")</f>
        <v/>
      </c>
      <c r="U20" t="str">
        <f>IFERROR(IF(OR(MonteCarlo!$B$4="C",MonteCarlo!$B$4="c"),MonteCarlo!$B$6*_xlfn.NORM.S.DIST((LN(MonteCarlo!$B$6/MonteCarlo!$B$5)+(MonteCarlo!$B$9+(U$1^2)/2)*$A20)/(U$1*SQRT($A20)),TRUE)-MonteCarlo!$B$5*EXP(-MonteCarlo!$B$9*$A20)*_xlfn.NORM.S.DIST(((LN(MonteCarlo!$B$6/MonteCarlo!$B$5)+(MonteCarlo!$B$9+(U$1^2)/2)*$A20)/(U$1*SQRT($A20)))-(U$1*SQRT($A20)),TRUE),MonteCarlo!$B$5*EXP(-MonteCarlo!$B$9*$A20)*_xlfn.NORM.S.DIST(-(((LN(MonteCarlo!$B$6/MonteCarlo!$B$5)+(MonteCarlo!$B$9+(U$1^2)/2)*$A20)/(U$1*SQRT($A20)))-(U$1*SQRT($A20))),TRUE)-MonteCarlo!$B$6*_xlfn.NORM.S.DIST(-((LN(MonteCarlo!$B$6/MonteCarlo!$B$5)+(MonteCarlo!$B$9+(U$1^2)/2)*$A20)/(U$1*SQRT($A20))),TRUE)),"")</f>
        <v/>
      </c>
      <c r="V20" t="str">
        <f>IFERROR(IF(OR(MonteCarlo!$B$4="C",MonteCarlo!$B$4="c"),MonteCarlo!$B$6*_xlfn.NORM.S.DIST((LN(MonteCarlo!$B$6/MonteCarlo!$B$5)+(MonteCarlo!$B$9+(V$1^2)/2)*$A20)/(V$1*SQRT($A20)),TRUE)-MonteCarlo!$B$5*EXP(-MonteCarlo!$B$9*$A20)*_xlfn.NORM.S.DIST(((LN(MonteCarlo!$B$6/MonteCarlo!$B$5)+(MonteCarlo!$B$9+(V$1^2)/2)*$A20)/(V$1*SQRT($A20)))-(V$1*SQRT($A20)),TRUE),MonteCarlo!$B$5*EXP(-MonteCarlo!$B$9*$A20)*_xlfn.NORM.S.DIST(-(((LN(MonteCarlo!$B$6/MonteCarlo!$B$5)+(MonteCarlo!$B$9+(V$1^2)/2)*$A20)/(V$1*SQRT($A20)))-(V$1*SQRT($A20))),TRUE)-MonteCarlo!$B$6*_xlfn.NORM.S.DIST(-((LN(MonteCarlo!$B$6/MonteCarlo!$B$5)+(MonteCarlo!$B$9+(V$1^2)/2)*$A20)/(V$1*SQRT($A20))),TRUE)),"")</f>
        <v/>
      </c>
      <c r="W20" t="str">
        <f>IFERROR(IF(OR(MonteCarlo!$B$4="C",MonteCarlo!$B$4="c"),MonteCarlo!$B$6*_xlfn.NORM.S.DIST((LN(MonteCarlo!$B$6/MonteCarlo!$B$5)+(MonteCarlo!$B$9+(W$1^2)/2)*$A20)/(W$1*SQRT($A20)),TRUE)-MonteCarlo!$B$5*EXP(-MonteCarlo!$B$9*$A20)*_xlfn.NORM.S.DIST(((LN(MonteCarlo!$B$6/MonteCarlo!$B$5)+(MonteCarlo!$B$9+(W$1^2)/2)*$A20)/(W$1*SQRT($A20)))-(W$1*SQRT($A20)),TRUE),MonteCarlo!$B$5*EXP(-MonteCarlo!$B$9*$A20)*_xlfn.NORM.S.DIST(-(((LN(MonteCarlo!$B$6/MonteCarlo!$B$5)+(MonteCarlo!$B$9+(W$1^2)/2)*$A20)/(W$1*SQRT($A20)))-(W$1*SQRT($A20))),TRUE)-MonteCarlo!$B$6*_xlfn.NORM.S.DIST(-((LN(MonteCarlo!$B$6/MonteCarlo!$B$5)+(MonteCarlo!$B$9+(W$1^2)/2)*$A20)/(W$1*SQRT($A20))),TRUE)),"")</f>
        <v/>
      </c>
      <c r="X20" t="str">
        <f>IFERROR(IF(OR(MonteCarlo!$B$4="C",MonteCarlo!$B$4="c"),MonteCarlo!$B$6*_xlfn.NORM.S.DIST((LN(MonteCarlo!$B$6/MonteCarlo!$B$5)+(MonteCarlo!$B$9+(X$1^2)/2)*$A20)/(X$1*SQRT($A20)),TRUE)-MonteCarlo!$B$5*EXP(-MonteCarlo!$B$9*$A20)*_xlfn.NORM.S.DIST(((LN(MonteCarlo!$B$6/MonteCarlo!$B$5)+(MonteCarlo!$B$9+(X$1^2)/2)*$A20)/(X$1*SQRT($A20)))-(X$1*SQRT($A20)),TRUE),MonteCarlo!$B$5*EXP(-MonteCarlo!$B$9*$A20)*_xlfn.NORM.S.DIST(-(((LN(MonteCarlo!$B$6/MonteCarlo!$B$5)+(MonteCarlo!$B$9+(X$1^2)/2)*$A20)/(X$1*SQRT($A20)))-(X$1*SQRT($A20))),TRUE)-MonteCarlo!$B$6*_xlfn.NORM.S.DIST(-((LN(MonteCarlo!$B$6/MonteCarlo!$B$5)+(MonteCarlo!$B$9+(X$1^2)/2)*$A20)/(X$1*SQRT($A20))),TRUE)),"")</f>
        <v/>
      </c>
      <c r="Y20" t="str">
        <f>IFERROR(IF(OR(MonteCarlo!$B$4="C",MonteCarlo!$B$4="c"),MonteCarlo!$B$6*_xlfn.NORM.S.DIST((LN(MonteCarlo!$B$6/MonteCarlo!$B$5)+(MonteCarlo!$B$9+(Y$1^2)/2)*$A20)/(Y$1*SQRT($A20)),TRUE)-MonteCarlo!$B$5*EXP(-MonteCarlo!$B$9*$A20)*_xlfn.NORM.S.DIST(((LN(MonteCarlo!$B$6/MonteCarlo!$B$5)+(MonteCarlo!$B$9+(Y$1^2)/2)*$A20)/(Y$1*SQRT($A20)))-(Y$1*SQRT($A20)),TRUE),MonteCarlo!$B$5*EXP(-MonteCarlo!$B$9*$A20)*_xlfn.NORM.S.DIST(-(((LN(MonteCarlo!$B$6/MonteCarlo!$B$5)+(MonteCarlo!$B$9+(Y$1^2)/2)*$A20)/(Y$1*SQRT($A20)))-(Y$1*SQRT($A20))),TRUE)-MonteCarlo!$B$6*_xlfn.NORM.S.DIST(-((LN(MonteCarlo!$B$6/MonteCarlo!$B$5)+(MonteCarlo!$B$9+(Y$1^2)/2)*$A20)/(Y$1*SQRT($A20))),TRUE)),"")</f>
        <v/>
      </c>
      <c r="Z20" t="str">
        <f>IFERROR(IF(OR(MonteCarlo!$B$4="C",MonteCarlo!$B$4="c"),MonteCarlo!$B$6*_xlfn.NORM.S.DIST((LN(MonteCarlo!$B$6/MonteCarlo!$B$5)+(MonteCarlo!$B$9+(Z$1^2)/2)*$A20)/(Z$1*SQRT($A20)),TRUE)-MonteCarlo!$B$5*EXP(-MonteCarlo!$B$9*$A20)*_xlfn.NORM.S.DIST(((LN(MonteCarlo!$B$6/MonteCarlo!$B$5)+(MonteCarlo!$B$9+(Z$1^2)/2)*$A20)/(Z$1*SQRT($A20)))-(Z$1*SQRT($A20)),TRUE),MonteCarlo!$B$5*EXP(-MonteCarlo!$B$9*$A20)*_xlfn.NORM.S.DIST(-(((LN(MonteCarlo!$B$6/MonteCarlo!$B$5)+(MonteCarlo!$B$9+(Z$1^2)/2)*$A20)/(Z$1*SQRT($A20)))-(Z$1*SQRT($A20))),TRUE)-MonteCarlo!$B$6*_xlfn.NORM.S.DIST(-((LN(MonteCarlo!$B$6/MonteCarlo!$B$5)+(MonteCarlo!$B$9+(Z$1^2)/2)*$A20)/(Z$1*SQRT($A20))),TRUE)),"")</f>
        <v/>
      </c>
      <c r="AA20" t="str">
        <f>IFERROR(IF(OR(MonteCarlo!$B$4="C",MonteCarlo!$B$4="c"),MonteCarlo!$B$6*_xlfn.NORM.S.DIST((LN(MonteCarlo!$B$6/MonteCarlo!$B$5)+(MonteCarlo!$B$9+(AA$1^2)/2)*$A20)/(AA$1*SQRT($A20)),TRUE)-MonteCarlo!$B$5*EXP(-MonteCarlo!$B$9*$A20)*_xlfn.NORM.S.DIST(((LN(MonteCarlo!$B$6/MonteCarlo!$B$5)+(MonteCarlo!$B$9+(AA$1^2)/2)*$A20)/(AA$1*SQRT($A20)))-(AA$1*SQRT($A20)),TRUE),MonteCarlo!$B$5*EXP(-MonteCarlo!$B$9*$A20)*_xlfn.NORM.S.DIST(-(((LN(MonteCarlo!$B$6/MonteCarlo!$B$5)+(MonteCarlo!$B$9+(AA$1^2)/2)*$A20)/(AA$1*SQRT($A20)))-(AA$1*SQRT($A20))),TRUE)-MonteCarlo!$B$6*_xlfn.NORM.S.DIST(-((LN(MonteCarlo!$B$6/MonteCarlo!$B$5)+(MonteCarlo!$B$9+(AA$1^2)/2)*$A20)/(AA$1*SQRT($A20))),TRUE)),"")</f>
        <v/>
      </c>
      <c r="AB20" t="str">
        <f>IFERROR(IF(OR(MonteCarlo!$B$4="C",MonteCarlo!$B$4="c"),MonteCarlo!$B$6*_xlfn.NORM.S.DIST((LN(MonteCarlo!$B$6/MonteCarlo!$B$5)+(MonteCarlo!$B$9+(AB$1^2)/2)*$A20)/(AB$1*SQRT($A20)),TRUE)-MonteCarlo!$B$5*EXP(-MonteCarlo!$B$9*$A20)*_xlfn.NORM.S.DIST(((LN(MonteCarlo!$B$6/MonteCarlo!$B$5)+(MonteCarlo!$B$9+(AB$1^2)/2)*$A20)/(AB$1*SQRT($A20)))-(AB$1*SQRT($A20)),TRUE),MonteCarlo!$B$5*EXP(-MonteCarlo!$B$9*$A20)*_xlfn.NORM.S.DIST(-(((LN(MonteCarlo!$B$6/MonteCarlo!$B$5)+(MonteCarlo!$B$9+(AB$1^2)/2)*$A20)/(AB$1*SQRT($A20)))-(AB$1*SQRT($A20))),TRUE)-MonteCarlo!$B$6*_xlfn.NORM.S.DIST(-((LN(MonteCarlo!$B$6/MonteCarlo!$B$5)+(MonteCarlo!$B$9+(AB$1^2)/2)*$A20)/(AB$1*SQRT($A20))),TRUE)),"")</f>
        <v/>
      </c>
      <c r="AC20" t="str">
        <f>IFERROR(IF(OR(MonteCarlo!$B$4="C",MonteCarlo!$B$4="c"),MonteCarlo!$B$6*_xlfn.NORM.S.DIST((LN(MonteCarlo!$B$6/MonteCarlo!$B$5)+(MonteCarlo!$B$9+(AC$1^2)/2)*$A20)/(AC$1*SQRT($A20)),TRUE)-MonteCarlo!$B$5*EXP(-MonteCarlo!$B$9*$A20)*_xlfn.NORM.S.DIST(((LN(MonteCarlo!$B$6/MonteCarlo!$B$5)+(MonteCarlo!$B$9+(AC$1^2)/2)*$A20)/(AC$1*SQRT($A20)))-(AC$1*SQRT($A20)),TRUE),MonteCarlo!$B$5*EXP(-MonteCarlo!$B$9*$A20)*_xlfn.NORM.S.DIST(-(((LN(MonteCarlo!$B$6/MonteCarlo!$B$5)+(MonteCarlo!$B$9+(AC$1^2)/2)*$A20)/(AC$1*SQRT($A20)))-(AC$1*SQRT($A20))),TRUE)-MonteCarlo!$B$6*_xlfn.NORM.S.DIST(-((LN(MonteCarlo!$B$6/MonteCarlo!$B$5)+(MonteCarlo!$B$9+(AC$1^2)/2)*$A20)/(AC$1*SQRT($A20))),TRUE)),"")</f>
        <v/>
      </c>
      <c r="AD20" t="str">
        <f>IFERROR(IF(OR(MonteCarlo!$B$4="C",MonteCarlo!$B$4="c"),MonteCarlo!$B$6*_xlfn.NORM.S.DIST((LN(MonteCarlo!$B$6/MonteCarlo!$B$5)+(MonteCarlo!$B$9+(AD$1^2)/2)*$A20)/(AD$1*SQRT($A20)),TRUE)-MonteCarlo!$B$5*EXP(-MonteCarlo!$B$9*$A20)*_xlfn.NORM.S.DIST(((LN(MonteCarlo!$B$6/MonteCarlo!$B$5)+(MonteCarlo!$B$9+(AD$1^2)/2)*$A20)/(AD$1*SQRT($A20)))-(AD$1*SQRT($A20)),TRUE),MonteCarlo!$B$5*EXP(-MonteCarlo!$B$9*$A20)*_xlfn.NORM.S.DIST(-(((LN(MonteCarlo!$B$6/MonteCarlo!$B$5)+(MonteCarlo!$B$9+(AD$1^2)/2)*$A20)/(AD$1*SQRT($A20)))-(AD$1*SQRT($A20))),TRUE)-MonteCarlo!$B$6*_xlfn.NORM.S.DIST(-((LN(MonteCarlo!$B$6/MonteCarlo!$B$5)+(MonteCarlo!$B$9+(AD$1^2)/2)*$A20)/(AD$1*SQRT($A20))),TRUE)),"")</f>
        <v/>
      </c>
      <c r="AE20" t="str">
        <f>IFERROR(IF(OR(MonteCarlo!$B$4="C",MonteCarlo!$B$4="c"),MonteCarlo!$B$6*_xlfn.NORM.S.DIST((LN(MonteCarlo!$B$6/MonteCarlo!$B$5)+(MonteCarlo!$B$9+(AE$1^2)/2)*$A20)/(AE$1*SQRT($A20)),TRUE)-MonteCarlo!$B$5*EXP(-MonteCarlo!$B$9*$A20)*_xlfn.NORM.S.DIST(((LN(MonteCarlo!$B$6/MonteCarlo!$B$5)+(MonteCarlo!$B$9+(AE$1^2)/2)*$A20)/(AE$1*SQRT($A20)))-(AE$1*SQRT($A20)),TRUE),MonteCarlo!$B$5*EXP(-MonteCarlo!$B$9*$A20)*_xlfn.NORM.S.DIST(-(((LN(MonteCarlo!$B$6/MonteCarlo!$B$5)+(MonteCarlo!$B$9+(AE$1^2)/2)*$A20)/(AE$1*SQRT($A20)))-(AE$1*SQRT($A20))),TRUE)-MonteCarlo!$B$6*_xlfn.NORM.S.DIST(-((LN(MonteCarlo!$B$6/MonteCarlo!$B$5)+(MonteCarlo!$B$9+(AE$1^2)/2)*$A20)/(AE$1*SQRT($A20))),TRUE)),"")</f>
        <v/>
      </c>
      <c r="AF20" t="str">
        <f>IFERROR(IF(OR(MonteCarlo!$B$4="C",MonteCarlo!$B$4="c"),MonteCarlo!$B$6*_xlfn.NORM.S.DIST((LN(MonteCarlo!$B$6/MonteCarlo!$B$5)+(MonteCarlo!$B$9+(AF$1^2)/2)*$A20)/(AF$1*SQRT($A20)),TRUE)-MonteCarlo!$B$5*EXP(-MonteCarlo!$B$9*$A20)*_xlfn.NORM.S.DIST(((LN(MonteCarlo!$B$6/MonteCarlo!$B$5)+(MonteCarlo!$B$9+(AF$1^2)/2)*$A20)/(AF$1*SQRT($A20)))-(AF$1*SQRT($A20)),TRUE),MonteCarlo!$B$5*EXP(-MonteCarlo!$B$9*$A20)*_xlfn.NORM.S.DIST(-(((LN(MonteCarlo!$B$6/MonteCarlo!$B$5)+(MonteCarlo!$B$9+(AF$1^2)/2)*$A20)/(AF$1*SQRT($A20)))-(AF$1*SQRT($A20))),TRUE)-MonteCarlo!$B$6*_xlfn.NORM.S.DIST(-((LN(MonteCarlo!$B$6/MonteCarlo!$B$5)+(MonteCarlo!$B$9+(AF$1^2)/2)*$A20)/(AF$1*SQRT($A20))),TRUE)),"")</f>
        <v/>
      </c>
    </row>
    <row r="21" spans="2:32" x14ac:dyDescent="0.25">
      <c r="B21" t="str">
        <f>IFERROR(IF(OR(MonteCarlo!$B$4="C",MonteCarlo!$B$4="c"),MonteCarlo!$B$6*_xlfn.NORM.S.DIST((LN(MonteCarlo!$B$6/MonteCarlo!$B$5)+(MonteCarlo!$B$9+(B$1^2)/2)*$A21)/(B$1*SQRT($A21)),TRUE)-MonteCarlo!$B$5*EXP(-MonteCarlo!$B$9*$A21)*_xlfn.NORM.S.DIST(((LN(MonteCarlo!$B$6/MonteCarlo!$B$5)+(MonteCarlo!$B$9+(B$1^2)/2)*$A21)/(B$1*SQRT($A21)))-(B$1*SQRT($A21)),TRUE),MonteCarlo!$B$5*EXP(-MonteCarlo!$B$9*$A21)*_xlfn.NORM.S.DIST(-(((LN(MonteCarlo!$B$6/MonteCarlo!$B$5)+(MonteCarlo!$B$9+(B$1^2)/2)*$A21)/(B$1*SQRT($A21)))-(B$1*SQRT($A21))),TRUE)-MonteCarlo!$B$6*_xlfn.NORM.S.DIST(-((LN(MonteCarlo!$B$6/MonteCarlo!$B$5)+(MonteCarlo!$B$9+(B$1^2)/2)*$A21)/(B$1*SQRT($A21))),TRUE)),"")</f>
        <v/>
      </c>
      <c r="C21" t="str">
        <f>IFERROR(IF(OR(MonteCarlo!$B$4="C",MonteCarlo!$B$4="c"),MonteCarlo!$B$6*_xlfn.NORM.S.DIST((LN(MonteCarlo!$B$6/MonteCarlo!$B$5)+(MonteCarlo!$B$9+(C$1^2)/2)*$A21)/(C$1*SQRT($A21)),TRUE)-MonteCarlo!$B$5*EXP(-MonteCarlo!$B$9*$A21)*_xlfn.NORM.S.DIST(((LN(MonteCarlo!$B$6/MonteCarlo!$B$5)+(MonteCarlo!$B$9+(C$1^2)/2)*$A21)/(C$1*SQRT($A21)))-(C$1*SQRT($A21)),TRUE),MonteCarlo!$B$5*EXP(-MonteCarlo!$B$9*$A21)*_xlfn.NORM.S.DIST(-(((LN(MonteCarlo!$B$6/MonteCarlo!$B$5)+(MonteCarlo!$B$9+(C$1^2)/2)*$A21)/(C$1*SQRT($A21)))-(C$1*SQRT($A21))),TRUE)-MonteCarlo!$B$6*_xlfn.NORM.S.DIST(-((LN(MonteCarlo!$B$6/MonteCarlo!$B$5)+(MonteCarlo!$B$9+(C$1^2)/2)*$A21)/(C$1*SQRT($A21))),TRUE)),"")</f>
        <v/>
      </c>
      <c r="D21" t="str">
        <f>IFERROR(IF(OR(MonteCarlo!$B$4="C",MonteCarlo!$B$4="c"),MonteCarlo!$B$6*_xlfn.NORM.S.DIST((LN(MonteCarlo!$B$6/MonteCarlo!$B$5)+(MonteCarlo!$B$9+(D$1^2)/2)*$A21)/(D$1*SQRT($A21)),TRUE)-MonteCarlo!$B$5*EXP(-MonteCarlo!$B$9*$A21)*_xlfn.NORM.S.DIST(((LN(MonteCarlo!$B$6/MonteCarlo!$B$5)+(MonteCarlo!$B$9+(D$1^2)/2)*$A21)/(D$1*SQRT($A21)))-(D$1*SQRT($A21)),TRUE),MonteCarlo!$B$5*EXP(-MonteCarlo!$B$9*$A21)*_xlfn.NORM.S.DIST(-(((LN(MonteCarlo!$B$6/MonteCarlo!$B$5)+(MonteCarlo!$B$9+(D$1^2)/2)*$A21)/(D$1*SQRT($A21)))-(D$1*SQRT($A21))),TRUE)-MonteCarlo!$B$6*_xlfn.NORM.S.DIST(-((LN(MonteCarlo!$B$6/MonteCarlo!$B$5)+(MonteCarlo!$B$9+(D$1^2)/2)*$A21)/(D$1*SQRT($A21))),TRUE)),"")</f>
        <v/>
      </c>
      <c r="E21" t="str">
        <f>IFERROR(IF(OR(MonteCarlo!$B$4="C",MonteCarlo!$B$4="c"),MonteCarlo!$B$6*_xlfn.NORM.S.DIST((LN(MonteCarlo!$B$6/MonteCarlo!$B$5)+(MonteCarlo!$B$9+(E$1^2)/2)*$A21)/(E$1*SQRT($A21)),TRUE)-MonteCarlo!$B$5*EXP(-MonteCarlo!$B$9*$A21)*_xlfn.NORM.S.DIST(((LN(MonteCarlo!$B$6/MonteCarlo!$B$5)+(MonteCarlo!$B$9+(E$1^2)/2)*$A21)/(E$1*SQRT($A21)))-(E$1*SQRT($A21)),TRUE),MonteCarlo!$B$5*EXP(-MonteCarlo!$B$9*$A21)*_xlfn.NORM.S.DIST(-(((LN(MonteCarlo!$B$6/MonteCarlo!$B$5)+(MonteCarlo!$B$9+(E$1^2)/2)*$A21)/(E$1*SQRT($A21)))-(E$1*SQRT($A21))),TRUE)-MonteCarlo!$B$6*_xlfn.NORM.S.DIST(-((LN(MonteCarlo!$B$6/MonteCarlo!$B$5)+(MonteCarlo!$B$9+(E$1^2)/2)*$A21)/(E$1*SQRT($A21))),TRUE)),"")</f>
        <v/>
      </c>
      <c r="F21" t="str">
        <f>IFERROR(IF(OR(MonteCarlo!$B$4="C",MonteCarlo!$B$4="c"),MonteCarlo!$B$6*_xlfn.NORM.S.DIST((LN(MonteCarlo!$B$6/MonteCarlo!$B$5)+(MonteCarlo!$B$9+(F$1^2)/2)*$A21)/(F$1*SQRT($A21)),TRUE)-MonteCarlo!$B$5*EXP(-MonteCarlo!$B$9*$A21)*_xlfn.NORM.S.DIST(((LN(MonteCarlo!$B$6/MonteCarlo!$B$5)+(MonteCarlo!$B$9+(F$1^2)/2)*$A21)/(F$1*SQRT($A21)))-(F$1*SQRT($A21)),TRUE),MonteCarlo!$B$5*EXP(-MonteCarlo!$B$9*$A21)*_xlfn.NORM.S.DIST(-(((LN(MonteCarlo!$B$6/MonteCarlo!$B$5)+(MonteCarlo!$B$9+(F$1^2)/2)*$A21)/(F$1*SQRT($A21)))-(F$1*SQRT($A21))),TRUE)-MonteCarlo!$B$6*_xlfn.NORM.S.DIST(-((LN(MonteCarlo!$B$6/MonteCarlo!$B$5)+(MonteCarlo!$B$9+(F$1^2)/2)*$A21)/(F$1*SQRT($A21))),TRUE)),"")</f>
        <v/>
      </c>
      <c r="G21" t="str">
        <f>IFERROR(IF(OR(MonteCarlo!$B$4="C",MonteCarlo!$B$4="c"),MonteCarlo!$B$6*_xlfn.NORM.S.DIST((LN(MonteCarlo!$B$6/MonteCarlo!$B$5)+(MonteCarlo!$B$9+(G$1^2)/2)*$A21)/(G$1*SQRT($A21)),TRUE)-MonteCarlo!$B$5*EXP(-MonteCarlo!$B$9*$A21)*_xlfn.NORM.S.DIST(((LN(MonteCarlo!$B$6/MonteCarlo!$B$5)+(MonteCarlo!$B$9+(G$1^2)/2)*$A21)/(G$1*SQRT($A21)))-(G$1*SQRT($A21)),TRUE),MonteCarlo!$B$5*EXP(-MonteCarlo!$B$9*$A21)*_xlfn.NORM.S.DIST(-(((LN(MonteCarlo!$B$6/MonteCarlo!$B$5)+(MonteCarlo!$B$9+(G$1^2)/2)*$A21)/(G$1*SQRT($A21)))-(G$1*SQRT($A21))),TRUE)-MonteCarlo!$B$6*_xlfn.NORM.S.DIST(-((LN(MonteCarlo!$B$6/MonteCarlo!$B$5)+(MonteCarlo!$B$9+(G$1^2)/2)*$A21)/(G$1*SQRT($A21))),TRUE)),"")</f>
        <v/>
      </c>
      <c r="H21" t="str">
        <f>IFERROR(IF(OR(MonteCarlo!$B$4="C",MonteCarlo!$B$4="c"),MonteCarlo!$B$6*_xlfn.NORM.S.DIST((LN(MonteCarlo!$B$6/MonteCarlo!$B$5)+(MonteCarlo!$B$9+(H$1^2)/2)*$A21)/(H$1*SQRT($A21)),TRUE)-MonteCarlo!$B$5*EXP(-MonteCarlo!$B$9*$A21)*_xlfn.NORM.S.DIST(((LN(MonteCarlo!$B$6/MonteCarlo!$B$5)+(MonteCarlo!$B$9+(H$1^2)/2)*$A21)/(H$1*SQRT($A21)))-(H$1*SQRT($A21)),TRUE),MonteCarlo!$B$5*EXP(-MonteCarlo!$B$9*$A21)*_xlfn.NORM.S.DIST(-(((LN(MonteCarlo!$B$6/MonteCarlo!$B$5)+(MonteCarlo!$B$9+(H$1^2)/2)*$A21)/(H$1*SQRT($A21)))-(H$1*SQRT($A21))),TRUE)-MonteCarlo!$B$6*_xlfn.NORM.S.DIST(-((LN(MonteCarlo!$B$6/MonteCarlo!$B$5)+(MonteCarlo!$B$9+(H$1^2)/2)*$A21)/(H$1*SQRT($A21))),TRUE)),"")</f>
        <v/>
      </c>
      <c r="I21" t="str">
        <f>IFERROR(IF(OR(MonteCarlo!$B$4="C",MonteCarlo!$B$4="c"),MonteCarlo!$B$6*_xlfn.NORM.S.DIST((LN(MonteCarlo!$B$6/MonteCarlo!$B$5)+(MonteCarlo!$B$9+(I$1^2)/2)*$A21)/(I$1*SQRT($A21)),TRUE)-MonteCarlo!$B$5*EXP(-MonteCarlo!$B$9*$A21)*_xlfn.NORM.S.DIST(((LN(MonteCarlo!$B$6/MonteCarlo!$B$5)+(MonteCarlo!$B$9+(I$1^2)/2)*$A21)/(I$1*SQRT($A21)))-(I$1*SQRT($A21)),TRUE),MonteCarlo!$B$5*EXP(-MonteCarlo!$B$9*$A21)*_xlfn.NORM.S.DIST(-(((LN(MonteCarlo!$B$6/MonteCarlo!$B$5)+(MonteCarlo!$B$9+(I$1^2)/2)*$A21)/(I$1*SQRT($A21)))-(I$1*SQRT($A21))),TRUE)-MonteCarlo!$B$6*_xlfn.NORM.S.DIST(-((LN(MonteCarlo!$B$6/MonteCarlo!$B$5)+(MonteCarlo!$B$9+(I$1^2)/2)*$A21)/(I$1*SQRT($A21))),TRUE)),"")</f>
        <v/>
      </c>
      <c r="J21" t="str">
        <f>IFERROR(IF(OR(MonteCarlo!$B$4="C",MonteCarlo!$B$4="c"),MonteCarlo!$B$6*_xlfn.NORM.S.DIST((LN(MonteCarlo!$B$6/MonteCarlo!$B$5)+(MonteCarlo!$B$9+(J$1^2)/2)*$A21)/(J$1*SQRT($A21)),TRUE)-MonteCarlo!$B$5*EXP(-MonteCarlo!$B$9*$A21)*_xlfn.NORM.S.DIST(((LN(MonteCarlo!$B$6/MonteCarlo!$B$5)+(MonteCarlo!$B$9+(J$1^2)/2)*$A21)/(J$1*SQRT($A21)))-(J$1*SQRT($A21)),TRUE),MonteCarlo!$B$5*EXP(-MonteCarlo!$B$9*$A21)*_xlfn.NORM.S.DIST(-(((LN(MonteCarlo!$B$6/MonteCarlo!$B$5)+(MonteCarlo!$B$9+(J$1^2)/2)*$A21)/(J$1*SQRT($A21)))-(J$1*SQRT($A21))),TRUE)-MonteCarlo!$B$6*_xlfn.NORM.S.DIST(-((LN(MonteCarlo!$B$6/MonteCarlo!$B$5)+(MonteCarlo!$B$9+(J$1^2)/2)*$A21)/(J$1*SQRT($A21))),TRUE)),"")</f>
        <v/>
      </c>
      <c r="K21" t="str">
        <f>IFERROR(IF(OR(MonteCarlo!$B$4="C",MonteCarlo!$B$4="c"),MonteCarlo!$B$6*_xlfn.NORM.S.DIST((LN(MonteCarlo!$B$6/MonteCarlo!$B$5)+(MonteCarlo!$B$9+(K$1^2)/2)*$A21)/(K$1*SQRT($A21)),TRUE)-MonteCarlo!$B$5*EXP(-MonteCarlo!$B$9*$A21)*_xlfn.NORM.S.DIST(((LN(MonteCarlo!$B$6/MonteCarlo!$B$5)+(MonteCarlo!$B$9+(K$1^2)/2)*$A21)/(K$1*SQRT($A21)))-(K$1*SQRT($A21)),TRUE),MonteCarlo!$B$5*EXP(-MonteCarlo!$B$9*$A21)*_xlfn.NORM.S.DIST(-(((LN(MonteCarlo!$B$6/MonteCarlo!$B$5)+(MonteCarlo!$B$9+(K$1^2)/2)*$A21)/(K$1*SQRT($A21)))-(K$1*SQRT($A21))),TRUE)-MonteCarlo!$B$6*_xlfn.NORM.S.DIST(-((LN(MonteCarlo!$B$6/MonteCarlo!$B$5)+(MonteCarlo!$B$9+(K$1^2)/2)*$A21)/(K$1*SQRT($A21))),TRUE)),"")</f>
        <v/>
      </c>
      <c r="L21" t="str">
        <f>IFERROR(IF(OR(MonteCarlo!$B$4="C",MonteCarlo!$B$4="c"),MonteCarlo!$B$6*_xlfn.NORM.S.DIST((LN(MonteCarlo!$B$6/MonteCarlo!$B$5)+(MonteCarlo!$B$9+(L$1^2)/2)*$A21)/(L$1*SQRT($A21)),TRUE)-MonteCarlo!$B$5*EXP(-MonteCarlo!$B$9*$A21)*_xlfn.NORM.S.DIST(((LN(MonteCarlo!$B$6/MonteCarlo!$B$5)+(MonteCarlo!$B$9+(L$1^2)/2)*$A21)/(L$1*SQRT($A21)))-(L$1*SQRT($A21)),TRUE),MonteCarlo!$B$5*EXP(-MonteCarlo!$B$9*$A21)*_xlfn.NORM.S.DIST(-(((LN(MonteCarlo!$B$6/MonteCarlo!$B$5)+(MonteCarlo!$B$9+(L$1^2)/2)*$A21)/(L$1*SQRT($A21)))-(L$1*SQRT($A21))),TRUE)-MonteCarlo!$B$6*_xlfn.NORM.S.DIST(-((LN(MonteCarlo!$B$6/MonteCarlo!$B$5)+(MonteCarlo!$B$9+(L$1^2)/2)*$A21)/(L$1*SQRT($A21))),TRUE)),"")</f>
        <v/>
      </c>
      <c r="M21" t="str">
        <f>IFERROR(IF(OR(MonteCarlo!$B$4="C",MonteCarlo!$B$4="c"),MonteCarlo!$B$6*_xlfn.NORM.S.DIST((LN(MonteCarlo!$B$6/MonteCarlo!$B$5)+(MonteCarlo!$B$9+(M$1^2)/2)*$A21)/(M$1*SQRT($A21)),TRUE)-MonteCarlo!$B$5*EXP(-MonteCarlo!$B$9*$A21)*_xlfn.NORM.S.DIST(((LN(MonteCarlo!$B$6/MonteCarlo!$B$5)+(MonteCarlo!$B$9+(M$1^2)/2)*$A21)/(M$1*SQRT($A21)))-(M$1*SQRT($A21)),TRUE),MonteCarlo!$B$5*EXP(-MonteCarlo!$B$9*$A21)*_xlfn.NORM.S.DIST(-(((LN(MonteCarlo!$B$6/MonteCarlo!$B$5)+(MonteCarlo!$B$9+(M$1^2)/2)*$A21)/(M$1*SQRT($A21)))-(M$1*SQRT($A21))),TRUE)-MonteCarlo!$B$6*_xlfn.NORM.S.DIST(-((LN(MonteCarlo!$B$6/MonteCarlo!$B$5)+(MonteCarlo!$B$9+(M$1^2)/2)*$A21)/(M$1*SQRT($A21))),TRUE)),"")</f>
        <v/>
      </c>
      <c r="N21" t="str">
        <f>IFERROR(IF(OR(MonteCarlo!$B$4="C",MonteCarlo!$B$4="c"),MonteCarlo!$B$6*_xlfn.NORM.S.DIST((LN(MonteCarlo!$B$6/MonteCarlo!$B$5)+(MonteCarlo!$B$9+(N$1^2)/2)*$A21)/(N$1*SQRT($A21)),TRUE)-MonteCarlo!$B$5*EXP(-MonteCarlo!$B$9*$A21)*_xlfn.NORM.S.DIST(((LN(MonteCarlo!$B$6/MonteCarlo!$B$5)+(MonteCarlo!$B$9+(N$1^2)/2)*$A21)/(N$1*SQRT($A21)))-(N$1*SQRT($A21)),TRUE),MonteCarlo!$B$5*EXP(-MonteCarlo!$B$9*$A21)*_xlfn.NORM.S.DIST(-(((LN(MonteCarlo!$B$6/MonteCarlo!$B$5)+(MonteCarlo!$B$9+(N$1^2)/2)*$A21)/(N$1*SQRT($A21)))-(N$1*SQRT($A21))),TRUE)-MonteCarlo!$B$6*_xlfn.NORM.S.DIST(-((LN(MonteCarlo!$B$6/MonteCarlo!$B$5)+(MonteCarlo!$B$9+(N$1^2)/2)*$A21)/(N$1*SQRT($A21))),TRUE)),"")</f>
        <v/>
      </c>
      <c r="O21" t="str">
        <f>IFERROR(IF(OR(MonteCarlo!$B$4="C",MonteCarlo!$B$4="c"),MonteCarlo!$B$6*_xlfn.NORM.S.DIST((LN(MonteCarlo!$B$6/MonteCarlo!$B$5)+(MonteCarlo!$B$9+(O$1^2)/2)*$A21)/(O$1*SQRT($A21)),TRUE)-MonteCarlo!$B$5*EXP(-MonteCarlo!$B$9*$A21)*_xlfn.NORM.S.DIST(((LN(MonteCarlo!$B$6/MonteCarlo!$B$5)+(MonteCarlo!$B$9+(O$1^2)/2)*$A21)/(O$1*SQRT($A21)))-(O$1*SQRT($A21)),TRUE),MonteCarlo!$B$5*EXP(-MonteCarlo!$B$9*$A21)*_xlfn.NORM.S.DIST(-(((LN(MonteCarlo!$B$6/MonteCarlo!$B$5)+(MonteCarlo!$B$9+(O$1^2)/2)*$A21)/(O$1*SQRT($A21)))-(O$1*SQRT($A21))),TRUE)-MonteCarlo!$B$6*_xlfn.NORM.S.DIST(-((LN(MonteCarlo!$B$6/MonteCarlo!$B$5)+(MonteCarlo!$B$9+(O$1^2)/2)*$A21)/(O$1*SQRT($A21))),TRUE)),"")</f>
        <v/>
      </c>
      <c r="P21" t="str">
        <f>IFERROR(IF(OR(MonteCarlo!$B$4="C",MonteCarlo!$B$4="c"),MonteCarlo!$B$6*_xlfn.NORM.S.DIST((LN(MonteCarlo!$B$6/MonteCarlo!$B$5)+(MonteCarlo!$B$9+(P$1^2)/2)*$A21)/(P$1*SQRT($A21)),TRUE)-MonteCarlo!$B$5*EXP(-MonteCarlo!$B$9*$A21)*_xlfn.NORM.S.DIST(((LN(MonteCarlo!$B$6/MonteCarlo!$B$5)+(MonteCarlo!$B$9+(P$1^2)/2)*$A21)/(P$1*SQRT($A21)))-(P$1*SQRT($A21)),TRUE),MonteCarlo!$B$5*EXP(-MonteCarlo!$B$9*$A21)*_xlfn.NORM.S.DIST(-(((LN(MonteCarlo!$B$6/MonteCarlo!$B$5)+(MonteCarlo!$B$9+(P$1^2)/2)*$A21)/(P$1*SQRT($A21)))-(P$1*SQRT($A21))),TRUE)-MonteCarlo!$B$6*_xlfn.NORM.S.DIST(-((LN(MonteCarlo!$B$6/MonteCarlo!$B$5)+(MonteCarlo!$B$9+(P$1^2)/2)*$A21)/(P$1*SQRT($A21))),TRUE)),"")</f>
        <v/>
      </c>
      <c r="Q21" t="str">
        <f>IFERROR(IF(OR(MonteCarlo!$B$4="C",MonteCarlo!$B$4="c"),MonteCarlo!$B$6*_xlfn.NORM.S.DIST((LN(MonteCarlo!$B$6/MonteCarlo!$B$5)+(MonteCarlo!$B$9+(Q$1^2)/2)*$A21)/(Q$1*SQRT($A21)),TRUE)-MonteCarlo!$B$5*EXP(-MonteCarlo!$B$9*$A21)*_xlfn.NORM.S.DIST(((LN(MonteCarlo!$B$6/MonteCarlo!$B$5)+(MonteCarlo!$B$9+(Q$1^2)/2)*$A21)/(Q$1*SQRT($A21)))-(Q$1*SQRT($A21)),TRUE),MonteCarlo!$B$5*EXP(-MonteCarlo!$B$9*$A21)*_xlfn.NORM.S.DIST(-(((LN(MonteCarlo!$B$6/MonteCarlo!$B$5)+(MonteCarlo!$B$9+(Q$1^2)/2)*$A21)/(Q$1*SQRT($A21)))-(Q$1*SQRT($A21))),TRUE)-MonteCarlo!$B$6*_xlfn.NORM.S.DIST(-((LN(MonteCarlo!$B$6/MonteCarlo!$B$5)+(MonteCarlo!$B$9+(Q$1^2)/2)*$A21)/(Q$1*SQRT($A21))),TRUE)),"")</f>
        <v/>
      </c>
      <c r="R21" t="str">
        <f>IFERROR(IF(OR(MonteCarlo!$B$4="C",MonteCarlo!$B$4="c"),MonteCarlo!$B$6*_xlfn.NORM.S.DIST((LN(MonteCarlo!$B$6/MonteCarlo!$B$5)+(MonteCarlo!$B$9+(R$1^2)/2)*$A21)/(R$1*SQRT($A21)),TRUE)-MonteCarlo!$B$5*EXP(-MonteCarlo!$B$9*$A21)*_xlfn.NORM.S.DIST(((LN(MonteCarlo!$B$6/MonteCarlo!$B$5)+(MonteCarlo!$B$9+(R$1^2)/2)*$A21)/(R$1*SQRT($A21)))-(R$1*SQRT($A21)),TRUE),MonteCarlo!$B$5*EXP(-MonteCarlo!$B$9*$A21)*_xlfn.NORM.S.DIST(-(((LN(MonteCarlo!$B$6/MonteCarlo!$B$5)+(MonteCarlo!$B$9+(R$1^2)/2)*$A21)/(R$1*SQRT($A21)))-(R$1*SQRT($A21))),TRUE)-MonteCarlo!$B$6*_xlfn.NORM.S.DIST(-((LN(MonteCarlo!$B$6/MonteCarlo!$B$5)+(MonteCarlo!$B$9+(R$1^2)/2)*$A21)/(R$1*SQRT($A21))),TRUE)),"")</f>
        <v/>
      </c>
      <c r="S21" t="str">
        <f>IFERROR(IF(OR(MonteCarlo!$B$4="C",MonteCarlo!$B$4="c"),MonteCarlo!$B$6*_xlfn.NORM.S.DIST((LN(MonteCarlo!$B$6/MonteCarlo!$B$5)+(MonteCarlo!$B$9+(S$1^2)/2)*$A21)/(S$1*SQRT($A21)),TRUE)-MonteCarlo!$B$5*EXP(-MonteCarlo!$B$9*$A21)*_xlfn.NORM.S.DIST(((LN(MonteCarlo!$B$6/MonteCarlo!$B$5)+(MonteCarlo!$B$9+(S$1^2)/2)*$A21)/(S$1*SQRT($A21)))-(S$1*SQRT($A21)),TRUE),MonteCarlo!$B$5*EXP(-MonteCarlo!$B$9*$A21)*_xlfn.NORM.S.DIST(-(((LN(MonteCarlo!$B$6/MonteCarlo!$B$5)+(MonteCarlo!$B$9+(S$1^2)/2)*$A21)/(S$1*SQRT($A21)))-(S$1*SQRT($A21))),TRUE)-MonteCarlo!$B$6*_xlfn.NORM.S.DIST(-((LN(MonteCarlo!$B$6/MonteCarlo!$B$5)+(MonteCarlo!$B$9+(S$1^2)/2)*$A21)/(S$1*SQRT($A21))),TRUE)),"")</f>
        <v/>
      </c>
      <c r="T21" t="str">
        <f>IFERROR(IF(OR(MonteCarlo!$B$4="C",MonteCarlo!$B$4="c"),MonteCarlo!$B$6*_xlfn.NORM.S.DIST((LN(MonteCarlo!$B$6/MonteCarlo!$B$5)+(MonteCarlo!$B$9+(T$1^2)/2)*$A21)/(T$1*SQRT($A21)),TRUE)-MonteCarlo!$B$5*EXP(-MonteCarlo!$B$9*$A21)*_xlfn.NORM.S.DIST(((LN(MonteCarlo!$B$6/MonteCarlo!$B$5)+(MonteCarlo!$B$9+(T$1^2)/2)*$A21)/(T$1*SQRT($A21)))-(T$1*SQRT($A21)),TRUE),MonteCarlo!$B$5*EXP(-MonteCarlo!$B$9*$A21)*_xlfn.NORM.S.DIST(-(((LN(MonteCarlo!$B$6/MonteCarlo!$B$5)+(MonteCarlo!$B$9+(T$1^2)/2)*$A21)/(T$1*SQRT($A21)))-(T$1*SQRT($A21))),TRUE)-MonteCarlo!$B$6*_xlfn.NORM.S.DIST(-((LN(MonteCarlo!$B$6/MonteCarlo!$B$5)+(MonteCarlo!$B$9+(T$1^2)/2)*$A21)/(T$1*SQRT($A21))),TRUE)),"")</f>
        <v/>
      </c>
      <c r="U21" t="str">
        <f>IFERROR(IF(OR(MonteCarlo!$B$4="C",MonteCarlo!$B$4="c"),MonteCarlo!$B$6*_xlfn.NORM.S.DIST((LN(MonteCarlo!$B$6/MonteCarlo!$B$5)+(MonteCarlo!$B$9+(U$1^2)/2)*$A21)/(U$1*SQRT($A21)),TRUE)-MonteCarlo!$B$5*EXP(-MonteCarlo!$B$9*$A21)*_xlfn.NORM.S.DIST(((LN(MonteCarlo!$B$6/MonteCarlo!$B$5)+(MonteCarlo!$B$9+(U$1^2)/2)*$A21)/(U$1*SQRT($A21)))-(U$1*SQRT($A21)),TRUE),MonteCarlo!$B$5*EXP(-MonteCarlo!$B$9*$A21)*_xlfn.NORM.S.DIST(-(((LN(MonteCarlo!$B$6/MonteCarlo!$B$5)+(MonteCarlo!$B$9+(U$1^2)/2)*$A21)/(U$1*SQRT($A21)))-(U$1*SQRT($A21))),TRUE)-MonteCarlo!$B$6*_xlfn.NORM.S.DIST(-((LN(MonteCarlo!$B$6/MonteCarlo!$B$5)+(MonteCarlo!$B$9+(U$1^2)/2)*$A21)/(U$1*SQRT($A21))),TRUE)),"")</f>
        <v/>
      </c>
      <c r="V21" t="str">
        <f>IFERROR(IF(OR(MonteCarlo!$B$4="C",MonteCarlo!$B$4="c"),MonteCarlo!$B$6*_xlfn.NORM.S.DIST((LN(MonteCarlo!$B$6/MonteCarlo!$B$5)+(MonteCarlo!$B$9+(V$1^2)/2)*$A21)/(V$1*SQRT($A21)),TRUE)-MonteCarlo!$B$5*EXP(-MonteCarlo!$B$9*$A21)*_xlfn.NORM.S.DIST(((LN(MonteCarlo!$B$6/MonteCarlo!$B$5)+(MonteCarlo!$B$9+(V$1^2)/2)*$A21)/(V$1*SQRT($A21)))-(V$1*SQRT($A21)),TRUE),MonteCarlo!$B$5*EXP(-MonteCarlo!$B$9*$A21)*_xlfn.NORM.S.DIST(-(((LN(MonteCarlo!$B$6/MonteCarlo!$B$5)+(MonteCarlo!$B$9+(V$1^2)/2)*$A21)/(V$1*SQRT($A21)))-(V$1*SQRT($A21))),TRUE)-MonteCarlo!$B$6*_xlfn.NORM.S.DIST(-((LN(MonteCarlo!$B$6/MonteCarlo!$B$5)+(MonteCarlo!$B$9+(V$1^2)/2)*$A21)/(V$1*SQRT($A21))),TRUE)),"")</f>
        <v/>
      </c>
      <c r="W21" t="str">
        <f>IFERROR(IF(OR(MonteCarlo!$B$4="C",MonteCarlo!$B$4="c"),MonteCarlo!$B$6*_xlfn.NORM.S.DIST((LN(MonteCarlo!$B$6/MonteCarlo!$B$5)+(MonteCarlo!$B$9+(W$1^2)/2)*$A21)/(W$1*SQRT($A21)),TRUE)-MonteCarlo!$B$5*EXP(-MonteCarlo!$B$9*$A21)*_xlfn.NORM.S.DIST(((LN(MonteCarlo!$B$6/MonteCarlo!$B$5)+(MonteCarlo!$B$9+(W$1^2)/2)*$A21)/(W$1*SQRT($A21)))-(W$1*SQRT($A21)),TRUE),MonteCarlo!$B$5*EXP(-MonteCarlo!$B$9*$A21)*_xlfn.NORM.S.DIST(-(((LN(MonteCarlo!$B$6/MonteCarlo!$B$5)+(MonteCarlo!$B$9+(W$1^2)/2)*$A21)/(W$1*SQRT($A21)))-(W$1*SQRT($A21))),TRUE)-MonteCarlo!$B$6*_xlfn.NORM.S.DIST(-((LN(MonteCarlo!$B$6/MonteCarlo!$B$5)+(MonteCarlo!$B$9+(W$1^2)/2)*$A21)/(W$1*SQRT($A21))),TRUE)),"")</f>
        <v/>
      </c>
      <c r="X21" t="str">
        <f>IFERROR(IF(OR(MonteCarlo!$B$4="C",MonteCarlo!$B$4="c"),MonteCarlo!$B$6*_xlfn.NORM.S.DIST((LN(MonteCarlo!$B$6/MonteCarlo!$B$5)+(MonteCarlo!$B$9+(X$1^2)/2)*$A21)/(X$1*SQRT($A21)),TRUE)-MonteCarlo!$B$5*EXP(-MonteCarlo!$B$9*$A21)*_xlfn.NORM.S.DIST(((LN(MonteCarlo!$B$6/MonteCarlo!$B$5)+(MonteCarlo!$B$9+(X$1^2)/2)*$A21)/(X$1*SQRT($A21)))-(X$1*SQRT($A21)),TRUE),MonteCarlo!$B$5*EXP(-MonteCarlo!$B$9*$A21)*_xlfn.NORM.S.DIST(-(((LN(MonteCarlo!$B$6/MonteCarlo!$B$5)+(MonteCarlo!$B$9+(X$1^2)/2)*$A21)/(X$1*SQRT($A21)))-(X$1*SQRT($A21))),TRUE)-MonteCarlo!$B$6*_xlfn.NORM.S.DIST(-((LN(MonteCarlo!$B$6/MonteCarlo!$B$5)+(MonteCarlo!$B$9+(X$1^2)/2)*$A21)/(X$1*SQRT($A21))),TRUE)),"")</f>
        <v/>
      </c>
      <c r="Y21" t="str">
        <f>IFERROR(IF(OR(MonteCarlo!$B$4="C",MonteCarlo!$B$4="c"),MonteCarlo!$B$6*_xlfn.NORM.S.DIST((LN(MonteCarlo!$B$6/MonteCarlo!$B$5)+(MonteCarlo!$B$9+(Y$1^2)/2)*$A21)/(Y$1*SQRT($A21)),TRUE)-MonteCarlo!$B$5*EXP(-MonteCarlo!$B$9*$A21)*_xlfn.NORM.S.DIST(((LN(MonteCarlo!$B$6/MonteCarlo!$B$5)+(MonteCarlo!$B$9+(Y$1^2)/2)*$A21)/(Y$1*SQRT($A21)))-(Y$1*SQRT($A21)),TRUE),MonteCarlo!$B$5*EXP(-MonteCarlo!$B$9*$A21)*_xlfn.NORM.S.DIST(-(((LN(MonteCarlo!$B$6/MonteCarlo!$B$5)+(MonteCarlo!$B$9+(Y$1^2)/2)*$A21)/(Y$1*SQRT($A21)))-(Y$1*SQRT($A21))),TRUE)-MonteCarlo!$B$6*_xlfn.NORM.S.DIST(-((LN(MonteCarlo!$B$6/MonteCarlo!$B$5)+(MonteCarlo!$B$9+(Y$1^2)/2)*$A21)/(Y$1*SQRT($A21))),TRUE)),"")</f>
        <v/>
      </c>
      <c r="Z21" t="str">
        <f>IFERROR(IF(OR(MonteCarlo!$B$4="C",MonteCarlo!$B$4="c"),MonteCarlo!$B$6*_xlfn.NORM.S.DIST((LN(MonteCarlo!$B$6/MonteCarlo!$B$5)+(MonteCarlo!$B$9+(Z$1^2)/2)*$A21)/(Z$1*SQRT($A21)),TRUE)-MonteCarlo!$B$5*EXP(-MonteCarlo!$B$9*$A21)*_xlfn.NORM.S.DIST(((LN(MonteCarlo!$B$6/MonteCarlo!$B$5)+(MonteCarlo!$B$9+(Z$1^2)/2)*$A21)/(Z$1*SQRT($A21)))-(Z$1*SQRT($A21)),TRUE),MonteCarlo!$B$5*EXP(-MonteCarlo!$B$9*$A21)*_xlfn.NORM.S.DIST(-(((LN(MonteCarlo!$B$6/MonteCarlo!$B$5)+(MonteCarlo!$B$9+(Z$1^2)/2)*$A21)/(Z$1*SQRT($A21)))-(Z$1*SQRT($A21))),TRUE)-MonteCarlo!$B$6*_xlfn.NORM.S.DIST(-((LN(MonteCarlo!$B$6/MonteCarlo!$B$5)+(MonteCarlo!$B$9+(Z$1^2)/2)*$A21)/(Z$1*SQRT($A21))),TRUE)),"")</f>
        <v/>
      </c>
      <c r="AA21" t="str">
        <f>IFERROR(IF(OR(MonteCarlo!$B$4="C",MonteCarlo!$B$4="c"),MonteCarlo!$B$6*_xlfn.NORM.S.DIST((LN(MonteCarlo!$B$6/MonteCarlo!$B$5)+(MonteCarlo!$B$9+(AA$1^2)/2)*$A21)/(AA$1*SQRT($A21)),TRUE)-MonteCarlo!$B$5*EXP(-MonteCarlo!$B$9*$A21)*_xlfn.NORM.S.DIST(((LN(MonteCarlo!$B$6/MonteCarlo!$B$5)+(MonteCarlo!$B$9+(AA$1^2)/2)*$A21)/(AA$1*SQRT($A21)))-(AA$1*SQRT($A21)),TRUE),MonteCarlo!$B$5*EXP(-MonteCarlo!$B$9*$A21)*_xlfn.NORM.S.DIST(-(((LN(MonteCarlo!$B$6/MonteCarlo!$B$5)+(MonteCarlo!$B$9+(AA$1^2)/2)*$A21)/(AA$1*SQRT($A21)))-(AA$1*SQRT($A21))),TRUE)-MonteCarlo!$B$6*_xlfn.NORM.S.DIST(-((LN(MonteCarlo!$B$6/MonteCarlo!$B$5)+(MonteCarlo!$B$9+(AA$1^2)/2)*$A21)/(AA$1*SQRT($A21))),TRUE)),"")</f>
        <v/>
      </c>
      <c r="AB21" t="str">
        <f>IFERROR(IF(OR(MonteCarlo!$B$4="C",MonteCarlo!$B$4="c"),MonteCarlo!$B$6*_xlfn.NORM.S.DIST((LN(MonteCarlo!$B$6/MonteCarlo!$B$5)+(MonteCarlo!$B$9+(AB$1^2)/2)*$A21)/(AB$1*SQRT($A21)),TRUE)-MonteCarlo!$B$5*EXP(-MonteCarlo!$B$9*$A21)*_xlfn.NORM.S.DIST(((LN(MonteCarlo!$B$6/MonteCarlo!$B$5)+(MonteCarlo!$B$9+(AB$1^2)/2)*$A21)/(AB$1*SQRT($A21)))-(AB$1*SQRT($A21)),TRUE),MonteCarlo!$B$5*EXP(-MonteCarlo!$B$9*$A21)*_xlfn.NORM.S.DIST(-(((LN(MonteCarlo!$B$6/MonteCarlo!$B$5)+(MonteCarlo!$B$9+(AB$1^2)/2)*$A21)/(AB$1*SQRT($A21)))-(AB$1*SQRT($A21))),TRUE)-MonteCarlo!$B$6*_xlfn.NORM.S.DIST(-((LN(MonteCarlo!$B$6/MonteCarlo!$B$5)+(MonteCarlo!$B$9+(AB$1^2)/2)*$A21)/(AB$1*SQRT($A21))),TRUE)),"")</f>
        <v/>
      </c>
      <c r="AC21" t="str">
        <f>IFERROR(IF(OR(MonteCarlo!$B$4="C",MonteCarlo!$B$4="c"),MonteCarlo!$B$6*_xlfn.NORM.S.DIST((LN(MonteCarlo!$B$6/MonteCarlo!$B$5)+(MonteCarlo!$B$9+(AC$1^2)/2)*$A21)/(AC$1*SQRT($A21)),TRUE)-MonteCarlo!$B$5*EXP(-MonteCarlo!$B$9*$A21)*_xlfn.NORM.S.DIST(((LN(MonteCarlo!$B$6/MonteCarlo!$B$5)+(MonteCarlo!$B$9+(AC$1^2)/2)*$A21)/(AC$1*SQRT($A21)))-(AC$1*SQRT($A21)),TRUE),MonteCarlo!$B$5*EXP(-MonteCarlo!$B$9*$A21)*_xlfn.NORM.S.DIST(-(((LN(MonteCarlo!$B$6/MonteCarlo!$B$5)+(MonteCarlo!$B$9+(AC$1^2)/2)*$A21)/(AC$1*SQRT($A21)))-(AC$1*SQRT($A21))),TRUE)-MonteCarlo!$B$6*_xlfn.NORM.S.DIST(-((LN(MonteCarlo!$B$6/MonteCarlo!$B$5)+(MonteCarlo!$B$9+(AC$1^2)/2)*$A21)/(AC$1*SQRT($A21))),TRUE)),"")</f>
        <v/>
      </c>
      <c r="AD21" t="str">
        <f>IFERROR(IF(OR(MonteCarlo!$B$4="C",MonteCarlo!$B$4="c"),MonteCarlo!$B$6*_xlfn.NORM.S.DIST((LN(MonteCarlo!$B$6/MonteCarlo!$B$5)+(MonteCarlo!$B$9+(AD$1^2)/2)*$A21)/(AD$1*SQRT($A21)),TRUE)-MonteCarlo!$B$5*EXP(-MonteCarlo!$B$9*$A21)*_xlfn.NORM.S.DIST(((LN(MonteCarlo!$B$6/MonteCarlo!$B$5)+(MonteCarlo!$B$9+(AD$1^2)/2)*$A21)/(AD$1*SQRT($A21)))-(AD$1*SQRT($A21)),TRUE),MonteCarlo!$B$5*EXP(-MonteCarlo!$B$9*$A21)*_xlfn.NORM.S.DIST(-(((LN(MonteCarlo!$B$6/MonteCarlo!$B$5)+(MonteCarlo!$B$9+(AD$1^2)/2)*$A21)/(AD$1*SQRT($A21)))-(AD$1*SQRT($A21))),TRUE)-MonteCarlo!$B$6*_xlfn.NORM.S.DIST(-((LN(MonteCarlo!$B$6/MonteCarlo!$B$5)+(MonteCarlo!$B$9+(AD$1^2)/2)*$A21)/(AD$1*SQRT($A21))),TRUE)),"")</f>
        <v/>
      </c>
      <c r="AE21" t="str">
        <f>IFERROR(IF(OR(MonteCarlo!$B$4="C",MonteCarlo!$B$4="c"),MonteCarlo!$B$6*_xlfn.NORM.S.DIST((LN(MonteCarlo!$B$6/MonteCarlo!$B$5)+(MonteCarlo!$B$9+(AE$1^2)/2)*$A21)/(AE$1*SQRT($A21)),TRUE)-MonteCarlo!$B$5*EXP(-MonteCarlo!$B$9*$A21)*_xlfn.NORM.S.DIST(((LN(MonteCarlo!$B$6/MonteCarlo!$B$5)+(MonteCarlo!$B$9+(AE$1^2)/2)*$A21)/(AE$1*SQRT($A21)))-(AE$1*SQRT($A21)),TRUE),MonteCarlo!$B$5*EXP(-MonteCarlo!$B$9*$A21)*_xlfn.NORM.S.DIST(-(((LN(MonteCarlo!$B$6/MonteCarlo!$B$5)+(MonteCarlo!$B$9+(AE$1^2)/2)*$A21)/(AE$1*SQRT($A21)))-(AE$1*SQRT($A21))),TRUE)-MonteCarlo!$B$6*_xlfn.NORM.S.DIST(-((LN(MonteCarlo!$B$6/MonteCarlo!$B$5)+(MonteCarlo!$B$9+(AE$1^2)/2)*$A21)/(AE$1*SQRT($A21))),TRUE)),"")</f>
        <v/>
      </c>
      <c r="AF21" t="str">
        <f>IFERROR(IF(OR(MonteCarlo!$B$4="C",MonteCarlo!$B$4="c"),MonteCarlo!$B$6*_xlfn.NORM.S.DIST((LN(MonteCarlo!$B$6/MonteCarlo!$B$5)+(MonteCarlo!$B$9+(AF$1^2)/2)*$A21)/(AF$1*SQRT($A21)),TRUE)-MonteCarlo!$B$5*EXP(-MonteCarlo!$B$9*$A21)*_xlfn.NORM.S.DIST(((LN(MonteCarlo!$B$6/MonteCarlo!$B$5)+(MonteCarlo!$B$9+(AF$1^2)/2)*$A21)/(AF$1*SQRT($A21)))-(AF$1*SQRT($A21)),TRUE),MonteCarlo!$B$5*EXP(-MonteCarlo!$B$9*$A21)*_xlfn.NORM.S.DIST(-(((LN(MonteCarlo!$B$6/MonteCarlo!$B$5)+(MonteCarlo!$B$9+(AF$1^2)/2)*$A21)/(AF$1*SQRT($A21)))-(AF$1*SQRT($A21))),TRUE)-MonteCarlo!$B$6*_xlfn.NORM.S.DIST(-((LN(MonteCarlo!$B$6/MonteCarlo!$B$5)+(MonteCarlo!$B$9+(AF$1^2)/2)*$A21)/(AF$1*SQRT($A21))),TRUE)),"")</f>
        <v/>
      </c>
    </row>
    <row r="22" spans="2:32" x14ac:dyDescent="0.25">
      <c r="B22" t="str">
        <f>IFERROR(IF(OR(MonteCarlo!$B$4="C",MonteCarlo!$B$4="c"),MonteCarlo!$B$6*_xlfn.NORM.S.DIST((LN(MonteCarlo!$B$6/MonteCarlo!$B$5)+(MonteCarlo!$B$9+(B$1^2)/2)*$A22)/(B$1*SQRT($A22)),TRUE)-MonteCarlo!$B$5*EXP(-MonteCarlo!$B$9*$A22)*_xlfn.NORM.S.DIST(((LN(MonteCarlo!$B$6/MonteCarlo!$B$5)+(MonteCarlo!$B$9+(B$1^2)/2)*$A22)/(B$1*SQRT($A22)))-(B$1*SQRT($A22)),TRUE),MonteCarlo!$B$5*EXP(-MonteCarlo!$B$9*$A22)*_xlfn.NORM.S.DIST(-(((LN(MonteCarlo!$B$6/MonteCarlo!$B$5)+(MonteCarlo!$B$9+(B$1^2)/2)*$A22)/(B$1*SQRT($A22)))-(B$1*SQRT($A22))),TRUE)-MonteCarlo!$B$6*_xlfn.NORM.S.DIST(-((LN(MonteCarlo!$B$6/MonteCarlo!$B$5)+(MonteCarlo!$B$9+(B$1^2)/2)*$A22)/(B$1*SQRT($A22))),TRUE)),"")</f>
        <v/>
      </c>
      <c r="C22" t="str">
        <f>IFERROR(IF(OR(MonteCarlo!$B$4="C",MonteCarlo!$B$4="c"),MonteCarlo!$B$6*_xlfn.NORM.S.DIST((LN(MonteCarlo!$B$6/MonteCarlo!$B$5)+(MonteCarlo!$B$9+(C$1^2)/2)*$A22)/(C$1*SQRT($A22)),TRUE)-MonteCarlo!$B$5*EXP(-MonteCarlo!$B$9*$A22)*_xlfn.NORM.S.DIST(((LN(MonteCarlo!$B$6/MonteCarlo!$B$5)+(MonteCarlo!$B$9+(C$1^2)/2)*$A22)/(C$1*SQRT($A22)))-(C$1*SQRT($A22)),TRUE),MonteCarlo!$B$5*EXP(-MonteCarlo!$B$9*$A22)*_xlfn.NORM.S.DIST(-(((LN(MonteCarlo!$B$6/MonteCarlo!$B$5)+(MonteCarlo!$B$9+(C$1^2)/2)*$A22)/(C$1*SQRT($A22)))-(C$1*SQRT($A22))),TRUE)-MonteCarlo!$B$6*_xlfn.NORM.S.DIST(-((LN(MonteCarlo!$B$6/MonteCarlo!$B$5)+(MonteCarlo!$B$9+(C$1^2)/2)*$A22)/(C$1*SQRT($A22))),TRUE)),"")</f>
        <v/>
      </c>
      <c r="D22" t="str">
        <f>IFERROR(IF(OR(MonteCarlo!$B$4="C",MonteCarlo!$B$4="c"),MonteCarlo!$B$6*_xlfn.NORM.S.DIST((LN(MonteCarlo!$B$6/MonteCarlo!$B$5)+(MonteCarlo!$B$9+(D$1^2)/2)*$A22)/(D$1*SQRT($A22)),TRUE)-MonteCarlo!$B$5*EXP(-MonteCarlo!$B$9*$A22)*_xlfn.NORM.S.DIST(((LN(MonteCarlo!$B$6/MonteCarlo!$B$5)+(MonteCarlo!$B$9+(D$1^2)/2)*$A22)/(D$1*SQRT($A22)))-(D$1*SQRT($A22)),TRUE),MonteCarlo!$B$5*EXP(-MonteCarlo!$B$9*$A22)*_xlfn.NORM.S.DIST(-(((LN(MonteCarlo!$B$6/MonteCarlo!$B$5)+(MonteCarlo!$B$9+(D$1^2)/2)*$A22)/(D$1*SQRT($A22)))-(D$1*SQRT($A22))),TRUE)-MonteCarlo!$B$6*_xlfn.NORM.S.DIST(-((LN(MonteCarlo!$B$6/MonteCarlo!$B$5)+(MonteCarlo!$B$9+(D$1^2)/2)*$A22)/(D$1*SQRT($A22))),TRUE)),"")</f>
        <v/>
      </c>
      <c r="E22" t="str">
        <f>IFERROR(IF(OR(MonteCarlo!$B$4="C",MonteCarlo!$B$4="c"),MonteCarlo!$B$6*_xlfn.NORM.S.DIST((LN(MonteCarlo!$B$6/MonteCarlo!$B$5)+(MonteCarlo!$B$9+(E$1^2)/2)*$A22)/(E$1*SQRT($A22)),TRUE)-MonteCarlo!$B$5*EXP(-MonteCarlo!$B$9*$A22)*_xlfn.NORM.S.DIST(((LN(MonteCarlo!$B$6/MonteCarlo!$B$5)+(MonteCarlo!$B$9+(E$1^2)/2)*$A22)/(E$1*SQRT($A22)))-(E$1*SQRT($A22)),TRUE),MonteCarlo!$B$5*EXP(-MonteCarlo!$B$9*$A22)*_xlfn.NORM.S.DIST(-(((LN(MonteCarlo!$B$6/MonteCarlo!$B$5)+(MonteCarlo!$B$9+(E$1^2)/2)*$A22)/(E$1*SQRT($A22)))-(E$1*SQRT($A22))),TRUE)-MonteCarlo!$B$6*_xlfn.NORM.S.DIST(-((LN(MonteCarlo!$B$6/MonteCarlo!$B$5)+(MonteCarlo!$B$9+(E$1^2)/2)*$A22)/(E$1*SQRT($A22))),TRUE)),"")</f>
        <v/>
      </c>
      <c r="F22" t="str">
        <f>IFERROR(IF(OR(MonteCarlo!$B$4="C",MonteCarlo!$B$4="c"),MonteCarlo!$B$6*_xlfn.NORM.S.DIST((LN(MonteCarlo!$B$6/MonteCarlo!$B$5)+(MonteCarlo!$B$9+(F$1^2)/2)*$A22)/(F$1*SQRT($A22)),TRUE)-MonteCarlo!$B$5*EXP(-MonteCarlo!$B$9*$A22)*_xlfn.NORM.S.DIST(((LN(MonteCarlo!$B$6/MonteCarlo!$B$5)+(MonteCarlo!$B$9+(F$1^2)/2)*$A22)/(F$1*SQRT($A22)))-(F$1*SQRT($A22)),TRUE),MonteCarlo!$B$5*EXP(-MonteCarlo!$B$9*$A22)*_xlfn.NORM.S.DIST(-(((LN(MonteCarlo!$B$6/MonteCarlo!$B$5)+(MonteCarlo!$B$9+(F$1^2)/2)*$A22)/(F$1*SQRT($A22)))-(F$1*SQRT($A22))),TRUE)-MonteCarlo!$B$6*_xlfn.NORM.S.DIST(-((LN(MonteCarlo!$B$6/MonteCarlo!$B$5)+(MonteCarlo!$B$9+(F$1^2)/2)*$A22)/(F$1*SQRT($A22))),TRUE)),"")</f>
        <v/>
      </c>
      <c r="G22" t="str">
        <f>IFERROR(IF(OR(MonteCarlo!$B$4="C",MonteCarlo!$B$4="c"),MonteCarlo!$B$6*_xlfn.NORM.S.DIST((LN(MonteCarlo!$B$6/MonteCarlo!$B$5)+(MonteCarlo!$B$9+(G$1^2)/2)*$A22)/(G$1*SQRT($A22)),TRUE)-MonteCarlo!$B$5*EXP(-MonteCarlo!$B$9*$A22)*_xlfn.NORM.S.DIST(((LN(MonteCarlo!$B$6/MonteCarlo!$B$5)+(MonteCarlo!$B$9+(G$1^2)/2)*$A22)/(G$1*SQRT($A22)))-(G$1*SQRT($A22)),TRUE),MonteCarlo!$B$5*EXP(-MonteCarlo!$B$9*$A22)*_xlfn.NORM.S.DIST(-(((LN(MonteCarlo!$B$6/MonteCarlo!$B$5)+(MonteCarlo!$B$9+(G$1^2)/2)*$A22)/(G$1*SQRT($A22)))-(G$1*SQRT($A22))),TRUE)-MonteCarlo!$B$6*_xlfn.NORM.S.DIST(-((LN(MonteCarlo!$B$6/MonteCarlo!$B$5)+(MonteCarlo!$B$9+(G$1^2)/2)*$A22)/(G$1*SQRT($A22))),TRUE)),"")</f>
        <v/>
      </c>
      <c r="H22" t="str">
        <f>IFERROR(IF(OR(MonteCarlo!$B$4="C",MonteCarlo!$B$4="c"),MonteCarlo!$B$6*_xlfn.NORM.S.DIST((LN(MonteCarlo!$B$6/MonteCarlo!$B$5)+(MonteCarlo!$B$9+(H$1^2)/2)*$A22)/(H$1*SQRT($A22)),TRUE)-MonteCarlo!$B$5*EXP(-MonteCarlo!$B$9*$A22)*_xlfn.NORM.S.DIST(((LN(MonteCarlo!$B$6/MonteCarlo!$B$5)+(MonteCarlo!$B$9+(H$1^2)/2)*$A22)/(H$1*SQRT($A22)))-(H$1*SQRT($A22)),TRUE),MonteCarlo!$B$5*EXP(-MonteCarlo!$B$9*$A22)*_xlfn.NORM.S.DIST(-(((LN(MonteCarlo!$B$6/MonteCarlo!$B$5)+(MonteCarlo!$B$9+(H$1^2)/2)*$A22)/(H$1*SQRT($A22)))-(H$1*SQRT($A22))),TRUE)-MonteCarlo!$B$6*_xlfn.NORM.S.DIST(-((LN(MonteCarlo!$B$6/MonteCarlo!$B$5)+(MonteCarlo!$B$9+(H$1^2)/2)*$A22)/(H$1*SQRT($A22))),TRUE)),"")</f>
        <v/>
      </c>
      <c r="I22" t="str">
        <f>IFERROR(IF(OR(MonteCarlo!$B$4="C",MonteCarlo!$B$4="c"),MonteCarlo!$B$6*_xlfn.NORM.S.DIST((LN(MonteCarlo!$B$6/MonteCarlo!$B$5)+(MonteCarlo!$B$9+(I$1^2)/2)*$A22)/(I$1*SQRT($A22)),TRUE)-MonteCarlo!$B$5*EXP(-MonteCarlo!$B$9*$A22)*_xlfn.NORM.S.DIST(((LN(MonteCarlo!$B$6/MonteCarlo!$B$5)+(MonteCarlo!$B$9+(I$1^2)/2)*$A22)/(I$1*SQRT($A22)))-(I$1*SQRT($A22)),TRUE),MonteCarlo!$B$5*EXP(-MonteCarlo!$B$9*$A22)*_xlfn.NORM.S.DIST(-(((LN(MonteCarlo!$B$6/MonteCarlo!$B$5)+(MonteCarlo!$B$9+(I$1^2)/2)*$A22)/(I$1*SQRT($A22)))-(I$1*SQRT($A22))),TRUE)-MonteCarlo!$B$6*_xlfn.NORM.S.DIST(-((LN(MonteCarlo!$B$6/MonteCarlo!$B$5)+(MonteCarlo!$B$9+(I$1^2)/2)*$A22)/(I$1*SQRT($A22))),TRUE)),"")</f>
        <v/>
      </c>
      <c r="J22" t="str">
        <f>IFERROR(IF(OR(MonteCarlo!$B$4="C",MonteCarlo!$B$4="c"),MonteCarlo!$B$6*_xlfn.NORM.S.DIST((LN(MonteCarlo!$B$6/MonteCarlo!$B$5)+(MonteCarlo!$B$9+(J$1^2)/2)*$A22)/(J$1*SQRT($A22)),TRUE)-MonteCarlo!$B$5*EXP(-MonteCarlo!$B$9*$A22)*_xlfn.NORM.S.DIST(((LN(MonteCarlo!$B$6/MonteCarlo!$B$5)+(MonteCarlo!$B$9+(J$1^2)/2)*$A22)/(J$1*SQRT($A22)))-(J$1*SQRT($A22)),TRUE),MonteCarlo!$B$5*EXP(-MonteCarlo!$B$9*$A22)*_xlfn.NORM.S.DIST(-(((LN(MonteCarlo!$B$6/MonteCarlo!$B$5)+(MonteCarlo!$B$9+(J$1^2)/2)*$A22)/(J$1*SQRT($A22)))-(J$1*SQRT($A22))),TRUE)-MonteCarlo!$B$6*_xlfn.NORM.S.DIST(-((LN(MonteCarlo!$B$6/MonteCarlo!$B$5)+(MonteCarlo!$B$9+(J$1^2)/2)*$A22)/(J$1*SQRT($A22))),TRUE)),"")</f>
        <v/>
      </c>
      <c r="K22" t="str">
        <f>IFERROR(IF(OR(MonteCarlo!$B$4="C",MonteCarlo!$B$4="c"),MonteCarlo!$B$6*_xlfn.NORM.S.DIST((LN(MonteCarlo!$B$6/MonteCarlo!$B$5)+(MonteCarlo!$B$9+(K$1^2)/2)*$A22)/(K$1*SQRT($A22)),TRUE)-MonteCarlo!$B$5*EXP(-MonteCarlo!$B$9*$A22)*_xlfn.NORM.S.DIST(((LN(MonteCarlo!$B$6/MonteCarlo!$B$5)+(MonteCarlo!$B$9+(K$1^2)/2)*$A22)/(K$1*SQRT($A22)))-(K$1*SQRT($A22)),TRUE),MonteCarlo!$B$5*EXP(-MonteCarlo!$B$9*$A22)*_xlfn.NORM.S.DIST(-(((LN(MonteCarlo!$B$6/MonteCarlo!$B$5)+(MonteCarlo!$B$9+(K$1^2)/2)*$A22)/(K$1*SQRT($A22)))-(K$1*SQRT($A22))),TRUE)-MonteCarlo!$B$6*_xlfn.NORM.S.DIST(-((LN(MonteCarlo!$B$6/MonteCarlo!$B$5)+(MonteCarlo!$B$9+(K$1^2)/2)*$A22)/(K$1*SQRT($A22))),TRUE)),"")</f>
        <v/>
      </c>
      <c r="L22" t="str">
        <f>IFERROR(IF(OR(MonteCarlo!$B$4="C",MonteCarlo!$B$4="c"),MonteCarlo!$B$6*_xlfn.NORM.S.DIST((LN(MonteCarlo!$B$6/MonteCarlo!$B$5)+(MonteCarlo!$B$9+(L$1^2)/2)*$A22)/(L$1*SQRT($A22)),TRUE)-MonteCarlo!$B$5*EXP(-MonteCarlo!$B$9*$A22)*_xlfn.NORM.S.DIST(((LN(MonteCarlo!$B$6/MonteCarlo!$B$5)+(MonteCarlo!$B$9+(L$1^2)/2)*$A22)/(L$1*SQRT($A22)))-(L$1*SQRT($A22)),TRUE),MonteCarlo!$B$5*EXP(-MonteCarlo!$B$9*$A22)*_xlfn.NORM.S.DIST(-(((LN(MonteCarlo!$B$6/MonteCarlo!$B$5)+(MonteCarlo!$B$9+(L$1^2)/2)*$A22)/(L$1*SQRT($A22)))-(L$1*SQRT($A22))),TRUE)-MonteCarlo!$B$6*_xlfn.NORM.S.DIST(-((LN(MonteCarlo!$B$6/MonteCarlo!$B$5)+(MonteCarlo!$B$9+(L$1^2)/2)*$A22)/(L$1*SQRT($A22))),TRUE)),"")</f>
        <v/>
      </c>
      <c r="M22" t="str">
        <f>IFERROR(IF(OR(MonteCarlo!$B$4="C",MonteCarlo!$B$4="c"),MonteCarlo!$B$6*_xlfn.NORM.S.DIST((LN(MonteCarlo!$B$6/MonteCarlo!$B$5)+(MonteCarlo!$B$9+(M$1^2)/2)*$A22)/(M$1*SQRT($A22)),TRUE)-MonteCarlo!$B$5*EXP(-MonteCarlo!$B$9*$A22)*_xlfn.NORM.S.DIST(((LN(MonteCarlo!$B$6/MonteCarlo!$B$5)+(MonteCarlo!$B$9+(M$1^2)/2)*$A22)/(M$1*SQRT($A22)))-(M$1*SQRT($A22)),TRUE),MonteCarlo!$B$5*EXP(-MonteCarlo!$B$9*$A22)*_xlfn.NORM.S.DIST(-(((LN(MonteCarlo!$B$6/MonteCarlo!$B$5)+(MonteCarlo!$B$9+(M$1^2)/2)*$A22)/(M$1*SQRT($A22)))-(M$1*SQRT($A22))),TRUE)-MonteCarlo!$B$6*_xlfn.NORM.S.DIST(-((LN(MonteCarlo!$B$6/MonteCarlo!$B$5)+(MonteCarlo!$B$9+(M$1^2)/2)*$A22)/(M$1*SQRT($A22))),TRUE)),"")</f>
        <v/>
      </c>
      <c r="N22" t="str">
        <f>IFERROR(IF(OR(MonteCarlo!$B$4="C",MonteCarlo!$B$4="c"),MonteCarlo!$B$6*_xlfn.NORM.S.DIST((LN(MonteCarlo!$B$6/MonteCarlo!$B$5)+(MonteCarlo!$B$9+(N$1^2)/2)*$A22)/(N$1*SQRT($A22)),TRUE)-MonteCarlo!$B$5*EXP(-MonteCarlo!$B$9*$A22)*_xlfn.NORM.S.DIST(((LN(MonteCarlo!$B$6/MonteCarlo!$B$5)+(MonteCarlo!$B$9+(N$1^2)/2)*$A22)/(N$1*SQRT($A22)))-(N$1*SQRT($A22)),TRUE),MonteCarlo!$B$5*EXP(-MonteCarlo!$B$9*$A22)*_xlfn.NORM.S.DIST(-(((LN(MonteCarlo!$B$6/MonteCarlo!$B$5)+(MonteCarlo!$B$9+(N$1^2)/2)*$A22)/(N$1*SQRT($A22)))-(N$1*SQRT($A22))),TRUE)-MonteCarlo!$B$6*_xlfn.NORM.S.DIST(-((LN(MonteCarlo!$B$6/MonteCarlo!$B$5)+(MonteCarlo!$B$9+(N$1^2)/2)*$A22)/(N$1*SQRT($A22))),TRUE)),"")</f>
        <v/>
      </c>
      <c r="O22" t="str">
        <f>IFERROR(IF(OR(MonteCarlo!$B$4="C",MonteCarlo!$B$4="c"),MonteCarlo!$B$6*_xlfn.NORM.S.DIST((LN(MonteCarlo!$B$6/MonteCarlo!$B$5)+(MonteCarlo!$B$9+(O$1^2)/2)*$A22)/(O$1*SQRT($A22)),TRUE)-MonteCarlo!$B$5*EXP(-MonteCarlo!$B$9*$A22)*_xlfn.NORM.S.DIST(((LN(MonteCarlo!$B$6/MonteCarlo!$B$5)+(MonteCarlo!$B$9+(O$1^2)/2)*$A22)/(O$1*SQRT($A22)))-(O$1*SQRT($A22)),TRUE),MonteCarlo!$B$5*EXP(-MonteCarlo!$B$9*$A22)*_xlfn.NORM.S.DIST(-(((LN(MonteCarlo!$B$6/MonteCarlo!$B$5)+(MonteCarlo!$B$9+(O$1^2)/2)*$A22)/(O$1*SQRT($A22)))-(O$1*SQRT($A22))),TRUE)-MonteCarlo!$B$6*_xlfn.NORM.S.DIST(-((LN(MonteCarlo!$B$6/MonteCarlo!$B$5)+(MonteCarlo!$B$9+(O$1^2)/2)*$A22)/(O$1*SQRT($A22))),TRUE)),"")</f>
        <v/>
      </c>
      <c r="P22" t="str">
        <f>IFERROR(IF(OR(MonteCarlo!$B$4="C",MonteCarlo!$B$4="c"),MonteCarlo!$B$6*_xlfn.NORM.S.DIST((LN(MonteCarlo!$B$6/MonteCarlo!$B$5)+(MonteCarlo!$B$9+(P$1^2)/2)*$A22)/(P$1*SQRT($A22)),TRUE)-MonteCarlo!$B$5*EXP(-MonteCarlo!$B$9*$A22)*_xlfn.NORM.S.DIST(((LN(MonteCarlo!$B$6/MonteCarlo!$B$5)+(MonteCarlo!$B$9+(P$1^2)/2)*$A22)/(P$1*SQRT($A22)))-(P$1*SQRT($A22)),TRUE),MonteCarlo!$B$5*EXP(-MonteCarlo!$B$9*$A22)*_xlfn.NORM.S.DIST(-(((LN(MonteCarlo!$B$6/MonteCarlo!$B$5)+(MonteCarlo!$B$9+(P$1^2)/2)*$A22)/(P$1*SQRT($A22)))-(P$1*SQRT($A22))),TRUE)-MonteCarlo!$B$6*_xlfn.NORM.S.DIST(-((LN(MonteCarlo!$B$6/MonteCarlo!$B$5)+(MonteCarlo!$B$9+(P$1^2)/2)*$A22)/(P$1*SQRT($A22))),TRUE)),"")</f>
        <v/>
      </c>
      <c r="Q22" t="str">
        <f>IFERROR(IF(OR(MonteCarlo!$B$4="C",MonteCarlo!$B$4="c"),MonteCarlo!$B$6*_xlfn.NORM.S.DIST((LN(MonteCarlo!$B$6/MonteCarlo!$B$5)+(MonteCarlo!$B$9+(Q$1^2)/2)*$A22)/(Q$1*SQRT($A22)),TRUE)-MonteCarlo!$B$5*EXP(-MonteCarlo!$B$9*$A22)*_xlfn.NORM.S.DIST(((LN(MonteCarlo!$B$6/MonteCarlo!$B$5)+(MonteCarlo!$B$9+(Q$1^2)/2)*$A22)/(Q$1*SQRT($A22)))-(Q$1*SQRT($A22)),TRUE),MonteCarlo!$B$5*EXP(-MonteCarlo!$B$9*$A22)*_xlfn.NORM.S.DIST(-(((LN(MonteCarlo!$B$6/MonteCarlo!$B$5)+(MonteCarlo!$B$9+(Q$1^2)/2)*$A22)/(Q$1*SQRT($A22)))-(Q$1*SQRT($A22))),TRUE)-MonteCarlo!$B$6*_xlfn.NORM.S.DIST(-((LN(MonteCarlo!$B$6/MonteCarlo!$B$5)+(MonteCarlo!$B$9+(Q$1^2)/2)*$A22)/(Q$1*SQRT($A22))),TRUE)),"")</f>
        <v/>
      </c>
      <c r="R22" t="str">
        <f>IFERROR(IF(OR(MonteCarlo!$B$4="C",MonteCarlo!$B$4="c"),MonteCarlo!$B$6*_xlfn.NORM.S.DIST((LN(MonteCarlo!$B$6/MonteCarlo!$B$5)+(MonteCarlo!$B$9+(R$1^2)/2)*$A22)/(R$1*SQRT($A22)),TRUE)-MonteCarlo!$B$5*EXP(-MonteCarlo!$B$9*$A22)*_xlfn.NORM.S.DIST(((LN(MonteCarlo!$B$6/MonteCarlo!$B$5)+(MonteCarlo!$B$9+(R$1^2)/2)*$A22)/(R$1*SQRT($A22)))-(R$1*SQRT($A22)),TRUE),MonteCarlo!$B$5*EXP(-MonteCarlo!$B$9*$A22)*_xlfn.NORM.S.DIST(-(((LN(MonteCarlo!$B$6/MonteCarlo!$B$5)+(MonteCarlo!$B$9+(R$1^2)/2)*$A22)/(R$1*SQRT($A22)))-(R$1*SQRT($A22))),TRUE)-MonteCarlo!$B$6*_xlfn.NORM.S.DIST(-((LN(MonteCarlo!$B$6/MonteCarlo!$B$5)+(MonteCarlo!$B$9+(R$1^2)/2)*$A22)/(R$1*SQRT($A22))),TRUE)),"")</f>
        <v/>
      </c>
      <c r="S22" t="str">
        <f>IFERROR(IF(OR(MonteCarlo!$B$4="C",MonteCarlo!$B$4="c"),MonteCarlo!$B$6*_xlfn.NORM.S.DIST((LN(MonteCarlo!$B$6/MonteCarlo!$B$5)+(MonteCarlo!$B$9+(S$1^2)/2)*$A22)/(S$1*SQRT($A22)),TRUE)-MonteCarlo!$B$5*EXP(-MonteCarlo!$B$9*$A22)*_xlfn.NORM.S.DIST(((LN(MonteCarlo!$B$6/MonteCarlo!$B$5)+(MonteCarlo!$B$9+(S$1^2)/2)*$A22)/(S$1*SQRT($A22)))-(S$1*SQRT($A22)),TRUE),MonteCarlo!$B$5*EXP(-MonteCarlo!$B$9*$A22)*_xlfn.NORM.S.DIST(-(((LN(MonteCarlo!$B$6/MonteCarlo!$B$5)+(MonteCarlo!$B$9+(S$1^2)/2)*$A22)/(S$1*SQRT($A22)))-(S$1*SQRT($A22))),TRUE)-MonteCarlo!$B$6*_xlfn.NORM.S.DIST(-((LN(MonteCarlo!$B$6/MonteCarlo!$B$5)+(MonteCarlo!$B$9+(S$1^2)/2)*$A22)/(S$1*SQRT($A22))),TRUE)),"")</f>
        <v/>
      </c>
      <c r="T22" t="str">
        <f>IFERROR(IF(OR(MonteCarlo!$B$4="C",MonteCarlo!$B$4="c"),MonteCarlo!$B$6*_xlfn.NORM.S.DIST((LN(MonteCarlo!$B$6/MonteCarlo!$B$5)+(MonteCarlo!$B$9+(T$1^2)/2)*$A22)/(T$1*SQRT($A22)),TRUE)-MonteCarlo!$B$5*EXP(-MonteCarlo!$B$9*$A22)*_xlfn.NORM.S.DIST(((LN(MonteCarlo!$B$6/MonteCarlo!$B$5)+(MonteCarlo!$B$9+(T$1^2)/2)*$A22)/(T$1*SQRT($A22)))-(T$1*SQRT($A22)),TRUE),MonteCarlo!$B$5*EXP(-MonteCarlo!$B$9*$A22)*_xlfn.NORM.S.DIST(-(((LN(MonteCarlo!$B$6/MonteCarlo!$B$5)+(MonteCarlo!$B$9+(T$1^2)/2)*$A22)/(T$1*SQRT($A22)))-(T$1*SQRT($A22))),TRUE)-MonteCarlo!$B$6*_xlfn.NORM.S.DIST(-((LN(MonteCarlo!$B$6/MonteCarlo!$B$5)+(MonteCarlo!$B$9+(T$1^2)/2)*$A22)/(T$1*SQRT($A22))),TRUE)),"")</f>
        <v/>
      </c>
      <c r="U22" t="str">
        <f>IFERROR(IF(OR(MonteCarlo!$B$4="C",MonteCarlo!$B$4="c"),MonteCarlo!$B$6*_xlfn.NORM.S.DIST((LN(MonteCarlo!$B$6/MonteCarlo!$B$5)+(MonteCarlo!$B$9+(U$1^2)/2)*$A22)/(U$1*SQRT($A22)),TRUE)-MonteCarlo!$B$5*EXP(-MonteCarlo!$B$9*$A22)*_xlfn.NORM.S.DIST(((LN(MonteCarlo!$B$6/MonteCarlo!$B$5)+(MonteCarlo!$B$9+(U$1^2)/2)*$A22)/(U$1*SQRT($A22)))-(U$1*SQRT($A22)),TRUE),MonteCarlo!$B$5*EXP(-MonteCarlo!$B$9*$A22)*_xlfn.NORM.S.DIST(-(((LN(MonteCarlo!$B$6/MonteCarlo!$B$5)+(MonteCarlo!$B$9+(U$1^2)/2)*$A22)/(U$1*SQRT($A22)))-(U$1*SQRT($A22))),TRUE)-MonteCarlo!$B$6*_xlfn.NORM.S.DIST(-((LN(MonteCarlo!$B$6/MonteCarlo!$B$5)+(MonteCarlo!$B$9+(U$1^2)/2)*$A22)/(U$1*SQRT($A22))),TRUE)),"")</f>
        <v/>
      </c>
      <c r="V22" t="str">
        <f>IFERROR(IF(OR(MonteCarlo!$B$4="C",MonteCarlo!$B$4="c"),MonteCarlo!$B$6*_xlfn.NORM.S.DIST((LN(MonteCarlo!$B$6/MonteCarlo!$B$5)+(MonteCarlo!$B$9+(V$1^2)/2)*$A22)/(V$1*SQRT($A22)),TRUE)-MonteCarlo!$B$5*EXP(-MonteCarlo!$B$9*$A22)*_xlfn.NORM.S.DIST(((LN(MonteCarlo!$B$6/MonteCarlo!$B$5)+(MonteCarlo!$B$9+(V$1^2)/2)*$A22)/(V$1*SQRT($A22)))-(V$1*SQRT($A22)),TRUE),MonteCarlo!$B$5*EXP(-MonteCarlo!$B$9*$A22)*_xlfn.NORM.S.DIST(-(((LN(MonteCarlo!$B$6/MonteCarlo!$B$5)+(MonteCarlo!$B$9+(V$1^2)/2)*$A22)/(V$1*SQRT($A22)))-(V$1*SQRT($A22))),TRUE)-MonteCarlo!$B$6*_xlfn.NORM.S.DIST(-((LN(MonteCarlo!$B$6/MonteCarlo!$B$5)+(MonteCarlo!$B$9+(V$1^2)/2)*$A22)/(V$1*SQRT($A22))),TRUE)),"")</f>
        <v/>
      </c>
      <c r="W22" t="str">
        <f>IFERROR(IF(OR(MonteCarlo!$B$4="C",MonteCarlo!$B$4="c"),MonteCarlo!$B$6*_xlfn.NORM.S.DIST((LN(MonteCarlo!$B$6/MonteCarlo!$B$5)+(MonteCarlo!$B$9+(W$1^2)/2)*$A22)/(W$1*SQRT($A22)),TRUE)-MonteCarlo!$B$5*EXP(-MonteCarlo!$B$9*$A22)*_xlfn.NORM.S.DIST(((LN(MonteCarlo!$B$6/MonteCarlo!$B$5)+(MonteCarlo!$B$9+(W$1^2)/2)*$A22)/(W$1*SQRT($A22)))-(W$1*SQRT($A22)),TRUE),MonteCarlo!$B$5*EXP(-MonteCarlo!$B$9*$A22)*_xlfn.NORM.S.DIST(-(((LN(MonteCarlo!$B$6/MonteCarlo!$B$5)+(MonteCarlo!$B$9+(W$1^2)/2)*$A22)/(W$1*SQRT($A22)))-(W$1*SQRT($A22))),TRUE)-MonteCarlo!$B$6*_xlfn.NORM.S.DIST(-((LN(MonteCarlo!$B$6/MonteCarlo!$B$5)+(MonteCarlo!$B$9+(W$1^2)/2)*$A22)/(W$1*SQRT($A22))),TRUE)),"")</f>
        <v/>
      </c>
      <c r="X22" t="str">
        <f>IFERROR(IF(OR(MonteCarlo!$B$4="C",MonteCarlo!$B$4="c"),MonteCarlo!$B$6*_xlfn.NORM.S.DIST((LN(MonteCarlo!$B$6/MonteCarlo!$B$5)+(MonteCarlo!$B$9+(X$1^2)/2)*$A22)/(X$1*SQRT($A22)),TRUE)-MonteCarlo!$B$5*EXP(-MonteCarlo!$B$9*$A22)*_xlfn.NORM.S.DIST(((LN(MonteCarlo!$B$6/MonteCarlo!$B$5)+(MonteCarlo!$B$9+(X$1^2)/2)*$A22)/(X$1*SQRT($A22)))-(X$1*SQRT($A22)),TRUE),MonteCarlo!$B$5*EXP(-MonteCarlo!$B$9*$A22)*_xlfn.NORM.S.DIST(-(((LN(MonteCarlo!$B$6/MonteCarlo!$B$5)+(MonteCarlo!$B$9+(X$1^2)/2)*$A22)/(X$1*SQRT($A22)))-(X$1*SQRT($A22))),TRUE)-MonteCarlo!$B$6*_xlfn.NORM.S.DIST(-((LN(MonteCarlo!$B$6/MonteCarlo!$B$5)+(MonteCarlo!$B$9+(X$1^2)/2)*$A22)/(X$1*SQRT($A22))),TRUE)),"")</f>
        <v/>
      </c>
      <c r="Y22" t="str">
        <f>IFERROR(IF(OR(MonteCarlo!$B$4="C",MonteCarlo!$B$4="c"),MonteCarlo!$B$6*_xlfn.NORM.S.DIST((LN(MonteCarlo!$B$6/MonteCarlo!$B$5)+(MonteCarlo!$B$9+(Y$1^2)/2)*$A22)/(Y$1*SQRT($A22)),TRUE)-MonteCarlo!$B$5*EXP(-MonteCarlo!$B$9*$A22)*_xlfn.NORM.S.DIST(((LN(MonteCarlo!$B$6/MonteCarlo!$B$5)+(MonteCarlo!$B$9+(Y$1^2)/2)*$A22)/(Y$1*SQRT($A22)))-(Y$1*SQRT($A22)),TRUE),MonteCarlo!$B$5*EXP(-MonteCarlo!$B$9*$A22)*_xlfn.NORM.S.DIST(-(((LN(MonteCarlo!$B$6/MonteCarlo!$B$5)+(MonteCarlo!$B$9+(Y$1^2)/2)*$A22)/(Y$1*SQRT($A22)))-(Y$1*SQRT($A22))),TRUE)-MonteCarlo!$B$6*_xlfn.NORM.S.DIST(-((LN(MonteCarlo!$B$6/MonteCarlo!$B$5)+(MonteCarlo!$B$9+(Y$1^2)/2)*$A22)/(Y$1*SQRT($A22))),TRUE)),"")</f>
        <v/>
      </c>
      <c r="Z22" t="str">
        <f>IFERROR(IF(OR(MonteCarlo!$B$4="C",MonteCarlo!$B$4="c"),MonteCarlo!$B$6*_xlfn.NORM.S.DIST((LN(MonteCarlo!$B$6/MonteCarlo!$B$5)+(MonteCarlo!$B$9+(Z$1^2)/2)*$A22)/(Z$1*SQRT($A22)),TRUE)-MonteCarlo!$B$5*EXP(-MonteCarlo!$B$9*$A22)*_xlfn.NORM.S.DIST(((LN(MonteCarlo!$B$6/MonteCarlo!$B$5)+(MonteCarlo!$B$9+(Z$1^2)/2)*$A22)/(Z$1*SQRT($A22)))-(Z$1*SQRT($A22)),TRUE),MonteCarlo!$B$5*EXP(-MonteCarlo!$B$9*$A22)*_xlfn.NORM.S.DIST(-(((LN(MonteCarlo!$B$6/MonteCarlo!$B$5)+(MonteCarlo!$B$9+(Z$1^2)/2)*$A22)/(Z$1*SQRT($A22)))-(Z$1*SQRT($A22))),TRUE)-MonteCarlo!$B$6*_xlfn.NORM.S.DIST(-((LN(MonteCarlo!$B$6/MonteCarlo!$B$5)+(MonteCarlo!$B$9+(Z$1^2)/2)*$A22)/(Z$1*SQRT($A22))),TRUE)),"")</f>
        <v/>
      </c>
      <c r="AA22" t="str">
        <f>IFERROR(IF(OR(MonteCarlo!$B$4="C",MonteCarlo!$B$4="c"),MonteCarlo!$B$6*_xlfn.NORM.S.DIST((LN(MonteCarlo!$B$6/MonteCarlo!$B$5)+(MonteCarlo!$B$9+(AA$1^2)/2)*$A22)/(AA$1*SQRT($A22)),TRUE)-MonteCarlo!$B$5*EXP(-MonteCarlo!$B$9*$A22)*_xlfn.NORM.S.DIST(((LN(MonteCarlo!$B$6/MonteCarlo!$B$5)+(MonteCarlo!$B$9+(AA$1^2)/2)*$A22)/(AA$1*SQRT($A22)))-(AA$1*SQRT($A22)),TRUE),MonteCarlo!$B$5*EXP(-MonteCarlo!$B$9*$A22)*_xlfn.NORM.S.DIST(-(((LN(MonteCarlo!$B$6/MonteCarlo!$B$5)+(MonteCarlo!$B$9+(AA$1^2)/2)*$A22)/(AA$1*SQRT($A22)))-(AA$1*SQRT($A22))),TRUE)-MonteCarlo!$B$6*_xlfn.NORM.S.DIST(-((LN(MonteCarlo!$B$6/MonteCarlo!$B$5)+(MonteCarlo!$B$9+(AA$1^2)/2)*$A22)/(AA$1*SQRT($A22))),TRUE)),"")</f>
        <v/>
      </c>
      <c r="AB22" t="str">
        <f>IFERROR(IF(OR(MonteCarlo!$B$4="C",MonteCarlo!$B$4="c"),MonteCarlo!$B$6*_xlfn.NORM.S.DIST((LN(MonteCarlo!$B$6/MonteCarlo!$B$5)+(MonteCarlo!$B$9+(AB$1^2)/2)*$A22)/(AB$1*SQRT($A22)),TRUE)-MonteCarlo!$B$5*EXP(-MonteCarlo!$B$9*$A22)*_xlfn.NORM.S.DIST(((LN(MonteCarlo!$B$6/MonteCarlo!$B$5)+(MonteCarlo!$B$9+(AB$1^2)/2)*$A22)/(AB$1*SQRT($A22)))-(AB$1*SQRT($A22)),TRUE),MonteCarlo!$B$5*EXP(-MonteCarlo!$B$9*$A22)*_xlfn.NORM.S.DIST(-(((LN(MonteCarlo!$B$6/MonteCarlo!$B$5)+(MonteCarlo!$B$9+(AB$1^2)/2)*$A22)/(AB$1*SQRT($A22)))-(AB$1*SQRT($A22))),TRUE)-MonteCarlo!$B$6*_xlfn.NORM.S.DIST(-((LN(MonteCarlo!$B$6/MonteCarlo!$B$5)+(MonteCarlo!$B$9+(AB$1^2)/2)*$A22)/(AB$1*SQRT($A22))),TRUE)),"")</f>
        <v/>
      </c>
      <c r="AC22" t="str">
        <f>IFERROR(IF(OR(MonteCarlo!$B$4="C",MonteCarlo!$B$4="c"),MonteCarlo!$B$6*_xlfn.NORM.S.DIST((LN(MonteCarlo!$B$6/MonteCarlo!$B$5)+(MonteCarlo!$B$9+(AC$1^2)/2)*$A22)/(AC$1*SQRT($A22)),TRUE)-MonteCarlo!$B$5*EXP(-MonteCarlo!$B$9*$A22)*_xlfn.NORM.S.DIST(((LN(MonteCarlo!$B$6/MonteCarlo!$B$5)+(MonteCarlo!$B$9+(AC$1^2)/2)*$A22)/(AC$1*SQRT($A22)))-(AC$1*SQRT($A22)),TRUE),MonteCarlo!$B$5*EXP(-MonteCarlo!$B$9*$A22)*_xlfn.NORM.S.DIST(-(((LN(MonteCarlo!$B$6/MonteCarlo!$B$5)+(MonteCarlo!$B$9+(AC$1^2)/2)*$A22)/(AC$1*SQRT($A22)))-(AC$1*SQRT($A22))),TRUE)-MonteCarlo!$B$6*_xlfn.NORM.S.DIST(-((LN(MonteCarlo!$B$6/MonteCarlo!$B$5)+(MonteCarlo!$B$9+(AC$1^2)/2)*$A22)/(AC$1*SQRT($A22))),TRUE)),"")</f>
        <v/>
      </c>
      <c r="AD22" t="str">
        <f>IFERROR(IF(OR(MonteCarlo!$B$4="C",MonteCarlo!$B$4="c"),MonteCarlo!$B$6*_xlfn.NORM.S.DIST((LN(MonteCarlo!$B$6/MonteCarlo!$B$5)+(MonteCarlo!$B$9+(AD$1^2)/2)*$A22)/(AD$1*SQRT($A22)),TRUE)-MonteCarlo!$B$5*EXP(-MonteCarlo!$B$9*$A22)*_xlfn.NORM.S.DIST(((LN(MonteCarlo!$B$6/MonteCarlo!$B$5)+(MonteCarlo!$B$9+(AD$1^2)/2)*$A22)/(AD$1*SQRT($A22)))-(AD$1*SQRT($A22)),TRUE),MonteCarlo!$B$5*EXP(-MonteCarlo!$B$9*$A22)*_xlfn.NORM.S.DIST(-(((LN(MonteCarlo!$B$6/MonteCarlo!$B$5)+(MonteCarlo!$B$9+(AD$1^2)/2)*$A22)/(AD$1*SQRT($A22)))-(AD$1*SQRT($A22))),TRUE)-MonteCarlo!$B$6*_xlfn.NORM.S.DIST(-((LN(MonteCarlo!$B$6/MonteCarlo!$B$5)+(MonteCarlo!$B$9+(AD$1^2)/2)*$A22)/(AD$1*SQRT($A22))),TRUE)),"")</f>
        <v/>
      </c>
      <c r="AE22" t="str">
        <f>IFERROR(IF(OR(MonteCarlo!$B$4="C",MonteCarlo!$B$4="c"),MonteCarlo!$B$6*_xlfn.NORM.S.DIST((LN(MonteCarlo!$B$6/MonteCarlo!$B$5)+(MonteCarlo!$B$9+(AE$1^2)/2)*$A22)/(AE$1*SQRT($A22)),TRUE)-MonteCarlo!$B$5*EXP(-MonteCarlo!$B$9*$A22)*_xlfn.NORM.S.DIST(((LN(MonteCarlo!$B$6/MonteCarlo!$B$5)+(MonteCarlo!$B$9+(AE$1^2)/2)*$A22)/(AE$1*SQRT($A22)))-(AE$1*SQRT($A22)),TRUE),MonteCarlo!$B$5*EXP(-MonteCarlo!$B$9*$A22)*_xlfn.NORM.S.DIST(-(((LN(MonteCarlo!$B$6/MonteCarlo!$B$5)+(MonteCarlo!$B$9+(AE$1^2)/2)*$A22)/(AE$1*SQRT($A22)))-(AE$1*SQRT($A22))),TRUE)-MonteCarlo!$B$6*_xlfn.NORM.S.DIST(-((LN(MonteCarlo!$B$6/MonteCarlo!$B$5)+(MonteCarlo!$B$9+(AE$1^2)/2)*$A22)/(AE$1*SQRT($A22))),TRUE)),"")</f>
        <v/>
      </c>
      <c r="AF22" t="str">
        <f>IFERROR(IF(OR(MonteCarlo!$B$4="C",MonteCarlo!$B$4="c"),MonteCarlo!$B$6*_xlfn.NORM.S.DIST((LN(MonteCarlo!$B$6/MonteCarlo!$B$5)+(MonteCarlo!$B$9+(AF$1^2)/2)*$A22)/(AF$1*SQRT($A22)),TRUE)-MonteCarlo!$B$5*EXP(-MonteCarlo!$B$9*$A22)*_xlfn.NORM.S.DIST(((LN(MonteCarlo!$B$6/MonteCarlo!$B$5)+(MonteCarlo!$B$9+(AF$1^2)/2)*$A22)/(AF$1*SQRT($A22)))-(AF$1*SQRT($A22)),TRUE),MonteCarlo!$B$5*EXP(-MonteCarlo!$B$9*$A22)*_xlfn.NORM.S.DIST(-(((LN(MonteCarlo!$B$6/MonteCarlo!$B$5)+(MonteCarlo!$B$9+(AF$1^2)/2)*$A22)/(AF$1*SQRT($A22)))-(AF$1*SQRT($A22))),TRUE)-MonteCarlo!$B$6*_xlfn.NORM.S.DIST(-((LN(MonteCarlo!$B$6/MonteCarlo!$B$5)+(MonteCarlo!$B$9+(AF$1^2)/2)*$A22)/(AF$1*SQRT($A22))),TRUE)),"")</f>
        <v/>
      </c>
    </row>
    <row r="23" spans="2:32" x14ac:dyDescent="0.25">
      <c r="B23" t="str">
        <f>IFERROR(IF(OR(MonteCarlo!$B$4="C",MonteCarlo!$B$4="c"),MonteCarlo!$B$6*_xlfn.NORM.S.DIST((LN(MonteCarlo!$B$6/MonteCarlo!$B$5)+(MonteCarlo!$B$9+(B$1^2)/2)*$A23)/(B$1*SQRT($A23)),TRUE)-MonteCarlo!$B$5*EXP(-MonteCarlo!$B$9*$A23)*_xlfn.NORM.S.DIST(((LN(MonteCarlo!$B$6/MonteCarlo!$B$5)+(MonteCarlo!$B$9+(B$1^2)/2)*$A23)/(B$1*SQRT($A23)))-(B$1*SQRT($A23)),TRUE),MonteCarlo!$B$5*EXP(-MonteCarlo!$B$9*$A23)*_xlfn.NORM.S.DIST(-(((LN(MonteCarlo!$B$6/MonteCarlo!$B$5)+(MonteCarlo!$B$9+(B$1^2)/2)*$A23)/(B$1*SQRT($A23)))-(B$1*SQRT($A23))),TRUE)-MonteCarlo!$B$6*_xlfn.NORM.S.DIST(-((LN(MonteCarlo!$B$6/MonteCarlo!$B$5)+(MonteCarlo!$B$9+(B$1^2)/2)*$A23)/(B$1*SQRT($A23))),TRUE)),"")</f>
        <v/>
      </c>
      <c r="C23" t="str">
        <f>IFERROR(IF(OR(MonteCarlo!$B$4="C",MonteCarlo!$B$4="c"),MonteCarlo!$B$6*_xlfn.NORM.S.DIST((LN(MonteCarlo!$B$6/MonteCarlo!$B$5)+(MonteCarlo!$B$9+(C$1^2)/2)*$A23)/(C$1*SQRT($A23)),TRUE)-MonteCarlo!$B$5*EXP(-MonteCarlo!$B$9*$A23)*_xlfn.NORM.S.DIST(((LN(MonteCarlo!$B$6/MonteCarlo!$B$5)+(MonteCarlo!$B$9+(C$1^2)/2)*$A23)/(C$1*SQRT($A23)))-(C$1*SQRT($A23)),TRUE),MonteCarlo!$B$5*EXP(-MonteCarlo!$B$9*$A23)*_xlfn.NORM.S.DIST(-(((LN(MonteCarlo!$B$6/MonteCarlo!$B$5)+(MonteCarlo!$B$9+(C$1^2)/2)*$A23)/(C$1*SQRT($A23)))-(C$1*SQRT($A23))),TRUE)-MonteCarlo!$B$6*_xlfn.NORM.S.DIST(-((LN(MonteCarlo!$B$6/MonteCarlo!$B$5)+(MonteCarlo!$B$9+(C$1^2)/2)*$A23)/(C$1*SQRT($A23))),TRUE)),"")</f>
        <v/>
      </c>
      <c r="D23" t="str">
        <f>IFERROR(IF(OR(MonteCarlo!$B$4="C",MonteCarlo!$B$4="c"),MonteCarlo!$B$6*_xlfn.NORM.S.DIST((LN(MonteCarlo!$B$6/MonteCarlo!$B$5)+(MonteCarlo!$B$9+(D$1^2)/2)*$A23)/(D$1*SQRT($A23)),TRUE)-MonteCarlo!$B$5*EXP(-MonteCarlo!$B$9*$A23)*_xlfn.NORM.S.DIST(((LN(MonteCarlo!$B$6/MonteCarlo!$B$5)+(MonteCarlo!$B$9+(D$1^2)/2)*$A23)/(D$1*SQRT($A23)))-(D$1*SQRT($A23)),TRUE),MonteCarlo!$B$5*EXP(-MonteCarlo!$B$9*$A23)*_xlfn.NORM.S.DIST(-(((LN(MonteCarlo!$B$6/MonteCarlo!$B$5)+(MonteCarlo!$B$9+(D$1^2)/2)*$A23)/(D$1*SQRT($A23)))-(D$1*SQRT($A23))),TRUE)-MonteCarlo!$B$6*_xlfn.NORM.S.DIST(-((LN(MonteCarlo!$B$6/MonteCarlo!$B$5)+(MonteCarlo!$B$9+(D$1^2)/2)*$A23)/(D$1*SQRT($A23))),TRUE)),"")</f>
        <v/>
      </c>
      <c r="E23" t="str">
        <f>IFERROR(IF(OR(MonteCarlo!$B$4="C",MonteCarlo!$B$4="c"),MonteCarlo!$B$6*_xlfn.NORM.S.DIST((LN(MonteCarlo!$B$6/MonteCarlo!$B$5)+(MonteCarlo!$B$9+(E$1^2)/2)*$A23)/(E$1*SQRT($A23)),TRUE)-MonteCarlo!$B$5*EXP(-MonteCarlo!$B$9*$A23)*_xlfn.NORM.S.DIST(((LN(MonteCarlo!$B$6/MonteCarlo!$B$5)+(MonteCarlo!$B$9+(E$1^2)/2)*$A23)/(E$1*SQRT($A23)))-(E$1*SQRT($A23)),TRUE),MonteCarlo!$B$5*EXP(-MonteCarlo!$B$9*$A23)*_xlfn.NORM.S.DIST(-(((LN(MonteCarlo!$B$6/MonteCarlo!$B$5)+(MonteCarlo!$B$9+(E$1^2)/2)*$A23)/(E$1*SQRT($A23)))-(E$1*SQRT($A23))),TRUE)-MonteCarlo!$B$6*_xlfn.NORM.S.DIST(-((LN(MonteCarlo!$B$6/MonteCarlo!$B$5)+(MonteCarlo!$B$9+(E$1^2)/2)*$A23)/(E$1*SQRT($A23))),TRUE)),"")</f>
        <v/>
      </c>
      <c r="F23" t="str">
        <f>IFERROR(IF(OR(MonteCarlo!$B$4="C",MonteCarlo!$B$4="c"),MonteCarlo!$B$6*_xlfn.NORM.S.DIST((LN(MonteCarlo!$B$6/MonteCarlo!$B$5)+(MonteCarlo!$B$9+(F$1^2)/2)*$A23)/(F$1*SQRT($A23)),TRUE)-MonteCarlo!$B$5*EXP(-MonteCarlo!$B$9*$A23)*_xlfn.NORM.S.DIST(((LN(MonteCarlo!$B$6/MonteCarlo!$B$5)+(MonteCarlo!$B$9+(F$1^2)/2)*$A23)/(F$1*SQRT($A23)))-(F$1*SQRT($A23)),TRUE),MonteCarlo!$B$5*EXP(-MonteCarlo!$B$9*$A23)*_xlfn.NORM.S.DIST(-(((LN(MonteCarlo!$B$6/MonteCarlo!$B$5)+(MonteCarlo!$B$9+(F$1^2)/2)*$A23)/(F$1*SQRT($A23)))-(F$1*SQRT($A23))),TRUE)-MonteCarlo!$B$6*_xlfn.NORM.S.DIST(-((LN(MonteCarlo!$B$6/MonteCarlo!$B$5)+(MonteCarlo!$B$9+(F$1^2)/2)*$A23)/(F$1*SQRT($A23))),TRUE)),"")</f>
        <v/>
      </c>
      <c r="G23" t="str">
        <f>IFERROR(IF(OR(MonteCarlo!$B$4="C",MonteCarlo!$B$4="c"),MonteCarlo!$B$6*_xlfn.NORM.S.DIST((LN(MonteCarlo!$B$6/MonteCarlo!$B$5)+(MonteCarlo!$B$9+(G$1^2)/2)*$A23)/(G$1*SQRT($A23)),TRUE)-MonteCarlo!$B$5*EXP(-MonteCarlo!$B$9*$A23)*_xlfn.NORM.S.DIST(((LN(MonteCarlo!$B$6/MonteCarlo!$B$5)+(MonteCarlo!$B$9+(G$1^2)/2)*$A23)/(G$1*SQRT($A23)))-(G$1*SQRT($A23)),TRUE),MonteCarlo!$B$5*EXP(-MonteCarlo!$B$9*$A23)*_xlfn.NORM.S.DIST(-(((LN(MonteCarlo!$B$6/MonteCarlo!$B$5)+(MonteCarlo!$B$9+(G$1^2)/2)*$A23)/(G$1*SQRT($A23)))-(G$1*SQRT($A23))),TRUE)-MonteCarlo!$B$6*_xlfn.NORM.S.DIST(-((LN(MonteCarlo!$B$6/MonteCarlo!$B$5)+(MonteCarlo!$B$9+(G$1^2)/2)*$A23)/(G$1*SQRT($A23))),TRUE)),"")</f>
        <v/>
      </c>
      <c r="H23" t="str">
        <f>IFERROR(IF(OR(MonteCarlo!$B$4="C",MonteCarlo!$B$4="c"),MonteCarlo!$B$6*_xlfn.NORM.S.DIST((LN(MonteCarlo!$B$6/MonteCarlo!$B$5)+(MonteCarlo!$B$9+(H$1^2)/2)*$A23)/(H$1*SQRT($A23)),TRUE)-MonteCarlo!$B$5*EXP(-MonteCarlo!$B$9*$A23)*_xlfn.NORM.S.DIST(((LN(MonteCarlo!$B$6/MonteCarlo!$B$5)+(MonteCarlo!$B$9+(H$1^2)/2)*$A23)/(H$1*SQRT($A23)))-(H$1*SQRT($A23)),TRUE),MonteCarlo!$B$5*EXP(-MonteCarlo!$B$9*$A23)*_xlfn.NORM.S.DIST(-(((LN(MonteCarlo!$B$6/MonteCarlo!$B$5)+(MonteCarlo!$B$9+(H$1^2)/2)*$A23)/(H$1*SQRT($A23)))-(H$1*SQRT($A23))),TRUE)-MonteCarlo!$B$6*_xlfn.NORM.S.DIST(-((LN(MonteCarlo!$B$6/MonteCarlo!$B$5)+(MonteCarlo!$B$9+(H$1^2)/2)*$A23)/(H$1*SQRT($A23))),TRUE)),"")</f>
        <v/>
      </c>
      <c r="I23" t="str">
        <f>IFERROR(IF(OR(MonteCarlo!$B$4="C",MonteCarlo!$B$4="c"),MonteCarlo!$B$6*_xlfn.NORM.S.DIST((LN(MonteCarlo!$B$6/MonteCarlo!$B$5)+(MonteCarlo!$B$9+(I$1^2)/2)*$A23)/(I$1*SQRT($A23)),TRUE)-MonteCarlo!$B$5*EXP(-MonteCarlo!$B$9*$A23)*_xlfn.NORM.S.DIST(((LN(MonteCarlo!$B$6/MonteCarlo!$B$5)+(MonteCarlo!$B$9+(I$1^2)/2)*$A23)/(I$1*SQRT($A23)))-(I$1*SQRT($A23)),TRUE),MonteCarlo!$B$5*EXP(-MonteCarlo!$B$9*$A23)*_xlfn.NORM.S.DIST(-(((LN(MonteCarlo!$B$6/MonteCarlo!$B$5)+(MonteCarlo!$B$9+(I$1^2)/2)*$A23)/(I$1*SQRT($A23)))-(I$1*SQRT($A23))),TRUE)-MonteCarlo!$B$6*_xlfn.NORM.S.DIST(-((LN(MonteCarlo!$B$6/MonteCarlo!$B$5)+(MonteCarlo!$B$9+(I$1^2)/2)*$A23)/(I$1*SQRT($A23))),TRUE)),"")</f>
        <v/>
      </c>
      <c r="J23" t="str">
        <f>IFERROR(IF(OR(MonteCarlo!$B$4="C",MonteCarlo!$B$4="c"),MonteCarlo!$B$6*_xlfn.NORM.S.DIST((LN(MonteCarlo!$B$6/MonteCarlo!$B$5)+(MonteCarlo!$B$9+(J$1^2)/2)*$A23)/(J$1*SQRT($A23)),TRUE)-MonteCarlo!$B$5*EXP(-MonteCarlo!$B$9*$A23)*_xlfn.NORM.S.DIST(((LN(MonteCarlo!$B$6/MonteCarlo!$B$5)+(MonteCarlo!$B$9+(J$1^2)/2)*$A23)/(J$1*SQRT($A23)))-(J$1*SQRT($A23)),TRUE),MonteCarlo!$B$5*EXP(-MonteCarlo!$B$9*$A23)*_xlfn.NORM.S.DIST(-(((LN(MonteCarlo!$B$6/MonteCarlo!$B$5)+(MonteCarlo!$B$9+(J$1^2)/2)*$A23)/(J$1*SQRT($A23)))-(J$1*SQRT($A23))),TRUE)-MonteCarlo!$B$6*_xlfn.NORM.S.DIST(-((LN(MonteCarlo!$B$6/MonteCarlo!$B$5)+(MonteCarlo!$B$9+(J$1^2)/2)*$A23)/(J$1*SQRT($A23))),TRUE)),"")</f>
        <v/>
      </c>
      <c r="K23" t="str">
        <f>IFERROR(IF(OR(MonteCarlo!$B$4="C",MonteCarlo!$B$4="c"),MonteCarlo!$B$6*_xlfn.NORM.S.DIST((LN(MonteCarlo!$B$6/MonteCarlo!$B$5)+(MonteCarlo!$B$9+(K$1^2)/2)*$A23)/(K$1*SQRT($A23)),TRUE)-MonteCarlo!$B$5*EXP(-MonteCarlo!$B$9*$A23)*_xlfn.NORM.S.DIST(((LN(MonteCarlo!$B$6/MonteCarlo!$B$5)+(MonteCarlo!$B$9+(K$1^2)/2)*$A23)/(K$1*SQRT($A23)))-(K$1*SQRT($A23)),TRUE),MonteCarlo!$B$5*EXP(-MonteCarlo!$B$9*$A23)*_xlfn.NORM.S.DIST(-(((LN(MonteCarlo!$B$6/MonteCarlo!$B$5)+(MonteCarlo!$B$9+(K$1^2)/2)*$A23)/(K$1*SQRT($A23)))-(K$1*SQRT($A23))),TRUE)-MonteCarlo!$B$6*_xlfn.NORM.S.DIST(-((LN(MonteCarlo!$B$6/MonteCarlo!$B$5)+(MonteCarlo!$B$9+(K$1^2)/2)*$A23)/(K$1*SQRT($A23))),TRUE)),"")</f>
        <v/>
      </c>
      <c r="L23" t="str">
        <f>IFERROR(IF(OR(MonteCarlo!$B$4="C",MonteCarlo!$B$4="c"),MonteCarlo!$B$6*_xlfn.NORM.S.DIST((LN(MonteCarlo!$B$6/MonteCarlo!$B$5)+(MonteCarlo!$B$9+(L$1^2)/2)*$A23)/(L$1*SQRT($A23)),TRUE)-MonteCarlo!$B$5*EXP(-MonteCarlo!$B$9*$A23)*_xlfn.NORM.S.DIST(((LN(MonteCarlo!$B$6/MonteCarlo!$B$5)+(MonteCarlo!$B$9+(L$1^2)/2)*$A23)/(L$1*SQRT($A23)))-(L$1*SQRT($A23)),TRUE),MonteCarlo!$B$5*EXP(-MonteCarlo!$B$9*$A23)*_xlfn.NORM.S.DIST(-(((LN(MonteCarlo!$B$6/MonteCarlo!$B$5)+(MonteCarlo!$B$9+(L$1^2)/2)*$A23)/(L$1*SQRT($A23)))-(L$1*SQRT($A23))),TRUE)-MonteCarlo!$B$6*_xlfn.NORM.S.DIST(-((LN(MonteCarlo!$B$6/MonteCarlo!$B$5)+(MonteCarlo!$B$9+(L$1^2)/2)*$A23)/(L$1*SQRT($A23))),TRUE)),"")</f>
        <v/>
      </c>
      <c r="M23" t="str">
        <f>IFERROR(IF(OR(MonteCarlo!$B$4="C",MonteCarlo!$B$4="c"),MonteCarlo!$B$6*_xlfn.NORM.S.DIST((LN(MonteCarlo!$B$6/MonteCarlo!$B$5)+(MonteCarlo!$B$9+(M$1^2)/2)*$A23)/(M$1*SQRT($A23)),TRUE)-MonteCarlo!$B$5*EXP(-MonteCarlo!$B$9*$A23)*_xlfn.NORM.S.DIST(((LN(MonteCarlo!$B$6/MonteCarlo!$B$5)+(MonteCarlo!$B$9+(M$1^2)/2)*$A23)/(M$1*SQRT($A23)))-(M$1*SQRT($A23)),TRUE),MonteCarlo!$B$5*EXP(-MonteCarlo!$B$9*$A23)*_xlfn.NORM.S.DIST(-(((LN(MonteCarlo!$B$6/MonteCarlo!$B$5)+(MonteCarlo!$B$9+(M$1^2)/2)*$A23)/(M$1*SQRT($A23)))-(M$1*SQRT($A23))),TRUE)-MonteCarlo!$B$6*_xlfn.NORM.S.DIST(-((LN(MonteCarlo!$B$6/MonteCarlo!$B$5)+(MonteCarlo!$B$9+(M$1^2)/2)*$A23)/(M$1*SQRT($A23))),TRUE)),"")</f>
        <v/>
      </c>
      <c r="N23" t="str">
        <f>IFERROR(IF(OR(MonteCarlo!$B$4="C",MonteCarlo!$B$4="c"),MonteCarlo!$B$6*_xlfn.NORM.S.DIST((LN(MonteCarlo!$B$6/MonteCarlo!$B$5)+(MonteCarlo!$B$9+(N$1^2)/2)*$A23)/(N$1*SQRT($A23)),TRUE)-MonteCarlo!$B$5*EXP(-MonteCarlo!$B$9*$A23)*_xlfn.NORM.S.DIST(((LN(MonteCarlo!$B$6/MonteCarlo!$B$5)+(MonteCarlo!$B$9+(N$1^2)/2)*$A23)/(N$1*SQRT($A23)))-(N$1*SQRT($A23)),TRUE),MonteCarlo!$B$5*EXP(-MonteCarlo!$B$9*$A23)*_xlfn.NORM.S.DIST(-(((LN(MonteCarlo!$B$6/MonteCarlo!$B$5)+(MonteCarlo!$B$9+(N$1^2)/2)*$A23)/(N$1*SQRT($A23)))-(N$1*SQRT($A23))),TRUE)-MonteCarlo!$B$6*_xlfn.NORM.S.DIST(-((LN(MonteCarlo!$B$6/MonteCarlo!$B$5)+(MonteCarlo!$B$9+(N$1^2)/2)*$A23)/(N$1*SQRT($A23))),TRUE)),"")</f>
        <v/>
      </c>
      <c r="O23" t="str">
        <f>IFERROR(IF(OR(MonteCarlo!$B$4="C",MonteCarlo!$B$4="c"),MonteCarlo!$B$6*_xlfn.NORM.S.DIST((LN(MonteCarlo!$B$6/MonteCarlo!$B$5)+(MonteCarlo!$B$9+(O$1^2)/2)*$A23)/(O$1*SQRT($A23)),TRUE)-MonteCarlo!$B$5*EXP(-MonteCarlo!$B$9*$A23)*_xlfn.NORM.S.DIST(((LN(MonteCarlo!$B$6/MonteCarlo!$B$5)+(MonteCarlo!$B$9+(O$1^2)/2)*$A23)/(O$1*SQRT($A23)))-(O$1*SQRT($A23)),TRUE),MonteCarlo!$B$5*EXP(-MonteCarlo!$B$9*$A23)*_xlfn.NORM.S.DIST(-(((LN(MonteCarlo!$B$6/MonteCarlo!$B$5)+(MonteCarlo!$B$9+(O$1^2)/2)*$A23)/(O$1*SQRT($A23)))-(O$1*SQRT($A23))),TRUE)-MonteCarlo!$B$6*_xlfn.NORM.S.DIST(-((LN(MonteCarlo!$B$6/MonteCarlo!$B$5)+(MonteCarlo!$B$9+(O$1^2)/2)*$A23)/(O$1*SQRT($A23))),TRUE)),"")</f>
        <v/>
      </c>
      <c r="P23" t="str">
        <f>IFERROR(IF(OR(MonteCarlo!$B$4="C",MonteCarlo!$B$4="c"),MonteCarlo!$B$6*_xlfn.NORM.S.DIST((LN(MonteCarlo!$B$6/MonteCarlo!$B$5)+(MonteCarlo!$B$9+(P$1^2)/2)*$A23)/(P$1*SQRT($A23)),TRUE)-MonteCarlo!$B$5*EXP(-MonteCarlo!$B$9*$A23)*_xlfn.NORM.S.DIST(((LN(MonteCarlo!$B$6/MonteCarlo!$B$5)+(MonteCarlo!$B$9+(P$1^2)/2)*$A23)/(P$1*SQRT($A23)))-(P$1*SQRT($A23)),TRUE),MonteCarlo!$B$5*EXP(-MonteCarlo!$B$9*$A23)*_xlfn.NORM.S.DIST(-(((LN(MonteCarlo!$B$6/MonteCarlo!$B$5)+(MonteCarlo!$B$9+(P$1^2)/2)*$A23)/(P$1*SQRT($A23)))-(P$1*SQRT($A23))),TRUE)-MonteCarlo!$B$6*_xlfn.NORM.S.DIST(-((LN(MonteCarlo!$B$6/MonteCarlo!$B$5)+(MonteCarlo!$B$9+(P$1^2)/2)*$A23)/(P$1*SQRT($A23))),TRUE)),"")</f>
        <v/>
      </c>
      <c r="Q23" t="str">
        <f>IFERROR(IF(OR(MonteCarlo!$B$4="C",MonteCarlo!$B$4="c"),MonteCarlo!$B$6*_xlfn.NORM.S.DIST((LN(MonteCarlo!$B$6/MonteCarlo!$B$5)+(MonteCarlo!$B$9+(Q$1^2)/2)*$A23)/(Q$1*SQRT($A23)),TRUE)-MonteCarlo!$B$5*EXP(-MonteCarlo!$B$9*$A23)*_xlfn.NORM.S.DIST(((LN(MonteCarlo!$B$6/MonteCarlo!$B$5)+(MonteCarlo!$B$9+(Q$1^2)/2)*$A23)/(Q$1*SQRT($A23)))-(Q$1*SQRT($A23)),TRUE),MonteCarlo!$B$5*EXP(-MonteCarlo!$B$9*$A23)*_xlfn.NORM.S.DIST(-(((LN(MonteCarlo!$B$6/MonteCarlo!$B$5)+(MonteCarlo!$B$9+(Q$1^2)/2)*$A23)/(Q$1*SQRT($A23)))-(Q$1*SQRT($A23))),TRUE)-MonteCarlo!$B$6*_xlfn.NORM.S.DIST(-((LN(MonteCarlo!$B$6/MonteCarlo!$B$5)+(MonteCarlo!$B$9+(Q$1^2)/2)*$A23)/(Q$1*SQRT($A23))),TRUE)),"")</f>
        <v/>
      </c>
      <c r="R23" t="str">
        <f>IFERROR(IF(OR(MonteCarlo!$B$4="C",MonteCarlo!$B$4="c"),MonteCarlo!$B$6*_xlfn.NORM.S.DIST((LN(MonteCarlo!$B$6/MonteCarlo!$B$5)+(MonteCarlo!$B$9+(R$1^2)/2)*$A23)/(R$1*SQRT($A23)),TRUE)-MonteCarlo!$B$5*EXP(-MonteCarlo!$B$9*$A23)*_xlfn.NORM.S.DIST(((LN(MonteCarlo!$B$6/MonteCarlo!$B$5)+(MonteCarlo!$B$9+(R$1^2)/2)*$A23)/(R$1*SQRT($A23)))-(R$1*SQRT($A23)),TRUE),MonteCarlo!$B$5*EXP(-MonteCarlo!$B$9*$A23)*_xlfn.NORM.S.DIST(-(((LN(MonteCarlo!$B$6/MonteCarlo!$B$5)+(MonteCarlo!$B$9+(R$1^2)/2)*$A23)/(R$1*SQRT($A23)))-(R$1*SQRT($A23))),TRUE)-MonteCarlo!$B$6*_xlfn.NORM.S.DIST(-((LN(MonteCarlo!$B$6/MonteCarlo!$B$5)+(MonteCarlo!$B$9+(R$1^2)/2)*$A23)/(R$1*SQRT($A23))),TRUE)),"")</f>
        <v/>
      </c>
      <c r="S23" t="str">
        <f>IFERROR(IF(OR(MonteCarlo!$B$4="C",MonteCarlo!$B$4="c"),MonteCarlo!$B$6*_xlfn.NORM.S.DIST((LN(MonteCarlo!$B$6/MonteCarlo!$B$5)+(MonteCarlo!$B$9+(S$1^2)/2)*$A23)/(S$1*SQRT($A23)),TRUE)-MonteCarlo!$B$5*EXP(-MonteCarlo!$B$9*$A23)*_xlfn.NORM.S.DIST(((LN(MonteCarlo!$B$6/MonteCarlo!$B$5)+(MonteCarlo!$B$9+(S$1^2)/2)*$A23)/(S$1*SQRT($A23)))-(S$1*SQRT($A23)),TRUE),MonteCarlo!$B$5*EXP(-MonteCarlo!$B$9*$A23)*_xlfn.NORM.S.DIST(-(((LN(MonteCarlo!$B$6/MonteCarlo!$B$5)+(MonteCarlo!$B$9+(S$1^2)/2)*$A23)/(S$1*SQRT($A23)))-(S$1*SQRT($A23))),TRUE)-MonteCarlo!$B$6*_xlfn.NORM.S.DIST(-((LN(MonteCarlo!$B$6/MonteCarlo!$B$5)+(MonteCarlo!$B$9+(S$1^2)/2)*$A23)/(S$1*SQRT($A23))),TRUE)),"")</f>
        <v/>
      </c>
      <c r="T23" t="str">
        <f>IFERROR(IF(OR(MonteCarlo!$B$4="C",MonteCarlo!$B$4="c"),MonteCarlo!$B$6*_xlfn.NORM.S.DIST((LN(MonteCarlo!$B$6/MonteCarlo!$B$5)+(MonteCarlo!$B$9+(T$1^2)/2)*$A23)/(T$1*SQRT($A23)),TRUE)-MonteCarlo!$B$5*EXP(-MonteCarlo!$B$9*$A23)*_xlfn.NORM.S.DIST(((LN(MonteCarlo!$B$6/MonteCarlo!$B$5)+(MonteCarlo!$B$9+(T$1^2)/2)*$A23)/(T$1*SQRT($A23)))-(T$1*SQRT($A23)),TRUE),MonteCarlo!$B$5*EXP(-MonteCarlo!$B$9*$A23)*_xlfn.NORM.S.DIST(-(((LN(MonteCarlo!$B$6/MonteCarlo!$B$5)+(MonteCarlo!$B$9+(T$1^2)/2)*$A23)/(T$1*SQRT($A23)))-(T$1*SQRT($A23))),TRUE)-MonteCarlo!$B$6*_xlfn.NORM.S.DIST(-((LN(MonteCarlo!$B$6/MonteCarlo!$B$5)+(MonteCarlo!$B$9+(T$1^2)/2)*$A23)/(T$1*SQRT($A23))),TRUE)),"")</f>
        <v/>
      </c>
      <c r="U23" t="str">
        <f>IFERROR(IF(OR(MonteCarlo!$B$4="C",MonteCarlo!$B$4="c"),MonteCarlo!$B$6*_xlfn.NORM.S.DIST((LN(MonteCarlo!$B$6/MonteCarlo!$B$5)+(MonteCarlo!$B$9+(U$1^2)/2)*$A23)/(U$1*SQRT($A23)),TRUE)-MonteCarlo!$B$5*EXP(-MonteCarlo!$B$9*$A23)*_xlfn.NORM.S.DIST(((LN(MonteCarlo!$B$6/MonteCarlo!$B$5)+(MonteCarlo!$B$9+(U$1^2)/2)*$A23)/(U$1*SQRT($A23)))-(U$1*SQRT($A23)),TRUE),MonteCarlo!$B$5*EXP(-MonteCarlo!$B$9*$A23)*_xlfn.NORM.S.DIST(-(((LN(MonteCarlo!$B$6/MonteCarlo!$B$5)+(MonteCarlo!$B$9+(U$1^2)/2)*$A23)/(U$1*SQRT($A23)))-(U$1*SQRT($A23))),TRUE)-MonteCarlo!$B$6*_xlfn.NORM.S.DIST(-((LN(MonteCarlo!$B$6/MonteCarlo!$B$5)+(MonteCarlo!$B$9+(U$1^2)/2)*$A23)/(U$1*SQRT($A23))),TRUE)),"")</f>
        <v/>
      </c>
      <c r="V23" t="str">
        <f>IFERROR(IF(OR(MonteCarlo!$B$4="C",MonteCarlo!$B$4="c"),MonteCarlo!$B$6*_xlfn.NORM.S.DIST((LN(MonteCarlo!$B$6/MonteCarlo!$B$5)+(MonteCarlo!$B$9+(V$1^2)/2)*$A23)/(V$1*SQRT($A23)),TRUE)-MonteCarlo!$B$5*EXP(-MonteCarlo!$B$9*$A23)*_xlfn.NORM.S.DIST(((LN(MonteCarlo!$B$6/MonteCarlo!$B$5)+(MonteCarlo!$B$9+(V$1^2)/2)*$A23)/(V$1*SQRT($A23)))-(V$1*SQRT($A23)),TRUE),MonteCarlo!$B$5*EXP(-MonteCarlo!$B$9*$A23)*_xlfn.NORM.S.DIST(-(((LN(MonteCarlo!$B$6/MonteCarlo!$B$5)+(MonteCarlo!$B$9+(V$1^2)/2)*$A23)/(V$1*SQRT($A23)))-(V$1*SQRT($A23))),TRUE)-MonteCarlo!$B$6*_xlfn.NORM.S.DIST(-((LN(MonteCarlo!$B$6/MonteCarlo!$B$5)+(MonteCarlo!$B$9+(V$1^2)/2)*$A23)/(V$1*SQRT($A23))),TRUE)),"")</f>
        <v/>
      </c>
      <c r="W23" t="str">
        <f>IFERROR(IF(OR(MonteCarlo!$B$4="C",MonteCarlo!$B$4="c"),MonteCarlo!$B$6*_xlfn.NORM.S.DIST((LN(MonteCarlo!$B$6/MonteCarlo!$B$5)+(MonteCarlo!$B$9+(W$1^2)/2)*$A23)/(W$1*SQRT($A23)),TRUE)-MonteCarlo!$B$5*EXP(-MonteCarlo!$B$9*$A23)*_xlfn.NORM.S.DIST(((LN(MonteCarlo!$B$6/MonteCarlo!$B$5)+(MonteCarlo!$B$9+(W$1^2)/2)*$A23)/(W$1*SQRT($A23)))-(W$1*SQRT($A23)),TRUE),MonteCarlo!$B$5*EXP(-MonteCarlo!$B$9*$A23)*_xlfn.NORM.S.DIST(-(((LN(MonteCarlo!$B$6/MonteCarlo!$B$5)+(MonteCarlo!$B$9+(W$1^2)/2)*$A23)/(W$1*SQRT($A23)))-(W$1*SQRT($A23))),TRUE)-MonteCarlo!$B$6*_xlfn.NORM.S.DIST(-((LN(MonteCarlo!$B$6/MonteCarlo!$B$5)+(MonteCarlo!$B$9+(W$1^2)/2)*$A23)/(W$1*SQRT($A23))),TRUE)),"")</f>
        <v/>
      </c>
      <c r="X23" t="str">
        <f>IFERROR(IF(OR(MonteCarlo!$B$4="C",MonteCarlo!$B$4="c"),MonteCarlo!$B$6*_xlfn.NORM.S.DIST((LN(MonteCarlo!$B$6/MonteCarlo!$B$5)+(MonteCarlo!$B$9+(X$1^2)/2)*$A23)/(X$1*SQRT($A23)),TRUE)-MonteCarlo!$B$5*EXP(-MonteCarlo!$B$9*$A23)*_xlfn.NORM.S.DIST(((LN(MonteCarlo!$B$6/MonteCarlo!$B$5)+(MonteCarlo!$B$9+(X$1^2)/2)*$A23)/(X$1*SQRT($A23)))-(X$1*SQRT($A23)),TRUE),MonteCarlo!$B$5*EXP(-MonteCarlo!$B$9*$A23)*_xlfn.NORM.S.DIST(-(((LN(MonteCarlo!$B$6/MonteCarlo!$B$5)+(MonteCarlo!$B$9+(X$1^2)/2)*$A23)/(X$1*SQRT($A23)))-(X$1*SQRT($A23))),TRUE)-MonteCarlo!$B$6*_xlfn.NORM.S.DIST(-((LN(MonteCarlo!$B$6/MonteCarlo!$B$5)+(MonteCarlo!$B$9+(X$1^2)/2)*$A23)/(X$1*SQRT($A23))),TRUE)),"")</f>
        <v/>
      </c>
      <c r="Y23" t="str">
        <f>IFERROR(IF(OR(MonteCarlo!$B$4="C",MonteCarlo!$B$4="c"),MonteCarlo!$B$6*_xlfn.NORM.S.DIST((LN(MonteCarlo!$B$6/MonteCarlo!$B$5)+(MonteCarlo!$B$9+(Y$1^2)/2)*$A23)/(Y$1*SQRT($A23)),TRUE)-MonteCarlo!$B$5*EXP(-MonteCarlo!$B$9*$A23)*_xlfn.NORM.S.DIST(((LN(MonteCarlo!$B$6/MonteCarlo!$B$5)+(MonteCarlo!$B$9+(Y$1^2)/2)*$A23)/(Y$1*SQRT($A23)))-(Y$1*SQRT($A23)),TRUE),MonteCarlo!$B$5*EXP(-MonteCarlo!$B$9*$A23)*_xlfn.NORM.S.DIST(-(((LN(MonteCarlo!$B$6/MonteCarlo!$B$5)+(MonteCarlo!$B$9+(Y$1^2)/2)*$A23)/(Y$1*SQRT($A23)))-(Y$1*SQRT($A23))),TRUE)-MonteCarlo!$B$6*_xlfn.NORM.S.DIST(-((LN(MonteCarlo!$B$6/MonteCarlo!$B$5)+(MonteCarlo!$B$9+(Y$1^2)/2)*$A23)/(Y$1*SQRT($A23))),TRUE)),"")</f>
        <v/>
      </c>
      <c r="Z23" t="str">
        <f>IFERROR(IF(OR(MonteCarlo!$B$4="C",MonteCarlo!$B$4="c"),MonteCarlo!$B$6*_xlfn.NORM.S.DIST((LN(MonteCarlo!$B$6/MonteCarlo!$B$5)+(MonteCarlo!$B$9+(Z$1^2)/2)*$A23)/(Z$1*SQRT($A23)),TRUE)-MonteCarlo!$B$5*EXP(-MonteCarlo!$B$9*$A23)*_xlfn.NORM.S.DIST(((LN(MonteCarlo!$B$6/MonteCarlo!$B$5)+(MonteCarlo!$B$9+(Z$1^2)/2)*$A23)/(Z$1*SQRT($A23)))-(Z$1*SQRT($A23)),TRUE),MonteCarlo!$B$5*EXP(-MonteCarlo!$B$9*$A23)*_xlfn.NORM.S.DIST(-(((LN(MonteCarlo!$B$6/MonteCarlo!$B$5)+(MonteCarlo!$B$9+(Z$1^2)/2)*$A23)/(Z$1*SQRT($A23)))-(Z$1*SQRT($A23))),TRUE)-MonteCarlo!$B$6*_xlfn.NORM.S.DIST(-((LN(MonteCarlo!$B$6/MonteCarlo!$B$5)+(MonteCarlo!$B$9+(Z$1^2)/2)*$A23)/(Z$1*SQRT($A23))),TRUE)),"")</f>
        <v/>
      </c>
      <c r="AA23" t="str">
        <f>IFERROR(IF(OR(MonteCarlo!$B$4="C",MonteCarlo!$B$4="c"),MonteCarlo!$B$6*_xlfn.NORM.S.DIST((LN(MonteCarlo!$B$6/MonteCarlo!$B$5)+(MonteCarlo!$B$9+(AA$1^2)/2)*$A23)/(AA$1*SQRT($A23)),TRUE)-MonteCarlo!$B$5*EXP(-MonteCarlo!$B$9*$A23)*_xlfn.NORM.S.DIST(((LN(MonteCarlo!$B$6/MonteCarlo!$B$5)+(MonteCarlo!$B$9+(AA$1^2)/2)*$A23)/(AA$1*SQRT($A23)))-(AA$1*SQRT($A23)),TRUE),MonteCarlo!$B$5*EXP(-MonteCarlo!$B$9*$A23)*_xlfn.NORM.S.DIST(-(((LN(MonteCarlo!$B$6/MonteCarlo!$B$5)+(MonteCarlo!$B$9+(AA$1^2)/2)*$A23)/(AA$1*SQRT($A23)))-(AA$1*SQRT($A23))),TRUE)-MonteCarlo!$B$6*_xlfn.NORM.S.DIST(-((LN(MonteCarlo!$B$6/MonteCarlo!$B$5)+(MonteCarlo!$B$9+(AA$1^2)/2)*$A23)/(AA$1*SQRT($A23))),TRUE)),"")</f>
        <v/>
      </c>
      <c r="AB23" t="str">
        <f>IFERROR(IF(OR(MonteCarlo!$B$4="C",MonteCarlo!$B$4="c"),MonteCarlo!$B$6*_xlfn.NORM.S.DIST((LN(MonteCarlo!$B$6/MonteCarlo!$B$5)+(MonteCarlo!$B$9+(AB$1^2)/2)*$A23)/(AB$1*SQRT($A23)),TRUE)-MonteCarlo!$B$5*EXP(-MonteCarlo!$B$9*$A23)*_xlfn.NORM.S.DIST(((LN(MonteCarlo!$B$6/MonteCarlo!$B$5)+(MonteCarlo!$B$9+(AB$1^2)/2)*$A23)/(AB$1*SQRT($A23)))-(AB$1*SQRT($A23)),TRUE),MonteCarlo!$B$5*EXP(-MonteCarlo!$B$9*$A23)*_xlfn.NORM.S.DIST(-(((LN(MonteCarlo!$B$6/MonteCarlo!$B$5)+(MonteCarlo!$B$9+(AB$1^2)/2)*$A23)/(AB$1*SQRT($A23)))-(AB$1*SQRT($A23))),TRUE)-MonteCarlo!$B$6*_xlfn.NORM.S.DIST(-((LN(MonteCarlo!$B$6/MonteCarlo!$B$5)+(MonteCarlo!$B$9+(AB$1^2)/2)*$A23)/(AB$1*SQRT($A23))),TRUE)),"")</f>
        <v/>
      </c>
      <c r="AC23" t="str">
        <f>IFERROR(IF(OR(MonteCarlo!$B$4="C",MonteCarlo!$B$4="c"),MonteCarlo!$B$6*_xlfn.NORM.S.DIST((LN(MonteCarlo!$B$6/MonteCarlo!$B$5)+(MonteCarlo!$B$9+(AC$1^2)/2)*$A23)/(AC$1*SQRT($A23)),TRUE)-MonteCarlo!$B$5*EXP(-MonteCarlo!$B$9*$A23)*_xlfn.NORM.S.DIST(((LN(MonteCarlo!$B$6/MonteCarlo!$B$5)+(MonteCarlo!$B$9+(AC$1^2)/2)*$A23)/(AC$1*SQRT($A23)))-(AC$1*SQRT($A23)),TRUE),MonteCarlo!$B$5*EXP(-MonteCarlo!$B$9*$A23)*_xlfn.NORM.S.DIST(-(((LN(MonteCarlo!$B$6/MonteCarlo!$B$5)+(MonteCarlo!$B$9+(AC$1^2)/2)*$A23)/(AC$1*SQRT($A23)))-(AC$1*SQRT($A23))),TRUE)-MonteCarlo!$B$6*_xlfn.NORM.S.DIST(-((LN(MonteCarlo!$B$6/MonteCarlo!$B$5)+(MonteCarlo!$B$9+(AC$1^2)/2)*$A23)/(AC$1*SQRT($A23))),TRUE)),"")</f>
        <v/>
      </c>
      <c r="AD23" t="str">
        <f>IFERROR(IF(OR(MonteCarlo!$B$4="C",MonteCarlo!$B$4="c"),MonteCarlo!$B$6*_xlfn.NORM.S.DIST((LN(MonteCarlo!$B$6/MonteCarlo!$B$5)+(MonteCarlo!$B$9+(AD$1^2)/2)*$A23)/(AD$1*SQRT($A23)),TRUE)-MonteCarlo!$B$5*EXP(-MonteCarlo!$B$9*$A23)*_xlfn.NORM.S.DIST(((LN(MonteCarlo!$B$6/MonteCarlo!$B$5)+(MonteCarlo!$B$9+(AD$1^2)/2)*$A23)/(AD$1*SQRT($A23)))-(AD$1*SQRT($A23)),TRUE),MonteCarlo!$B$5*EXP(-MonteCarlo!$B$9*$A23)*_xlfn.NORM.S.DIST(-(((LN(MonteCarlo!$B$6/MonteCarlo!$B$5)+(MonteCarlo!$B$9+(AD$1^2)/2)*$A23)/(AD$1*SQRT($A23)))-(AD$1*SQRT($A23))),TRUE)-MonteCarlo!$B$6*_xlfn.NORM.S.DIST(-((LN(MonteCarlo!$B$6/MonteCarlo!$B$5)+(MonteCarlo!$B$9+(AD$1^2)/2)*$A23)/(AD$1*SQRT($A23))),TRUE)),"")</f>
        <v/>
      </c>
      <c r="AE23" t="str">
        <f>IFERROR(IF(OR(MonteCarlo!$B$4="C",MonteCarlo!$B$4="c"),MonteCarlo!$B$6*_xlfn.NORM.S.DIST((LN(MonteCarlo!$B$6/MonteCarlo!$B$5)+(MonteCarlo!$B$9+(AE$1^2)/2)*$A23)/(AE$1*SQRT($A23)),TRUE)-MonteCarlo!$B$5*EXP(-MonteCarlo!$B$9*$A23)*_xlfn.NORM.S.DIST(((LN(MonteCarlo!$B$6/MonteCarlo!$B$5)+(MonteCarlo!$B$9+(AE$1^2)/2)*$A23)/(AE$1*SQRT($A23)))-(AE$1*SQRT($A23)),TRUE),MonteCarlo!$B$5*EXP(-MonteCarlo!$B$9*$A23)*_xlfn.NORM.S.DIST(-(((LN(MonteCarlo!$B$6/MonteCarlo!$B$5)+(MonteCarlo!$B$9+(AE$1^2)/2)*$A23)/(AE$1*SQRT($A23)))-(AE$1*SQRT($A23))),TRUE)-MonteCarlo!$B$6*_xlfn.NORM.S.DIST(-((LN(MonteCarlo!$B$6/MonteCarlo!$B$5)+(MonteCarlo!$B$9+(AE$1^2)/2)*$A23)/(AE$1*SQRT($A23))),TRUE)),"")</f>
        <v/>
      </c>
      <c r="AF23" t="str">
        <f>IFERROR(IF(OR(MonteCarlo!$B$4="C",MonteCarlo!$B$4="c"),MonteCarlo!$B$6*_xlfn.NORM.S.DIST((LN(MonteCarlo!$B$6/MonteCarlo!$B$5)+(MonteCarlo!$B$9+(AF$1^2)/2)*$A23)/(AF$1*SQRT($A23)),TRUE)-MonteCarlo!$B$5*EXP(-MonteCarlo!$B$9*$A23)*_xlfn.NORM.S.DIST(((LN(MonteCarlo!$B$6/MonteCarlo!$B$5)+(MonteCarlo!$B$9+(AF$1^2)/2)*$A23)/(AF$1*SQRT($A23)))-(AF$1*SQRT($A23)),TRUE),MonteCarlo!$B$5*EXP(-MonteCarlo!$B$9*$A23)*_xlfn.NORM.S.DIST(-(((LN(MonteCarlo!$B$6/MonteCarlo!$B$5)+(MonteCarlo!$B$9+(AF$1^2)/2)*$A23)/(AF$1*SQRT($A23)))-(AF$1*SQRT($A23))),TRUE)-MonteCarlo!$B$6*_xlfn.NORM.S.DIST(-((LN(MonteCarlo!$B$6/MonteCarlo!$B$5)+(MonteCarlo!$B$9+(AF$1^2)/2)*$A23)/(AF$1*SQRT($A23))),TRUE)),"")</f>
        <v/>
      </c>
    </row>
    <row r="24" spans="2:32" x14ac:dyDescent="0.25">
      <c r="B24" t="str">
        <f>IFERROR(IF(OR(MonteCarlo!$B$4="C",MonteCarlo!$B$4="c"),MonteCarlo!$B$6*_xlfn.NORM.S.DIST((LN(MonteCarlo!$B$6/MonteCarlo!$B$5)+(MonteCarlo!$B$9+(B$1^2)/2)*$A24)/(B$1*SQRT($A24)),TRUE)-MonteCarlo!$B$5*EXP(-MonteCarlo!$B$9*$A24)*_xlfn.NORM.S.DIST(((LN(MonteCarlo!$B$6/MonteCarlo!$B$5)+(MonteCarlo!$B$9+(B$1^2)/2)*$A24)/(B$1*SQRT($A24)))-(B$1*SQRT($A24)),TRUE),MonteCarlo!$B$5*EXP(-MonteCarlo!$B$9*$A24)*_xlfn.NORM.S.DIST(-(((LN(MonteCarlo!$B$6/MonteCarlo!$B$5)+(MonteCarlo!$B$9+(B$1^2)/2)*$A24)/(B$1*SQRT($A24)))-(B$1*SQRT($A24))),TRUE)-MonteCarlo!$B$6*_xlfn.NORM.S.DIST(-((LN(MonteCarlo!$B$6/MonteCarlo!$B$5)+(MonteCarlo!$B$9+(B$1^2)/2)*$A24)/(B$1*SQRT($A24))),TRUE)),"")</f>
        <v/>
      </c>
      <c r="C24" t="str">
        <f>IFERROR(IF(OR(MonteCarlo!$B$4="C",MonteCarlo!$B$4="c"),MonteCarlo!$B$6*_xlfn.NORM.S.DIST((LN(MonteCarlo!$B$6/MonteCarlo!$B$5)+(MonteCarlo!$B$9+(C$1^2)/2)*$A24)/(C$1*SQRT($A24)),TRUE)-MonteCarlo!$B$5*EXP(-MonteCarlo!$B$9*$A24)*_xlfn.NORM.S.DIST(((LN(MonteCarlo!$B$6/MonteCarlo!$B$5)+(MonteCarlo!$B$9+(C$1^2)/2)*$A24)/(C$1*SQRT($A24)))-(C$1*SQRT($A24)),TRUE),MonteCarlo!$B$5*EXP(-MonteCarlo!$B$9*$A24)*_xlfn.NORM.S.DIST(-(((LN(MonteCarlo!$B$6/MonteCarlo!$B$5)+(MonteCarlo!$B$9+(C$1^2)/2)*$A24)/(C$1*SQRT($A24)))-(C$1*SQRT($A24))),TRUE)-MonteCarlo!$B$6*_xlfn.NORM.S.DIST(-((LN(MonteCarlo!$B$6/MonteCarlo!$B$5)+(MonteCarlo!$B$9+(C$1^2)/2)*$A24)/(C$1*SQRT($A24))),TRUE)),"")</f>
        <v/>
      </c>
      <c r="D24" t="str">
        <f>IFERROR(IF(OR(MonteCarlo!$B$4="C",MonteCarlo!$B$4="c"),MonteCarlo!$B$6*_xlfn.NORM.S.DIST((LN(MonteCarlo!$B$6/MonteCarlo!$B$5)+(MonteCarlo!$B$9+(D$1^2)/2)*$A24)/(D$1*SQRT($A24)),TRUE)-MonteCarlo!$B$5*EXP(-MonteCarlo!$B$9*$A24)*_xlfn.NORM.S.DIST(((LN(MonteCarlo!$B$6/MonteCarlo!$B$5)+(MonteCarlo!$B$9+(D$1^2)/2)*$A24)/(D$1*SQRT($A24)))-(D$1*SQRT($A24)),TRUE),MonteCarlo!$B$5*EXP(-MonteCarlo!$B$9*$A24)*_xlfn.NORM.S.DIST(-(((LN(MonteCarlo!$B$6/MonteCarlo!$B$5)+(MonteCarlo!$B$9+(D$1^2)/2)*$A24)/(D$1*SQRT($A24)))-(D$1*SQRT($A24))),TRUE)-MonteCarlo!$B$6*_xlfn.NORM.S.DIST(-((LN(MonteCarlo!$B$6/MonteCarlo!$B$5)+(MonteCarlo!$B$9+(D$1^2)/2)*$A24)/(D$1*SQRT($A24))),TRUE)),"")</f>
        <v/>
      </c>
      <c r="E24" t="str">
        <f>IFERROR(IF(OR(MonteCarlo!$B$4="C",MonteCarlo!$B$4="c"),MonteCarlo!$B$6*_xlfn.NORM.S.DIST((LN(MonteCarlo!$B$6/MonteCarlo!$B$5)+(MonteCarlo!$B$9+(E$1^2)/2)*$A24)/(E$1*SQRT($A24)),TRUE)-MonteCarlo!$B$5*EXP(-MonteCarlo!$B$9*$A24)*_xlfn.NORM.S.DIST(((LN(MonteCarlo!$B$6/MonteCarlo!$B$5)+(MonteCarlo!$B$9+(E$1^2)/2)*$A24)/(E$1*SQRT($A24)))-(E$1*SQRT($A24)),TRUE),MonteCarlo!$B$5*EXP(-MonteCarlo!$B$9*$A24)*_xlfn.NORM.S.DIST(-(((LN(MonteCarlo!$B$6/MonteCarlo!$B$5)+(MonteCarlo!$B$9+(E$1^2)/2)*$A24)/(E$1*SQRT($A24)))-(E$1*SQRT($A24))),TRUE)-MonteCarlo!$B$6*_xlfn.NORM.S.DIST(-((LN(MonteCarlo!$B$6/MonteCarlo!$B$5)+(MonteCarlo!$B$9+(E$1^2)/2)*$A24)/(E$1*SQRT($A24))),TRUE)),"")</f>
        <v/>
      </c>
      <c r="F24" t="str">
        <f>IFERROR(IF(OR(MonteCarlo!$B$4="C",MonteCarlo!$B$4="c"),MonteCarlo!$B$6*_xlfn.NORM.S.DIST((LN(MonteCarlo!$B$6/MonteCarlo!$B$5)+(MonteCarlo!$B$9+(F$1^2)/2)*$A24)/(F$1*SQRT($A24)),TRUE)-MonteCarlo!$B$5*EXP(-MonteCarlo!$B$9*$A24)*_xlfn.NORM.S.DIST(((LN(MonteCarlo!$B$6/MonteCarlo!$B$5)+(MonteCarlo!$B$9+(F$1^2)/2)*$A24)/(F$1*SQRT($A24)))-(F$1*SQRT($A24)),TRUE),MonteCarlo!$B$5*EXP(-MonteCarlo!$B$9*$A24)*_xlfn.NORM.S.DIST(-(((LN(MonteCarlo!$B$6/MonteCarlo!$B$5)+(MonteCarlo!$B$9+(F$1^2)/2)*$A24)/(F$1*SQRT($A24)))-(F$1*SQRT($A24))),TRUE)-MonteCarlo!$B$6*_xlfn.NORM.S.DIST(-((LN(MonteCarlo!$B$6/MonteCarlo!$B$5)+(MonteCarlo!$B$9+(F$1^2)/2)*$A24)/(F$1*SQRT($A24))),TRUE)),"")</f>
        <v/>
      </c>
      <c r="G24" t="str">
        <f>IFERROR(IF(OR(MonteCarlo!$B$4="C",MonteCarlo!$B$4="c"),MonteCarlo!$B$6*_xlfn.NORM.S.DIST((LN(MonteCarlo!$B$6/MonteCarlo!$B$5)+(MonteCarlo!$B$9+(G$1^2)/2)*$A24)/(G$1*SQRT($A24)),TRUE)-MonteCarlo!$B$5*EXP(-MonteCarlo!$B$9*$A24)*_xlfn.NORM.S.DIST(((LN(MonteCarlo!$B$6/MonteCarlo!$B$5)+(MonteCarlo!$B$9+(G$1^2)/2)*$A24)/(G$1*SQRT($A24)))-(G$1*SQRT($A24)),TRUE),MonteCarlo!$B$5*EXP(-MonteCarlo!$B$9*$A24)*_xlfn.NORM.S.DIST(-(((LN(MonteCarlo!$B$6/MonteCarlo!$B$5)+(MonteCarlo!$B$9+(G$1^2)/2)*$A24)/(G$1*SQRT($A24)))-(G$1*SQRT($A24))),TRUE)-MonteCarlo!$B$6*_xlfn.NORM.S.DIST(-((LN(MonteCarlo!$B$6/MonteCarlo!$B$5)+(MonteCarlo!$B$9+(G$1^2)/2)*$A24)/(G$1*SQRT($A24))),TRUE)),"")</f>
        <v/>
      </c>
      <c r="H24" t="str">
        <f>IFERROR(IF(OR(MonteCarlo!$B$4="C",MonteCarlo!$B$4="c"),MonteCarlo!$B$6*_xlfn.NORM.S.DIST((LN(MonteCarlo!$B$6/MonteCarlo!$B$5)+(MonteCarlo!$B$9+(H$1^2)/2)*$A24)/(H$1*SQRT($A24)),TRUE)-MonteCarlo!$B$5*EXP(-MonteCarlo!$B$9*$A24)*_xlfn.NORM.S.DIST(((LN(MonteCarlo!$B$6/MonteCarlo!$B$5)+(MonteCarlo!$B$9+(H$1^2)/2)*$A24)/(H$1*SQRT($A24)))-(H$1*SQRT($A24)),TRUE),MonteCarlo!$B$5*EXP(-MonteCarlo!$B$9*$A24)*_xlfn.NORM.S.DIST(-(((LN(MonteCarlo!$B$6/MonteCarlo!$B$5)+(MonteCarlo!$B$9+(H$1^2)/2)*$A24)/(H$1*SQRT($A24)))-(H$1*SQRT($A24))),TRUE)-MonteCarlo!$B$6*_xlfn.NORM.S.DIST(-((LN(MonteCarlo!$B$6/MonteCarlo!$B$5)+(MonteCarlo!$B$9+(H$1^2)/2)*$A24)/(H$1*SQRT($A24))),TRUE)),"")</f>
        <v/>
      </c>
      <c r="I24" t="str">
        <f>IFERROR(IF(OR(MonteCarlo!$B$4="C",MonteCarlo!$B$4="c"),MonteCarlo!$B$6*_xlfn.NORM.S.DIST((LN(MonteCarlo!$B$6/MonteCarlo!$B$5)+(MonteCarlo!$B$9+(I$1^2)/2)*$A24)/(I$1*SQRT($A24)),TRUE)-MonteCarlo!$B$5*EXP(-MonteCarlo!$B$9*$A24)*_xlfn.NORM.S.DIST(((LN(MonteCarlo!$B$6/MonteCarlo!$B$5)+(MonteCarlo!$B$9+(I$1^2)/2)*$A24)/(I$1*SQRT($A24)))-(I$1*SQRT($A24)),TRUE),MonteCarlo!$B$5*EXP(-MonteCarlo!$B$9*$A24)*_xlfn.NORM.S.DIST(-(((LN(MonteCarlo!$B$6/MonteCarlo!$B$5)+(MonteCarlo!$B$9+(I$1^2)/2)*$A24)/(I$1*SQRT($A24)))-(I$1*SQRT($A24))),TRUE)-MonteCarlo!$B$6*_xlfn.NORM.S.DIST(-((LN(MonteCarlo!$B$6/MonteCarlo!$B$5)+(MonteCarlo!$B$9+(I$1^2)/2)*$A24)/(I$1*SQRT($A24))),TRUE)),"")</f>
        <v/>
      </c>
      <c r="J24" t="str">
        <f>IFERROR(IF(OR(MonteCarlo!$B$4="C",MonteCarlo!$B$4="c"),MonteCarlo!$B$6*_xlfn.NORM.S.DIST((LN(MonteCarlo!$B$6/MonteCarlo!$B$5)+(MonteCarlo!$B$9+(J$1^2)/2)*$A24)/(J$1*SQRT($A24)),TRUE)-MonteCarlo!$B$5*EXP(-MonteCarlo!$B$9*$A24)*_xlfn.NORM.S.DIST(((LN(MonteCarlo!$B$6/MonteCarlo!$B$5)+(MonteCarlo!$B$9+(J$1^2)/2)*$A24)/(J$1*SQRT($A24)))-(J$1*SQRT($A24)),TRUE),MonteCarlo!$B$5*EXP(-MonteCarlo!$B$9*$A24)*_xlfn.NORM.S.DIST(-(((LN(MonteCarlo!$B$6/MonteCarlo!$B$5)+(MonteCarlo!$B$9+(J$1^2)/2)*$A24)/(J$1*SQRT($A24)))-(J$1*SQRT($A24))),TRUE)-MonteCarlo!$B$6*_xlfn.NORM.S.DIST(-((LN(MonteCarlo!$B$6/MonteCarlo!$B$5)+(MonteCarlo!$B$9+(J$1^2)/2)*$A24)/(J$1*SQRT($A24))),TRUE)),"")</f>
        <v/>
      </c>
      <c r="K24" t="str">
        <f>IFERROR(IF(OR(MonteCarlo!$B$4="C",MonteCarlo!$B$4="c"),MonteCarlo!$B$6*_xlfn.NORM.S.DIST((LN(MonteCarlo!$B$6/MonteCarlo!$B$5)+(MonteCarlo!$B$9+(K$1^2)/2)*$A24)/(K$1*SQRT($A24)),TRUE)-MonteCarlo!$B$5*EXP(-MonteCarlo!$B$9*$A24)*_xlfn.NORM.S.DIST(((LN(MonteCarlo!$B$6/MonteCarlo!$B$5)+(MonteCarlo!$B$9+(K$1^2)/2)*$A24)/(K$1*SQRT($A24)))-(K$1*SQRT($A24)),TRUE),MonteCarlo!$B$5*EXP(-MonteCarlo!$B$9*$A24)*_xlfn.NORM.S.DIST(-(((LN(MonteCarlo!$B$6/MonteCarlo!$B$5)+(MonteCarlo!$B$9+(K$1^2)/2)*$A24)/(K$1*SQRT($A24)))-(K$1*SQRT($A24))),TRUE)-MonteCarlo!$B$6*_xlfn.NORM.S.DIST(-((LN(MonteCarlo!$B$6/MonteCarlo!$B$5)+(MonteCarlo!$B$9+(K$1^2)/2)*$A24)/(K$1*SQRT($A24))),TRUE)),"")</f>
        <v/>
      </c>
      <c r="L24" t="str">
        <f>IFERROR(IF(OR(MonteCarlo!$B$4="C",MonteCarlo!$B$4="c"),MonteCarlo!$B$6*_xlfn.NORM.S.DIST((LN(MonteCarlo!$B$6/MonteCarlo!$B$5)+(MonteCarlo!$B$9+(L$1^2)/2)*$A24)/(L$1*SQRT($A24)),TRUE)-MonteCarlo!$B$5*EXP(-MonteCarlo!$B$9*$A24)*_xlfn.NORM.S.DIST(((LN(MonteCarlo!$B$6/MonteCarlo!$B$5)+(MonteCarlo!$B$9+(L$1^2)/2)*$A24)/(L$1*SQRT($A24)))-(L$1*SQRT($A24)),TRUE),MonteCarlo!$B$5*EXP(-MonteCarlo!$B$9*$A24)*_xlfn.NORM.S.DIST(-(((LN(MonteCarlo!$B$6/MonteCarlo!$B$5)+(MonteCarlo!$B$9+(L$1^2)/2)*$A24)/(L$1*SQRT($A24)))-(L$1*SQRT($A24))),TRUE)-MonteCarlo!$B$6*_xlfn.NORM.S.DIST(-((LN(MonteCarlo!$B$6/MonteCarlo!$B$5)+(MonteCarlo!$B$9+(L$1^2)/2)*$A24)/(L$1*SQRT($A24))),TRUE)),"")</f>
        <v/>
      </c>
      <c r="M24" t="str">
        <f>IFERROR(IF(OR(MonteCarlo!$B$4="C",MonteCarlo!$B$4="c"),MonteCarlo!$B$6*_xlfn.NORM.S.DIST((LN(MonteCarlo!$B$6/MonteCarlo!$B$5)+(MonteCarlo!$B$9+(M$1^2)/2)*$A24)/(M$1*SQRT($A24)),TRUE)-MonteCarlo!$B$5*EXP(-MonteCarlo!$B$9*$A24)*_xlfn.NORM.S.DIST(((LN(MonteCarlo!$B$6/MonteCarlo!$B$5)+(MonteCarlo!$B$9+(M$1^2)/2)*$A24)/(M$1*SQRT($A24)))-(M$1*SQRT($A24)),TRUE),MonteCarlo!$B$5*EXP(-MonteCarlo!$B$9*$A24)*_xlfn.NORM.S.DIST(-(((LN(MonteCarlo!$B$6/MonteCarlo!$B$5)+(MonteCarlo!$B$9+(M$1^2)/2)*$A24)/(M$1*SQRT($A24)))-(M$1*SQRT($A24))),TRUE)-MonteCarlo!$B$6*_xlfn.NORM.S.DIST(-((LN(MonteCarlo!$B$6/MonteCarlo!$B$5)+(MonteCarlo!$B$9+(M$1^2)/2)*$A24)/(M$1*SQRT($A24))),TRUE)),"")</f>
        <v/>
      </c>
      <c r="N24" t="str">
        <f>IFERROR(IF(OR(MonteCarlo!$B$4="C",MonteCarlo!$B$4="c"),MonteCarlo!$B$6*_xlfn.NORM.S.DIST((LN(MonteCarlo!$B$6/MonteCarlo!$B$5)+(MonteCarlo!$B$9+(N$1^2)/2)*$A24)/(N$1*SQRT($A24)),TRUE)-MonteCarlo!$B$5*EXP(-MonteCarlo!$B$9*$A24)*_xlfn.NORM.S.DIST(((LN(MonteCarlo!$B$6/MonteCarlo!$B$5)+(MonteCarlo!$B$9+(N$1^2)/2)*$A24)/(N$1*SQRT($A24)))-(N$1*SQRT($A24)),TRUE),MonteCarlo!$B$5*EXP(-MonteCarlo!$B$9*$A24)*_xlfn.NORM.S.DIST(-(((LN(MonteCarlo!$B$6/MonteCarlo!$B$5)+(MonteCarlo!$B$9+(N$1^2)/2)*$A24)/(N$1*SQRT($A24)))-(N$1*SQRT($A24))),TRUE)-MonteCarlo!$B$6*_xlfn.NORM.S.DIST(-((LN(MonteCarlo!$B$6/MonteCarlo!$B$5)+(MonteCarlo!$B$9+(N$1^2)/2)*$A24)/(N$1*SQRT($A24))),TRUE)),"")</f>
        <v/>
      </c>
      <c r="O24" t="str">
        <f>IFERROR(IF(OR(MonteCarlo!$B$4="C",MonteCarlo!$B$4="c"),MonteCarlo!$B$6*_xlfn.NORM.S.DIST((LN(MonteCarlo!$B$6/MonteCarlo!$B$5)+(MonteCarlo!$B$9+(O$1^2)/2)*$A24)/(O$1*SQRT($A24)),TRUE)-MonteCarlo!$B$5*EXP(-MonteCarlo!$B$9*$A24)*_xlfn.NORM.S.DIST(((LN(MonteCarlo!$B$6/MonteCarlo!$B$5)+(MonteCarlo!$B$9+(O$1^2)/2)*$A24)/(O$1*SQRT($A24)))-(O$1*SQRT($A24)),TRUE),MonteCarlo!$B$5*EXP(-MonteCarlo!$B$9*$A24)*_xlfn.NORM.S.DIST(-(((LN(MonteCarlo!$B$6/MonteCarlo!$B$5)+(MonteCarlo!$B$9+(O$1^2)/2)*$A24)/(O$1*SQRT($A24)))-(O$1*SQRT($A24))),TRUE)-MonteCarlo!$B$6*_xlfn.NORM.S.DIST(-((LN(MonteCarlo!$B$6/MonteCarlo!$B$5)+(MonteCarlo!$B$9+(O$1^2)/2)*$A24)/(O$1*SQRT($A24))),TRUE)),"")</f>
        <v/>
      </c>
      <c r="P24" t="str">
        <f>IFERROR(IF(OR(MonteCarlo!$B$4="C",MonteCarlo!$B$4="c"),MonteCarlo!$B$6*_xlfn.NORM.S.DIST((LN(MonteCarlo!$B$6/MonteCarlo!$B$5)+(MonteCarlo!$B$9+(P$1^2)/2)*$A24)/(P$1*SQRT($A24)),TRUE)-MonteCarlo!$B$5*EXP(-MonteCarlo!$B$9*$A24)*_xlfn.NORM.S.DIST(((LN(MonteCarlo!$B$6/MonteCarlo!$B$5)+(MonteCarlo!$B$9+(P$1^2)/2)*$A24)/(P$1*SQRT($A24)))-(P$1*SQRT($A24)),TRUE),MonteCarlo!$B$5*EXP(-MonteCarlo!$B$9*$A24)*_xlfn.NORM.S.DIST(-(((LN(MonteCarlo!$B$6/MonteCarlo!$B$5)+(MonteCarlo!$B$9+(P$1^2)/2)*$A24)/(P$1*SQRT($A24)))-(P$1*SQRT($A24))),TRUE)-MonteCarlo!$B$6*_xlfn.NORM.S.DIST(-((LN(MonteCarlo!$B$6/MonteCarlo!$B$5)+(MonteCarlo!$B$9+(P$1^2)/2)*$A24)/(P$1*SQRT($A24))),TRUE)),"")</f>
        <v/>
      </c>
      <c r="Q24" t="str">
        <f>IFERROR(IF(OR(MonteCarlo!$B$4="C",MonteCarlo!$B$4="c"),MonteCarlo!$B$6*_xlfn.NORM.S.DIST((LN(MonteCarlo!$B$6/MonteCarlo!$B$5)+(MonteCarlo!$B$9+(Q$1^2)/2)*$A24)/(Q$1*SQRT($A24)),TRUE)-MonteCarlo!$B$5*EXP(-MonteCarlo!$B$9*$A24)*_xlfn.NORM.S.DIST(((LN(MonteCarlo!$B$6/MonteCarlo!$B$5)+(MonteCarlo!$B$9+(Q$1^2)/2)*$A24)/(Q$1*SQRT($A24)))-(Q$1*SQRT($A24)),TRUE),MonteCarlo!$B$5*EXP(-MonteCarlo!$B$9*$A24)*_xlfn.NORM.S.DIST(-(((LN(MonteCarlo!$B$6/MonteCarlo!$B$5)+(MonteCarlo!$B$9+(Q$1^2)/2)*$A24)/(Q$1*SQRT($A24)))-(Q$1*SQRT($A24))),TRUE)-MonteCarlo!$B$6*_xlfn.NORM.S.DIST(-((LN(MonteCarlo!$B$6/MonteCarlo!$B$5)+(MonteCarlo!$B$9+(Q$1^2)/2)*$A24)/(Q$1*SQRT($A24))),TRUE)),"")</f>
        <v/>
      </c>
      <c r="R24" t="str">
        <f>IFERROR(IF(OR(MonteCarlo!$B$4="C",MonteCarlo!$B$4="c"),MonteCarlo!$B$6*_xlfn.NORM.S.DIST((LN(MonteCarlo!$B$6/MonteCarlo!$B$5)+(MonteCarlo!$B$9+(R$1^2)/2)*$A24)/(R$1*SQRT($A24)),TRUE)-MonteCarlo!$B$5*EXP(-MonteCarlo!$B$9*$A24)*_xlfn.NORM.S.DIST(((LN(MonteCarlo!$B$6/MonteCarlo!$B$5)+(MonteCarlo!$B$9+(R$1^2)/2)*$A24)/(R$1*SQRT($A24)))-(R$1*SQRT($A24)),TRUE),MonteCarlo!$B$5*EXP(-MonteCarlo!$B$9*$A24)*_xlfn.NORM.S.DIST(-(((LN(MonteCarlo!$B$6/MonteCarlo!$B$5)+(MonteCarlo!$B$9+(R$1^2)/2)*$A24)/(R$1*SQRT($A24)))-(R$1*SQRT($A24))),TRUE)-MonteCarlo!$B$6*_xlfn.NORM.S.DIST(-((LN(MonteCarlo!$B$6/MonteCarlo!$B$5)+(MonteCarlo!$B$9+(R$1^2)/2)*$A24)/(R$1*SQRT($A24))),TRUE)),"")</f>
        <v/>
      </c>
      <c r="S24" t="str">
        <f>IFERROR(IF(OR(MonteCarlo!$B$4="C",MonteCarlo!$B$4="c"),MonteCarlo!$B$6*_xlfn.NORM.S.DIST((LN(MonteCarlo!$B$6/MonteCarlo!$B$5)+(MonteCarlo!$B$9+(S$1^2)/2)*$A24)/(S$1*SQRT($A24)),TRUE)-MonteCarlo!$B$5*EXP(-MonteCarlo!$B$9*$A24)*_xlfn.NORM.S.DIST(((LN(MonteCarlo!$B$6/MonteCarlo!$B$5)+(MonteCarlo!$B$9+(S$1^2)/2)*$A24)/(S$1*SQRT($A24)))-(S$1*SQRT($A24)),TRUE),MonteCarlo!$B$5*EXP(-MonteCarlo!$B$9*$A24)*_xlfn.NORM.S.DIST(-(((LN(MonteCarlo!$B$6/MonteCarlo!$B$5)+(MonteCarlo!$B$9+(S$1^2)/2)*$A24)/(S$1*SQRT($A24)))-(S$1*SQRT($A24))),TRUE)-MonteCarlo!$B$6*_xlfn.NORM.S.DIST(-((LN(MonteCarlo!$B$6/MonteCarlo!$B$5)+(MonteCarlo!$B$9+(S$1^2)/2)*$A24)/(S$1*SQRT($A24))),TRUE)),"")</f>
        <v/>
      </c>
      <c r="T24" t="str">
        <f>IFERROR(IF(OR(MonteCarlo!$B$4="C",MonteCarlo!$B$4="c"),MonteCarlo!$B$6*_xlfn.NORM.S.DIST((LN(MonteCarlo!$B$6/MonteCarlo!$B$5)+(MonteCarlo!$B$9+(T$1^2)/2)*$A24)/(T$1*SQRT($A24)),TRUE)-MonteCarlo!$B$5*EXP(-MonteCarlo!$B$9*$A24)*_xlfn.NORM.S.DIST(((LN(MonteCarlo!$B$6/MonteCarlo!$B$5)+(MonteCarlo!$B$9+(T$1^2)/2)*$A24)/(T$1*SQRT($A24)))-(T$1*SQRT($A24)),TRUE),MonteCarlo!$B$5*EXP(-MonteCarlo!$B$9*$A24)*_xlfn.NORM.S.DIST(-(((LN(MonteCarlo!$B$6/MonteCarlo!$B$5)+(MonteCarlo!$B$9+(T$1^2)/2)*$A24)/(T$1*SQRT($A24)))-(T$1*SQRT($A24))),TRUE)-MonteCarlo!$B$6*_xlfn.NORM.S.DIST(-((LN(MonteCarlo!$B$6/MonteCarlo!$B$5)+(MonteCarlo!$B$9+(T$1^2)/2)*$A24)/(T$1*SQRT($A24))),TRUE)),"")</f>
        <v/>
      </c>
      <c r="U24" t="str">
        <f>IFERROR(IF(OR(MonteCarlo!$B$4="C",MonteCarlo!$B$4="c"),MonteCarlo!$B$6*_xlfn.NORM.S.DIST((LN(MonteCarlo!$B$6/MonteCarlo!$B$5)+(MonteCarlo!$B$9+(U$1^2)/2)*$A24)/(U$1*SQRT($A24)),TRUE)-MonteCarlo!$B$5*EXP(-MonteCarlo!$B$9*$A24)*_xlfn.NORM.S.DIST(((LN(MonteCarlo!$B$6/MonteCarlo!$B$5)+(MonteCarlo!$B$9+(U$1^2)/2)*$A24)/(U$1*SQRT($A24)))-(U$1*SQRT($A24)),TRUE),MonteCarlo!$B$5*EXP(-MonteCarlo!$B$9*$A24)*_xlfn.NORM.S.DIST(-(((LN(MonteCarlo!$B$6/MonteCarlo!$B$5)+(MonteCarlo!$B$9+(U$1^2)/2)*$A24)/(U$1*SQRT($A24)))-(U$1*SQRT($A24))),TRUE)-MonteCarlo!$B$6*_xlfn.NORM.S.DIST(-((LN(MonteCarlo!$B$6/MonteCarlo!$B$5)+(MonteCarlo!$B$9+(U$1^2)/2)*$A24)/(U$1*SQRT($A24))),TRUE)),"")</f>
        <v/>
      </c>
      <c r="V24" t="str">
        <f>IFERROR(IF(OR(MonteCarlo!$B$4="C",MonteCarlo!$B$4="c"),MonteCarlo!$B$6*_xlfn.NORM.S.DIST((LN(MonteCarlo!$B$6/MonteCarlo!$B$5)+(MonteCarlo!$B$9+(V$1^2)/2)*$A24)/(V$1*SQRT($A24)),TRUE)-MonteCarlo!$B$5*EXP(-MonteCarlo!$B$9*$A24)*_xlfn.NORM.S.DIST(((LN(MonteCarlo!$B$6/MonteCarlo!$B$5)+(MonteCarlo!$B$9+(V$1^2)/2)*$A24)/(V$1*SQRT($A24)))-(V$1*SQRT($A24)),TRUE),MonteCarlo!$B$5*EXP(-MonteCarlo!$B$9*$A24)*_xlfn.NORM.S.DIST(-(((LN(MonteCarlo!$B$6/MonteCarlo!$B$5)+(MonteCarlo!$B$9+(V$1^2)/2)*$A24)/(V$1*SQRT($A24)))-(V$1*SQRT($A24))),TRUE)-MonteCarlo!$B$6*_xlfn.NORM.S.DIST(-((LN(MonteCarlo!$B$6/MonteCarlo!$B$5)+(MonteCarlo!$B$9+(V$1^2)/2)*$A24)/(V$1*SQRT($A24))),TRUE)),"")</f>
        <v/>
      </c>
      <c r="W24" t="str">
        <f>IFERROR(IF(OR(MonteCarlo!$B$4="C",MonteCarlo!$B$4="c"),MonteCarlo!$B$6*_xlfn.NORM.S.DIST((LN(MonteCarlo!$B$6/MonteCarlo!$B$5)+(MonteCarlo!$B$9+(W$1^2)/2)*$A24)/(W$1*SQRT($A24)),TRUE)-MonteCarlo!$B$5*EXP(-MonteCarlo!$B$9*$A24)*_xlfn.NORM.S.DIST(((LN(MonteCarlo!$B$6/MonteCarlo!$B$5)+(MonteCarlo!$B$9+(W$1^2)/2)*$A24)/(W$1*SQRT($A24)))-(W$1*SQRT($A24)),TRUE),MonteCarlo!$B$5*EXP(-MonteCarlo!$B$9*$A24)*_xlfn.NORM.S.DIST(-(((LN(MonteCarlo!$B$6/MonteCarlo!$B$5)+(MonteCarlo!$B$9+(W$1^2)/2)*$A24)/(W$1*SQRT($A24)))-(W$1*SQRT($A24))),TRUE)-MonteCarlo!$B$6*_xlfn.NORM.S.DIST(-((LN(MonteCarlo!$B$6/MonteCarlo!$B$5)+(MonteCarlo!$B$9+(W$1^2)/2)*$A24)/(W$1*SQRT($A24))),TRUE)),"")</f>
        <v/>
      </c>
      <c r="X24" t="str">
        <f>IFERROR(IF(OR(MonteCarlo!$B$4="C",MonteCarlo!$B$4="c"),MonteCarlo!$B$6*_xlfn.NORM.S.DIST((LN(MonteCarlo!$B$6/MonteCarlo!$B$5)+(MonteCarlo!$B$9+(X$1^2)/2)*$A24)/(X$1*SQRT($A24)),TRUE)-MonteCarlo!$B$5*EXP(-MonteCarlo!$B$9*$A24)*_xlfn.NORM.S.DIST(((LN(MonteCarlo!$B$6/MonteCarlo!$B$5)+(MonteCarlo!$B$9+(X$1^2)/2)*$A24)/(X$1*SQRT($A24)))-(X$1*SQRT($A24)),TRUE),MonteCarlo!$B$5*EXP(-MonteCarlo!$B$9*$A24)*_xlfn.NORM.S.DIST(-(((LN(MonteCarlo!$B$6/MonteCarlo!$B$5)+(MonteCarlo!$B$9+(X$1^2)/2)*$A24)/(X$1*SQRT($A24)))-(X$1*SQRT($A24))),TRUE)-MonteCarlo!$B$6*_xlfn.NORM.S.DIST(-((LN(MonteCarlo!$B$6/MonteCarlo!$B$5)+(MonteCarlo!$B$9+(X$1^2)/2)*$A24)/(X$1*SQRT($A24))),TRUE)),"")</f>
        <v/>
      </c>
      <c r="Y24" t="str">
        <f>IFERROR(IF(OR(MonteCarlo!$B$4="C",MonteCarlo!$B$4="c"),MonteCarlo!$B$6*_xlfn.NORM.S.DIST((LN(MonteCarlo!$B$6/MonteCarlo!$B$5)+(MonteCarlo!$B$9+(Y$1^2)/2)*$A24)/(Y$1*SQRT($A24)),TRUE)-MonteCarlo!$B$5*EXP(-MonteCarlo!$B$9*$A24)*_xlfn.NORM.S.DIST(((LN(MonteCarlo!$B$6/MonteCarlo!$B$5)+(MonteCarlo!$B$9+(Y$1^2)/2)*$A24)/(Y$1*SQRT($A24)))-(Y$1*SQRT($A24)),TRUE),MonteCarlo!$B$5*EXP(-MonteCarlo!$B$9*$A24)*_xlfn.NORM.S.DIST(-(((LN(MonteCarlo!$B$6/MonteCarlo!$B$5)+(MonteCarlo!$B$9+(Y$1^2)/2)*$A24)/(Y$1*SQRT($A24)))-(Y$1*SQRT($A24))),TRUE)-MonteCarlo!$B$6*_xlfn.NORM.S.DIST(-((LN(MonteCarlo!$B$6/MonteCarlo!$B$5)+(MonteCarlo!$B$9+(Y$1^2)/2)*$A24)/(Y$1*SQRT($A24))),TRUE)),"")</f>
        <v/>
      </c>
      <c r="Z24" t="str">
        <f>IFERROR(IF(OR(MonteCarlo!$B$4="C",MonteCarlo!$B$4="c"),MonteCarlo!$B$6*_xlfn.NORM.S.DIST((LN(MonteCarlo!$B$6/MonteCarlo!$B$5)+(MonteCarlo!$B$9+(Z$1^2)/2)*$A24)/(Z$1*SQRT($A24)),TRUE)-MonteCarlo!$B$5*EXP(-MonteCarlo!$B$9*$A24)*_xlfn.NORM.S.DIST(((LN(MonteCarlo!$B$6/MonteCarlo!$B$5)+(MonteCarlo!$B$9+(Z$1^2)/2)*$A24)/(Z$1*SQRT($A24)))-(Z$1*SQRT($A24)),TRUE),MonteCarlo!$B$5*EXP(-MonteCarlo!$B$9*$A24)*_xlfn.NORM.S.DIST(-(((LN(MonteCarlo!$B$6/MonteCarlo!$B$5)+(MonteCarlo!$B$9+(Z$1^2)/2)*$A24)/(Z$1*SQRT($A24)))-(Z$1*SQRT($A24))),TRUE)-MonteCarlo!$B$6*_xlfn.NORM.S.DIST(-((LN(MonteCarlo!$B$6/MonteCarlo!$B$5)+(MonteCarlo!$B$9+(Z$1^2)/2)*$A24)/(Z$1*SQRT($A24))),TRUE)),"")</f>
        <v/>
      </c>
      <c r="AA24" t="str">
        <f>IFERROR(IF(OR(MonteCarlo!$B$4="C",MonteCarlo!$B$4="c"),MonteCarlo!$B$6*_xlfn.NORM.S.DIST((LN(MonteCarlo!$B$6/MonteCarlo!$B$5)+(MonteCarlo!$B$9+(AA$1^2)/2)*$A24)/(AA$1*SQRT($A24)),TRUE)-MonteCarlo!$B$5*EXP(-MonteCarlo!$B$9*$A24)*_xlfn.NORM.S.DIST(((LN(MonteCarlo!$B$6/MonteCarlo!$B$5)+(MonteCarlo!$B$9+(AA$1^2)/2)*$A24)/(AA$1*SQRT($A24)))-(AA$1*SQRT($A24)),TRUE),MonteCarlo!$B$5*EXP(-MonteCarlo!$B$9*$A24)*_xlfn.NORM.S.DIST(-(((LN(MonteCarlo!$B$6/MonteCarlo!$B$5)+(MonteCarlo!$B$9+(AA$1^2)/2)*$A24)/(AA$1*SQRT($A24)))-(AA$1*SQRT($A24))),TRUE)-MonteCarlo!$B$6*_xlfn.NORM.S.DIST(-((LN(MonteCarlo!$B$6/MonteCarlo!$B$5)+(MonteCarlo!$B$9+(AA$1^2)/2)*$A24)/(AA$1*SQRT($A24))),TRUE)),"")</f>
        <v/>
      </c>
      <c r="AB24" t="str">
        <f>IFERROR(IF(OR(MonteCarlo!$B$4="C",MonteCarlo!$B$4="c"),MonteCarlo!$B$6*_xlfn.NORM.S.DIST((LN(MonteCarlo!$B$6/MonteCarlo!$B$5)+(MonteCarlo!$B$9+(AB$1^2)/2)*$A24)/(AB$1*SQRT($A24)),TRUE)-MonteCarlo!$B$5*EXP(-MonteCarlo!$B$9*$A24)*_xlfn.NORM.S.DIST(((LN(MonteCarlo!$B$6/MonteCarlo!$B$5)+(MonteCarlo!$B$9+(AB$1^2)/2)*$A24)/(AB$1*SQRT($A24)))-(AB$1*SQRT($A24)),TRUE),MonteCarlo!$B$5*EXP(-MonteCarlo!$B$9*$A24)*_xlfn.NORM.S.DIST(-(((LN(MonteCarlo!$B$6/MonteCarlo!$B$5)+(MonteCarlo!$B$9+(AB$1^2)/2)*$A24)/(AB$1*SQRT($A24)))-(AB$1*SQRT($A24))),TRUE)-MonteCarlo!$B$6*_xlfn.NORM.S.DIST(-((LN(MonteCarlo!$B$6/MonteCarlo!$B$5)+(MonteCarlo!$B$9+(AB$1^2)/2)*$A24)/(AB$1*SQRT($A24))),TRUE)),"")</f>
        <v/>
      </c>
      <c r="AC24" t="str">
        <f>IFERROR(IF(OR(MonteCarlo!$B$4="C",MonteCarlo!$B$4="c"),MonteCarlo!$B$6*_xlfn.NORM.S.DIST((LN(MonteCarlo!$B$6/MonteCarlo!$B$5)+(MonteCarlo!$B$9+(AC$1^2)/2)*$A24)/(AC$1*SQRT($A24)),TRUE)-MonteCarlo!$B$5*EXP(-MonteCarlo!$B$9*$A24)*_xlfn.NORM.S.DIST(((LN(MonteCarlo!$B$6/MonteCarlo!$B$5)+(MonteCarlo!$B$9+(AC$1^2)/2)*$A24)/(AC$1*SQRT($A24)))-(AC$1*SQRT($A24)),TRUE),MonteCarlo!$B$5*EXP(-MonteCarlo!$B$9*$A24)*_xlfn.NORM.S.DIST(-(((LN(MonteCarlo!$B$6/MonteCarlo!$B$5)+(MonteCarlo!$B$9+(AC$1^2)/2)*$A24)/(AC$1*SQRT($A24)))-(AC$1*SQRT($A24))),TRUE)-MonteCarlo!$B$6*_xlfn.NORM.S.DIST(-((LN(MonteCarlo!$B$6/MonteCarlo!$B$5)+(MonteCarlo!$B$9+(AC$1^2)/2)*$A24)/(AC$1*SQRT($A24))),TRUE)),"")</f>
        <v/>
      </c>
      <c r="AD24" t="str">
        <f>IFERROR(IF(OR(MonteCarlo!$B$4="C",MonteCarlo!$B$4="c"),MonteCarlo!$B$6*_xlfn.NORM.S.DIST((LN(MonteCarlo!$B$6/MonteCarlo!$B$5)+(MonteCarlo!$B$9+(AD$1^2)/2)*$A24)/(AD$1*SQRT($A24)),TRUE)-MonteCarlo!$B$5*EXP(-MonteCarlo!$B$9*$A24)*_xlfn.NORM.S.DIST(((LN(MonteCarlo!$B$6/MonteCarlo!$B$5)+(MonteCarlo!$B$9+(AD$1^2)/2)*$A24)/(AD$1*SQRT($A24)))-(AD$1*SQRT($A24)),TRUE),MonteCarlo!$B$5*EXP(-MonteCarlo!$B$9*$A24)*_xlfn.NORM.S.DIST(-(((LN(MonteCarlo!$B$6/MonteCarlo!$B$5)+(MonteCarlo!$B$9+(AD$1^2)/2)*$A24)/(AD$1*SQRT($A24)))-(AD$1*SQRT($A24))),TRUE)-MonteCarlo!$B$6*_xlfn.NORM.S.DIST(-((LN(MonteCarlo!$B$6/MonteCarlo!$B$5)+(MonteCarlo!$B$9+(AD$1^2)/2)*$A24)/(AD$1*SQRT($A24))),TRUE)),"")</f>
        <v/>
      </c>
      <c r="AE24" t="str">
        <f>IFERROR(IF(OR(MonteCarlo!$B$4="C",MonteCarlo!$B$4="c"),MonteCarlo!$B$6*_xlfn.NORM.S.DIST((LN(MonteCarlo!$B$6/MonteCarlo!$B$5)+(MonteCarlo!$B$9+(AE$1^2)/2)*$A24)/(AE$1*SQRT($A24)),TRUE)-MonteCarlo!$B$5*EXP(-MonteCarlo!$B$9*$A24)*_xlfn.NORM.S.DIST(((LN(MonteCarlo!$B$6/MonteCarlo!$B$5)+(MonteCarlo!$B$9+(AE$1^2)/2)*$A24)/(AE$1*SQRT($A24)))-(AE$1*SQRT($A24)),TRUE),MonteCarlo!$B$5*EXP(-MonteCarlo!$B$9*$A24)*_xlfn.NORM.S.DIST(-(((LN(MonteCarlo!$B$6/MonteCarlo!$B$5)+(MonteCarlo!$B$9+(AE$1^2)/2)*$A24)/(AE$1*SQRT($A24)))-(AE$1*SQRT($A24))),TRUE)-MonteCarlo!$B$6*_xlfn.NORM.S.DIST(-((LN(MonteCarlo!$B$6/MonteCarlo!$B$5)+(MonteCarlo!$B$9+(AE$1^2)/2)*$A24)/(AE$1*SQRT($A24))),TRUE)),"")</f>
        <v/>
      </c>
      <c r="AF24" t="str">
        <f>IFERROR(IF(OR(MonteCarlo!$B$4="C",MonteCarlo!$B$4="c"),MonteCarlo!$B$6*_xlfn.NORM.S.DIST((LN(MonteCarlo!$B$6/MonteCarlo!$B$5)+(MonteCarlo!$B$9+(AF$1^2)/2)*$A24)/(AF$1*SQRT($A24)),TRUE)-MonteCarlo!$B$5*EXP(-MonteCarlo!$B$9*$A24)*_xlfn.NORM.S.DIST(((LN(MonteCarlo!$B$6/MonteCarlo!$B$5)+(MonteCarlo!$B$9+(AF$1^2)/2)*$A24)/(AF$1*SQRT($A24)))-(AF$1*SQRT($A24)),TRUE),MonteCarlo!$B$5*EXP(-MonteCarlo!$B$9*$A24)*_xlfn.NORM.S.DIST(-(((LN(MonteCarlo!$B$6/MonteCarlo!$B$5)+(MonteCarlo!$B$9+(AF$1^2)/2)*$A24)/(AF$1*SQRT($A24)))-(AF$1*SQRT($A24))),TRUE)-MonteCarlo!$B$6*_xlfn.NORM.S.DIST(-((LN(MonteCarlo!$B$6/MonteCarlo!$B$5)+(MonteCarlo!$B$9+(AF$1^2)/2)*$A24)/(AF$1*SQRT($A24))),TRUE)),"")</f>
        <v/>
      </c>
    </row>
    <row r="25" spans="2:32" x14ac:dyDescent="0.25">
      <c r="B25" t="str">
        <f>IFERROR(IF(OR(MonteCarlo!$B$4="C",MonteCarlo!$B$4="c"),MonteCarlo!$B$6*_xlfn.NORM.S.DIST((LN(MonteCarlo!$B$6/MonteCarlo!$B$5)+(MonteCarlo!$B$9+(B$1^2)/2)*$A25)/(B$1*SQRT($A25)),TRUE)-MonteCarlo!$B$5*EXP(-MonteCarlo!$B$9*$A25)*_xlfn.NORM.S.DIST(((LN(MonteCarlo!$B$6/MonteCarlo!$B$5)+(MonteCarlo!$B$9+(B$1^2)/2)*$A25)/(B$1*SQRT($A25)))-(B$1*SQRT($A25)),TRUE),MonteCarlo!$B$5*EXP(-MonteCarlo!$B$9*$A25)*_xlfn.NORM.S.DIST(-(((LN(MonteCarlo!$B$6/MonteCarlo!$B$5)+(MonteCarlo!$B$9+(B$1^2)/2)*$A25)/(B$1*SQRT($A25)))-(B$1*SQRT($A25))),TRUE)-MonteCarlo!$B$6*_xlfn.NORM.S.DIST(-((LN(MonteCarlo!$B$6/MonteCarlo!$B$5)+(MonteCarlo!$B$9+(B$1^2)/2)*$A25)/(B$1*SQRT($A25))),TRUE)),"")</f>
        <v/>
      </c>
      <c r="C25" t="str">
        <f>IFERROR(IF(OR(MonteCarlo!$B$4="C",MonteCarlo!$B$4="c"),MonteCarlo!$B$6*_xlfn.NORM.S.DIST((LN(MonteCarlo!$B$6/MonteCarlo!$B$5)+(MonteCarlo!$B$9+(C$1^2)/2)*$A25)/(C$1*SQRT($A25)),TRUE)-MonteCarlo!$B$5*EXP(-MonteCarlo!$B$9*$A25)*_xlfn.NORM.S.DIST(((LN(MonteCarlo!$B$6/MonteCarlo!$B$5)+(MonteCarlo!$B$9+(C$1^2)/2)*$A25)/(C$1*SQRT($A25)))-(C$1*SQRT($A25)),TRUE),MonteCarlo!$B$5*EXP(-MonteCarlo!$B$9*$A25)*_xlfn.NORM.S.DIST(-(((LN(MonteCarlo!$B$6/MonteCarlo!$B$5)+(MonteCarlo!$B$9+(C$1^2)/2)*$A25)/(C$1*SQRT($A25)))-(C$1*SQRT($A25))),TRUE)-MonteCarlo!$B$6*_xlfn.NORM.S.DIST(-((LN(MonteCarlo!$B$6/MonteCarlo!$B$5)+(MonteCarlo!$B$9+(C$1^2)/2)*$A25)/(C$1*SQRT($A25))),TRUE)),"")</f>
        <v/>
      </c>
      <c r="D25" t="str">
        <f>IFERROR(IF(OR(MonteCarlo!$B$4="C",MonteCarlo!$B$4="c"),MonteCarlo!$B$6*_xlfn.NORM.S.DIST((LN(MonteCarlo!$B$6/MonteCarlo!$B$5)+(MonteCarlo!$B$9+(D$1^2)/2)*$A25)/(D$1*SQRT($A25)),TRUE)-MonteCarlo!$B$5*EXP(-MonteCarlo!$B$9*$A25)*_xlfn.NORM.S.DIST(((LN(MonteCarlo!$B$6/MonteCarlo!$B$5)+(MonteCarlo!$B$9+(D$1^2)/2)*$A25)/(D$1*SQRT($A25)))-(D$1*SQRT($A25)),TRUE),MonteCarlo!$B$5*EXP(-MonteCarlo!$B$9*$A25)*_xlfn.NORM.S.DIST(-(((LN(MonteCarlo!$B$6/MonteCarlo!$B$5)+(MonteCarlo!$B$9+(D$1^2)/2)*$A25)/(D$1*SQRT($A25)))-(D$1*SQRT($A25))),TRUE)-MonteCarlo!$B$6*_xlfn.NORM.S.DIST(-((LN(MonteCarlo!$B$6/MonteCarlo!$B$5)+(MonteCarlo!$B$9+(D$1^2)/2)*$A25)/(D$1*SQRT($A25))),TRUE)),"")</f>
        <v/>
      </c>
      <c r="E25" t="str">
        <f>IFERROR(IF(OR(MonteCarlo!$B$4="C",MonteCarlo!$B$4="c"),MonteCarlo!$B$6*_xlfn.NORM.S.DIST((LN(MonteCarlo!$B$6/MonteCarlo!$B$5)+(MonteCarlo!$B$9+(E$1^2)/2)*$A25)/(E$1*SQRT($A25)),TRUE)-MonteCarlo!$B$5*EXP(-MonteCarlo!$B$9*$A25)*_xlfn.NORM.S.DIST(((LN(MonteCarlo!$B$6/MonteCarlo!$B$5)+(MonteCarlo!$B$9+(E$1^2)/2)*$A25)/(E$1*SQRT($A25)))-(E$1*SQRT($A25)),TRUE),MonteCarlo!$B$5*EXP(-MonteCarlo!$B$9*$A25)*_xlfn.NORM.S.DIST(-(((LN(MonteCarlo!$B$6/MonteCarlo!$B$5)+(MonteCarlo!$B$9+(E$1^2)/2)*$A25)/(E$1*SQRT($A25)))-(E$1*SQRT($A25))),TRUE)-MonteCarlo!$B$6*_xlfn.NORM.S.DIST(-((LN(MonteCarlo!$B$6/MonteCarlo!$B$5)+(MonteCarlo!$B$9+(E$1^2)/2)*$A25)/(E$1*SQRT($A25))),TRUE)),"")</f>
        <v/>
      </c>
      <c r="F25" t="str">
        <f>IFERROR(IF(OR(MonteCarlo!$B$4="C",MonteCarlo!$B$4="c"),MonteCarlo!$B$6*_xlfn.NORM.S.DIST((LN(MonteCarlo!$B$6/MonteCarlo!$B$5)+(MonteCarlo!$B$9+(F$1^2)/2)*$A25)/(F$1*SQRT($A25)),TRUE)-MonteCarlo!$B$5*EXP(-MonteCarlo!$B$9*$A25)*_xlfn.NORM.S.DIST(((LN(MonteCarlo!$B$6/MonteCarlo!$B$5)+(MonteCarlo!$B$9+(F$1^2)/2)*$A25)/(F$1*SQRT($A25)))-(F$1*SQRT($A25)),TRUE),MonteCarlo!$B$5*EXP(-MonteCarlo!$B$9*$A25)*_xlfn.NORM.S.DIST(-(((LN(MonteCarlo!$B$6/MonteCarlo!$B$5)+(MonteCarlo!$B$9+(F$1^2)/2)*$A25)/(F$1*SQRT($A25)))-(F$1*SQRT($A25))),TRUE)-MonteCarlo!$B$6*_xlfn.NORM.S.DIST(-((LN(MonteCarlo!$B$6/MonteCarlo!$B$5)+(MonteCarlo!$B$9+(F$1^2)/2)*$A25)/(F$1*SQRT($A25))),TRUE)),"")</f>
        <v/>
      </c>
      <c r="G25" t="str">
        <f>IFERROR(IF(OR(MonteCarlo!$B$4="C",MonteCarlo!$B$4="c"),MonteCarlo!$B$6*_xlfn.NORM.S.DIST((LN(MonteCarlo!$B$6/MonteCarlo!$B$5)+(MonteCarlo!$B$9+(G$1^2)/2)*$A25)/(G$1*SQRT($A25)),TRUE)-MonteCarlo!$B$5*EXP(-MonteCarlo!$B$9*$A25)*_xlfn.NORM.S.DIST(((LN(MonteCarlo!$B$6/MonteCarlo!$B$5)+(MonteCarlo!$B$9+(G$1^2)/2)*$A25)/(G$1*SQRT($A25)))-(G$1*SQRT($A25)),TRUE),MonteCarlo!$B$5*EXP(-MonteCarlo!$B$9*$A25)*_xlfn.NORM.S.DIST(-(((LN(MonteCarlo!$B$6/MonteCarlo!$B$5)+(MonteCarlo!$B$9+(G$1^2)/2)*$A25)/(G$1*SQRT($A25)))-(G$1*SQRT($A25))),TRUE)-MonteCarlo!$B$6*_xlfn.NORM.S.DIST(-((LN(MonteCarlo!$B$6/MonteCarlo!$B$5)+(MonteCarlo!$B$9+(G$1^2)/2)*$A25)/(G$1*SQRT($A25))),TRUE)),"")</f>
        <v/>
      </c>
      <c r="H25" t="str">
        <f>IFERROR(IF(OR(MonteCarlo!$B$4="C",MonteCarlo!$B$4="c"),MonteCarlo!$B$6*_xlfn.NORM.S.DIST((LN(MonteCarlo!$B$6/MonteCarlo!$B$5)+(MonteCarlo!$B$9+(H$1^2)/2)*$A25)/(H$1*SQRT($A25)),TRUE)-MonteCarlo!$B$5*EXP(-MonteCarlo!$B$9*$A25)*_xlfn.NORM.S.DIST(((LN(MonteCarlo!$B$6/MonteCarlo!$B$5)+(MonteCarlo!$B$9+(H$1^2)/2)*$A25)/(H$1*SQRT($A25)))-(H$1*SQRT($A25)),TRUE),MonteCarlo!$B$5*EXP(-MonteCarlo!$B$9*$A25)*_xlfn.NORM.S.DIST(-(((LN(MonteCarlo!$B$6/MonteCarlo!$B$5)+(MonteCarlo!$B$9+(H$1^2)/2)*$A25)/(H$1*SQRT($A25)))-(H$1*SQRT($A25))),TRUE)-MonteCarlo!$B$6*_xlfn.NORM.S.DIST(-((LN(MonteCarlo!$B$6/MonteCarlo!$B$5)+(MonteCarlo!$B$9+(H$1^2)/2)*$A25)/(H$1*SQRT($A25))),TRUE)),"")</f>
        <v/>
      </c>
      <c r="I25" t="str">
        <f>IFERROR(IF(OR(MonteCarlo!$B$4="C",MonteCarlo!$B$4="c"),MonteCarlo!$B$6*_xlfn.NORM.S.DIST((LN(MonteCarlo!$B$6/MonteCarlo!$B$5)+(MonteCarlo!$B$9+(I$1^2)/2)*$A25)/(I$1*SQRT($A25)),TRUE)-MonteCarlo!$B$5*EXP(-MonteCarlo!$B$9*$A25)*_xlfn.NORM.S.DIST(((LN(MonteCarlo!$B$6/MonteCarlo!$B$5)+(MonteCarlo!$B$9+(I$1^2)/2)*$A25)/(I$1*SQRT($A25)))-(I$1*SQRT($A25)),TRUE),MonteCarlo!$B$5*EXP(-MonteCarlo!$B$9*$A25)*_xlfn.NORM.S.DIST(-(((LN(MonteCarlo!$B$6/MonteCarlo!$B$5)+(MonteCarlo!$B$9+(I$1^2)/2)*$A25)/(I$1*SQRT($A25)))-(I$1*SQRT($A25))),TRUE)-MonteCarlo!$B$6*_xlfn.NORM.S.DIST(-((LN(MonteCarlo!$B$6/MonteCarlo!$B$5)+(MonteCarlo!$B$9+(I$1^2)/2)*$A25)/(I$1*SQRT($A25))),TRUE)),"")</f>
        <v/>
      </c>
      <c r="J25" t="str">
        <f>IFERROR(IF(OR(MonteCarlo!$B$4="C",MonteCarlo!$B$4="c"),MonteCarlo!$B$6*_xlfn.NORM.S.DIST((LN(MonteCarlo!$B$6/MonteCarlo!$B$5)+(MonteCarlo!$B$9+(J$1^2)/2)*$A25)/(J$1*SQRT($A25)),TRUE)-MonteCarlo!$B$5*EXP(-MonteCarlo!$B$9*$A25)*_xlfn.NORM.S.DIST(((LN(MonteCarlo!$B$6/MonteCarlo!$B$5)+(MonteCarlo!$B$9+(J$1^2)/2)*$A25)/(J$1*SQRT($A25)))-(J$1*SQRT($A25)),TRUE),MonteCarlo!$B$5*EXP(-MonteCarlo!$B$9*$A25)*_xlfn.NORM.S.DIST(-(((LN(MonteCarlo!$B$6/MonteCarlo!$B$5)+(MonteCarlo!$B$9+(J$1^2)/2)*$A25)/(J$1*SQRT($A25)))-(J$1*SQRT($A25))),TRUE)-MonteCarlo!$B$6*_xlfn.NORM.S.DIST(-((LN(MonteCarlo!$B$6/MonteCarlo!$B$5)+(MonteCarlo!$B$9+(J$1^2)/2)*$A25)/(J$1*SQRT($A25))),TRUE)),"")</f>
        <v/>
      </c>
      <c r="K25" t="str">
        <f>IFERROR(IF(OR(MonteCarlo!$B$4="C",MonteCarlo!$B$4="c"),MonteCarlo!$B$6*_xlfn.NORM.S.DIST((LN(MonteCarlo!$B$6/MonteCarlo!$B$5)+(MonteCarlo!$B$9+(K$1^2)/2)*$A25)/(K$1*SQRT($A25)),TRUE)-MonteCarlo!$B$5*EXP(-MonteCarlo!$B$9*$A25)*_xlfn.NORM.S.DIST(((LN(MonteCarlo!$B$6/MonteCarlo!$B$5)+(MonteCarlo!$B$9+(K$1^2)/2)*$A25)/(K$1*SQRT($A25)))-(K$1*SQRT($A25)),TRUE),MonteCarlo!$B$5*EXP(-MonteCarlo!$B$9*$A25)*_xlfn.NORM.S.DIST(-(((LN(MonteCarlo!$B$6/MonteCarlo!$B$5)+(MonteCarlo!$B$9+(K$1^2)/2)*$A25)/(K$1*SQRT($A25)))-(K$1*SQRT($A25))),TRUE)-MonteCarlo!$B$6*_xlfn.NORM.S.DIST(-((LN(MonteCarlo!$B$6/MonteCarlo!$B$5)+(MonteCarlo!$B$9+(K$1^2)/2)*$A25)/(K$1*SQRT($A25))),TRUE)),"")</f>
        <v/>
      </c>
      <c r="L25" t="str">
        <f>IFERROR(IF(OR(MonteCarlo!$B$4="C",MonteCarlo!$B$4="c"),MonteCarlo!$B$6*_xlfn.NORM.S.DIST((LN(MonteCarlo!$B$6/MonteCarlo!$B$5)+(MonteCarlo!$B$9+(L$1^2)/2)*$A25)/(L$1*SQRT($A25)),TRUE)-MonteCarlo!$B$5*EXP(-MonteCarlo!$B$9*$A25)*_xlfn.NORM.S.DIST(((LN(MonteCarlo!$B$6/MonteCarlo!$B$5)+(MonteCarlo!$B$9+(L$1^2)/2)*$A25)/(L$1*SQRT($A25)))-(L$1*SQRT($A25)),TRUE),MonteCarlo!$B$5*EXP(-MonteCarlo!$B$9*$A25)*_xlfn.NORM.S.DIST(-(((LN(MonteCarlo!$B$6/MonteCarlo!$B$5)+(MonteCarlo!$B$9+(L$1^2)/2)*$A25)/(L$1*SQRT($A25)))-(L$1*SQRT($A25))),TRUE)-MonteCarlo!$B$6*_xlfn.NORM.S.DIST(-((LN(MonteCarlo!$B$6/MonteCarlo!$B$5)+(MonteCarlo!$B$9+(L$1^2)/2)*$A25)/(L$1*SQRT($A25))),TRUE)),"")</f>
        <v/>
      </c>
      <c r="M25" t="str">
        <f>IFERROR(IF(OR(MonteCarlo!$B$4="C",MonteCarlo!$B$4="c"),MonteCarlo!$B$6*_xlfn.NORM.S.DIST((LN(MonteCarlo!$B$6/MonteCarlo!$B$5)+(MonteCarlo!$B$9+(M$1^2)/2)*$A25)/(M$1*SQRT($A25)),TRUE)-MonteCarlo!$B$5*EXP(-MonteCarlo!$B$9*$A25)*_xlfn.NORM.S.DIST(((LN(MonteCarlo!$B$6/MonteCarlo!$B$5)+(MonteCarlo!$B$9+(M$1^2)/2)*$A25)/(M$1*SQRT($A25)))-(M$1*SQRT($A25)),TRUE),MonteCarlo!$B$5*EXP(-MonteCarlo!$B$9*$A25)*_xlfn.NORM.S.DIST(-(((LN(MonteCarlo!$B$6/MonteCarlo!$B$5)+(MonteCarlo!$B$9+(M$1^2)/2)*$A25)/(M$1*SQRT($A25)))-(M$1*SQRT($A25))),TRUE)-MonteCarlo!$B$6*_xlfn.NORM.S.DIST(-((LN(MonteCarlo!$B$6/MonteCarlo!$B$5)+(MonteCarlo!$B$9+(M$1^2)/2)*$A25)/(M$1*SQRT($A25))),TRUE)),"")</f>
        <v/>
      </c>
      <c r="N25" t="str">
        <f>IFERROR(IF(OR(MonteCarlo!$B$4="C",MonteCarlo!$B$4="c"),MonteCarlo!$B$6*_xlfn.NORM.S.DIST((LN(MonteCarlo!$B$6/MonteCarlo!$B$5)+(MonteCarlo!$B$9+(N$1^2)/2)*$A25)/(N$1*SQRT($A25)),TRUE)-MonteCarlo!$B$5*EXP(-MonteCarlo!$B$9*$A25)*_xlfn.NORM.S.DIST(((LN(MonteCarlo!$B$6/MonteCarlo!$B$5)+(MonteCarlo!$B$9+(N$1^2)/2)*$A25)/(N$1*SQRT($A25)))-(N$1*SQRT($A25)),TRUE),MonteCarlo!$B$5*EXP(-MonteCarlo!$B$9*$A25)*_xlfn.NORM.S.DIST(-(((LN(MonteCarlo!$B$6/MonteCarlo!$B$5)+(MonteCarlo!$B$9+(N$1^2)/2)*$A25)/(N$1*SQRT($A25)))-(N$1*SQRT($A25))),TRUE)-MonteCarlo!$B$6*_xlfn.NORM.S.DIST(-((LN(MonteCarlo!$B$6/MonteCarlo!$B$5)+(MonteCarlo!$B$9+(N$1^2)/2)*$A25)/(N$1*SQRT($A25))),TRUE)),"")</f>
        <v/>
      </c>
      <c r="O25" t="str">
        <f>IFERROR(IF(OR(MonteCarlo!$B$4="C",MonteCarlo!$B$4="c"),MonteCarlo!$B$6*_xlfn.NORM.S.DIST((LN(MonteCarlo!$B$6/MonteCarlo!$B$5)+(MonteCarlo!$B$9+(O$1^2)/2)*$A25)/(O$1*SQRT($A25)),TRUE)-MonteCarlo!$B$5*EXP(-MonteCarlo!$B$9*$A25)*_xlfn.NORM.S.DIST(((LN(MonteCarlo!$B$6/MonteCarlo!$B$5)+(MonteCarlo!$B$9+(O$1^2)/2)*$A25)/(O$1*SQRT($A25)))-(O$1*SQRT($A25)),TRUE),MonteCarlo!$B$5*EXP(-MonteCarlo!$B$9*$A25)*_xlfn.NORM.S.DIST(-(((LN(MonteCarlo!$B$6/MonteCarlo!$B$5)+(MonteCarlo!$B$9+(O$1^2)/2)*$A25)/(O$1*SQRT($A25)))-(O$1*SQRT($A25))),TRUE)-MonteCarlo!$B$6*_xlfn.NORM.S.DIST(-((LN(MonteCarlo!$B$6/MonteCarlo!$B$5)+(MonteCarlo!$B$9+(O$1^2)/2)*$A25)/(O$1*SQRT($A25))),TRUE)),"")</f>
        <v/>
      </c>
      <c r="P25" t="str">
        <f>IFERROR(IF(OR(MonteCarlo!$B$4="C",MonteCarlo!$B$4="c"),MonteCarlo!$B$6*_xlfn.NORM.S.DIST((LN(MonteCarlo!$B$6/MonteCarlo!$B$5)+(MonteCarlo!$B$9+(P$1^2)/2)*$A25)/(P$1*SQRT($A25)),TRUE)-MonteCarlo!$B$5*EXP(-MonteCarlo!$B$9*$A25)*_xlfn.NORM.S.DIST(((LN(MonteCarlo!$B$6/MonteCarlo!$B$5)+(MonteCarlo!$B$9+(P$1^2)/2)*$A25)/(P$1*SQRT($A25)))-(P$1*SQRT($A25)),TRUE),MonteCarlo!$B$5*EXP(-MonteCarlo!$B$9*$A25)*_xlfn.NORM.S.DIST(-(((LN(MonteCarlo!$B$6/MonteCarlo!$B$5)+(MonteCarlo!$B$9+(P$1^2)/2)*$A25)/(P$1*SQRT($A25)))-(P$1*SQRT($A25))),TRUE)-MonteCarlo!$B$6*_xlfn.NORM.S.DIST(-((LN(MonteCarlo!$B$6/MonteCarlo!$B$5)+(MonteCarlo!$B$9+(P$1^2)/2)*$A25)/(P$1*SQRT($A25))),TRUE)),"")</f>
        <v/>
      </c>
      <c r="Q25" t="str">
        <f>IFERROR(IF(OR(MonteCarlo!$B$4="C",MonteCarlo!$B$4="c"),MonteCarlo!$B$6*_xlfn.NORM.S.DIST((LN(MonteCarlo!$B$6/MonteCarlo!$B$5)+(MonteCarlo!$B$9+(Q$1^2)/2)*$A25)/(Q$1*SQRT($A25)),TRUE)-MonteCarlo!$B$5*EXP(-MonteCarlo!$B$9*$A25)*_xlfn.NORM.S.DIST(((LN(MonteCarlo!$B$6/MonteCarlo!$B$5)+(MonteCarlo!$B$9+(Q$1^2)/2)*$A25)/(Q$1*SQRT($A25)))-(Q$1*SQRT($A25)),TRUE),MonteCarlo!$B$5*EXP(-MonteCarlo!$B$9*$A25)*_xlfn.NORM.S.DIST(-(((LN(MonteCarlo!$B$6/MonteCarlo!$B$5)+(MonteCarlo!$B$9+(Q$1^2)/2)*$A25)/(Q$1*SQRT($A25)))-(Q$1*SQRT($A25))),TRUE)-MonteCarlo!$B$6*_xlfn.NORM.S.DIST(-((LN(MonteCarlo!$B$6/MonteCarlo!$B$5)+(MonteCarlo!$B$9+(Q$1^2)/2)*$A25)/(Q$1*SQRT($A25))),TRUE)),"")</f>
        <v/>
      </c>
      <c r="R25" t="str">
        <f>IFERROR(IF(OR(MonteCarlo!$B$4="C",MonteCarlo!$B$4="c"),MonteCarlo!$B$6*_xlfn.NORM.S.DIST((LN(MonteCarlo!$B$6/MonteCarlo!$B$5)+(MonteCarlo!$B$9+(R$1^2)/2)*$A25)/(R$1*SQRT($A25)),TRUE)-MonteCarlo!$B$5*EXP(-MonteCarlo!$B$9*$A25)*_xlfn.NORM.S.DIST(((LN(MonteCarlo!$B$6/MonteCarlo!$B$5)+(MonteCarlo!$B$9+(R$1^2)/2)*$A25)/(R$1*SQRT($A25)))-(R$1*SQRT($A25)),TRUE),MonteCarlo!$B$5*EXP(-MonteCarlo!$B$9*$A25)*_xlfn.NORM.S.DIST(-(((LN(MonteCarlo!$B$6/MonteCarlo!$B$5)+(MonteCarlo!$B$9+(R$1^2)/2)*$A25)/(R$1*SQRT($A25)))-(R$1*SQRT($A25))),TRUE)-MonteCarlo!$B$6*_xlfn.NORM.S.DIST(-((LN(MonteCarlo!$B$6/MonteCarlo!$B$5)+(MonteCarlo!$B$9+(R$1^2)/2)*$A25)/(R$1*SQRT($A25))),TRUE)),"")</f>
        <v/>
      </c>
      <c r="S25" t="str">
        <f>IFERROR(IF(OR(MonteCarlo!$B$4="C",MonteCarlo!$B$4="c"),MonteCarlo!$B$6*_xlfn.NORM.S.DIST((LN(MonteCarlo!$B$6/MonteCarlo!$B$5)+(MonteCarlo!$B$9+(S$1^2)/2)*$A25)/(S$1*SQRT($A25)),TRUE)-MonteCarlo!$B$5*EXP(-MonteCarlo!$B$9*$A25)*_xlfn.NORM.S.DIST(((LN(MonteCarlo!$B$6/MonteCarlo!$B$5)+(MonteCarlo!$B$9+(S$1^2)/2)*$A25)/(S$1*SQRT($A25)))-(S$1*SQRT($A25)),TRUE),MonteCarlo!$B$5*EXP(-MonteCarlo!$B$9*$A25)*_xlfn.NORM.S.DIST(-(((LN(MonteCarlo!$B$6/MonteCarlo!$B$5)+(MonteCarlo!$B$9+(S$1^2)/2)*$A25)/(S$1*SQRT($A25)))-(S$1*SQRT($A25))),TRUE)-MonteCarlo!$B$6*_xlfn.NORM.S.DIST(-((LN(MonteCarlo!$B$6/MonteCarlo!$B$5)+(MonteCarlo!$B$9+(S$1^2)/2)*$A25)/(S$1*SQRT($A25))),TRUE)),"")</f>
        <v/>
      </c>
      <c r="T25" t="str">
        <f>IFERROR(IF(OR(MonteCarlo!$B$4="C",MonteCarlo!$B$4="c"),MonteCarlo!$B$6*_xlfn.NORM.S.DIST((LN(MonteCarlo!$B$6/MonteCarlo!$B$5)+(MonteCarlo!$B$9+(T$1^2)/2)*$A25)/(T$1*SQRT($A25)),TRUE)-MonteCarlo!$B$5*EXP(-MonteCarlo!$B$9*$A25)*_xlfn.NORM.S.DIST(((LN(MonteCarlo!$B$6/MonteCarlo!$B$5)+(MonteCarlo!$B$9+(T$1^2)/2)*$A25)/(T$1*SQRT($A25)))-(T$1*SQRT($A25)),TRUE),MonteCarlo!$B$5*EXP(-MonteCarlo!$B$9*$A25)*_xlfn.NORM.S.DIST(-(((LN(MonteCarlo!$B$6/MonteCarlo!$B$5)+(MonteCarlo!$B$9+(T$1^2)/2)*$A25)/(T$1*SQRT($A25)))-(T$1*SQRT($A25))),TRUE)-MonteCarlo!$B$6*_xlfn.NORM.S.DIST(-((LN(MonteCarlo!$B$6/MonteCarlo!$B$5)+(MonteCarlo!$B$9+(T$1^2)/2)*$A25)/(T$1*SQRT($A25))),TRUE)),"")</f>
        <v/>
      </c>
      <c r="U25" t="str">
        <f>IFERROR(IF(OR(MonteCarlo!$B$4="C",MonteCarlo!$B$4="c"),MonteCarlo!$B$6*_xlfn.NORM.S.DIST((LN(MonteCarlo!$B$6/MonteCarlo!$B$5)+(MonteCarlo!$B$9+(U$1^2)/2)*$A25)/(U$1*SQRT($A25)),TRUE)-MonteCarlo!$B$5*EXP(-MonteCarlo!$B$9*$A25)*_xlfn.NORM.S.DIST(((LN(MonteCarlo!$B$6/MonteCarlo!$B$5)+(MonteCarlo!$B$9+(U$1^2)/2)*$A25)/(U$1*SQRT($A25)))-(U$1*SQRT($A25)),TRUE),MonteCarlo!$B$5*EXP(-MonteCarlo!$B$9*$A25)*_xlfn.NORM.S.DIST(-(((LN(MonteCarlo!$B$6/MonteCarlo!$B$5)+(MonteCarlo!$B$9+(U$1^2)/2)*$A25)/(U$1*SQRT($A25)))-(U$1*SQRT($A25))),TRUE)-MonteCarlo!$B$6*_xlfn.NORM.S.DIST(-((LN(MonteCarlo!$B$6/MonteCarlo!$B$5)+(MonteCarlo!$B$9+(U$1^2)/2)*$A25)/(U$1*SQRT($A25))),TRUE)),"")</f>
        <v/>
      </c>
      <c r="V25" t="str">
        <f>IFERROR(IF(OR(MonteCarlo!$B$4="C",MonteCarlo!$B$4="c"),MonteCarlo!$B$6*_xlfn.NORM.S.DIST((LN(MonteCarlo!$B$6/MonteCarlo!$B$5)+(MonteCarlo!$B$9+(V$1^2)/2)*$A25)/(V$1*SQRT($A25)),TRUE)-MonteCarlo!$B$5*EXP(-MonteCarlo!$B$9*$A25)*_xlfn.NORM.S.DIST(((LN(MonteCarlo!$B$6/MonteCarlo!$B$5)+(MonteCarlo!$B$9+(V$1^2)/2)*$A25)/(V$1*SQRT($A25)))-(V$1*SQRT($A25)),TRUE),MonteCarlo!$B$5*EXP(-MonteCarlo!$B$9*$A25)*_xlfn.NORM.S.DIST(-(((LN(MonteCarlo!$B$6/MonteCarlo!$B$5)+(MonteCarlo!$B$9+(V$1^2)/2)*$A25)/(V$1*SQRT($A25)))-(V$1*SQRT($A25))),TRUE)-MonteCarlo!$B$6*_xlfn.NORM.S.DIST(-((LN(MonteCarlo!$B$6/MonteCarlo!$B$5)+(MonteCarlo!$B$9+(V$1^2)/2)*$A25)/(V$1*SQRT($A25))),TRUE)),"")</f>
        <v/>
      </c>
      <c r="W25" t="str">
        <f>IFERROR(IF(OR(MonteCarlo!$B$4="C",MonteCarlo!$B$4="c"),MonteCarlo!$B$6*_xlfn.NORM.S.DIST((LN(MonteCarlo!$B$6/MonteCarlo!$B$5)+(MonteCarlo!$B$9+(W$1^2)/2)*$A25)/(W$1*SQRT($A25)),TRUE)-MonteCarlo!$B$5*EXP(-MonteCarlo!$B$9*$A25)*_xlfn.NORM.S.DIST(((LN(MonteCarlo!$B$6/MonteCarlo!$B$5)+(MonteCarlo!$B$9+(W$1^2)/2)*$A25)/(W$1*SQRT($A25)))-(W$1*SQRT($A25)),TRUE),MonteCarlo!$B$5*EXP(-MonteCarlo!$B$9*$A25)*_xlfn.NORM.S.DIST(-(((LN(MonteCarlo!$B$6/MonteCarlo!$B$5)+(MonteCarlo!$B$9+(W$1^2)/2)*$A25)/(W$1*SQRT($A25)))-(W$1*SQRT($A25))),TRUE)-MonteCarlo!$B$6*_xlfn.NORM.S.DIST(-((LN(MonteCarlo!$B$6/MonteCarlo!$B$5)+(MonteCarlo!$B$9+(W$1^2)/2)*$A25)/(W$1*SQRT($A25))),TRUE)),"")</f>
        <v/>
      </c>
      <c r="X25" t="str">
        <f>IFERROR(IF(OR(MonteCarlo!$B$4="C",MonteCarlo!$B$4="c"),MonteCarlo!$B$6*_xlfn.NORM.S.DIST((LN(MonteCarlo!$B$6/MonteCarlo!$B$5)+(MonteCarlo!$B$9+(X$1^2)/2)*$A25)/(X$1*SQRT($A25)),TRUE)-MonteCarlo!$B$5*EXP(-MonteCarlo!$B$9*$A25)*_xlfn.NORM.S.DIST(((LN(MonteCarlo!$B$6/MonteCarlo!$B$5)+(MonteCarlo!$B$9+(X$1^2)/2)*$A25)/(X$1*SQRT($A25)))-(X$1*SQRT($A25)),TRUE),MonteCarlo!$B$5*EXP(-MonteCarlo!$B$9*$A25)*_xlfn.NORM.S.DIST(-(((LN(MonteCarlo!$B$6/MonteCarlo!$B$5)+(MonteCarlo!$B$9+(X$1^2)/2)*$A25)/(X$1*SQRT($A25)))-(X$1*SQRT($A25))),TRUE)-MonteCarlo!$B$6*_xlfn.NORM.S.DIST(-((LN(MonteCarlo!$B$6/MonteCarlo!$B$5)+(MonteCarlo!$B$9+(X$1^2)/2)*$A25)/(X$1*SQRT($A25))),TRUE)),"")</f>
        <v/>
      </c>
      <c r="Y25" t="str">
        <f>IFERROR(IF(OR(MonteCarlo!$B$4="C",MonteCarlo!$B$4="c"),MonteCarlo!$B$6*_xlfn.NORM.S.DIST((LN(MonteCarlo!$B$6/MonteCarlo!$B$5)+(MonteCarlo!$B$9+(Y$1^2)/2)*$A25)/(Y$1*SQRT($A25)),TRUE)-MonteCarlo!$B$5*EXP(-MonteCarlo!$B$9*$A25)*_xlfn.NORM.S.DIST(((LN(MonteCarlo!$B$6/MonteCarlo!$B$5)+(MonteCarlo!$B$9+(Y$1^2)/2)*$A25)/(Y$1*SQRT($A25)))-(Y$1*SQRT($A25)),TRUE),MonteCarlo!$B$5*EXP(-MonteCarlo!$B$9*$A25)*_xlfn.NORM.S.DIST(-(((LN(MonteCarlo!$B$6/MonteCarlo!$B$5)+(MonteCarlo!$B$9+(Y$1^2)/2)*$A25)/(Y$1*SQRT($A25)))-(Y$1*SQRT($A25))),TRUE)-MonteCarlo!$B$6*_xlfn.NORM.S.DIST(-((LN(MonteCarlo!$B$6/MonteCarlo!$B$5)+(MonteCarlo!$B$9+(Y$1^2)/2)*$A25)/(Y$1*SQRT($A25))),TRUE)),"")</f>
        <v/>
      </c>
      <c r="Z25" t="str">
        <f>IFERROR(IF(OR(MonteCarlo!$B$4="C",MonteCarlo!$B$4="c"),MonteCarlo!$B$6*_xlfn.NORM.S.DIST((LN(MonteCarlo!$B$6/MonteCarlo!$B$5)+(MonteCarlo!$B$9+(Z$1^2)/2)*$A25)/(Z$1*SQRT($A25)),TRUE)-MonteCarlo!$B$5*EXP(-MonteCarlo!$B$9*$A25)*_xlfn.NORM.S.DIST(((LN(MonteCarlo!$B$6/MonteCarlo!$B$5)+(MonteCarlo!$B$9+(Z$1^2)/2)*$A25)/(Z$1*SQRT($A25)))-(Z$1*SQRT($A25)),TRUE),MonteCarlo!$B$5*EXP(-MonteCarlo!$B$9*$A25)*_xlfn.NORM.S.DIST(-(((LN(MonteCarlo!$B$6/MonteCarlo!$B$5)+(MonteCarlo!$B$9+(Z$1^2)/2)*$A25)/(Z$1*SQRT($A25)))-(Z$1*SQRT($A25))),TRUE)-MonteCarlo!$B$6*_xlfn.NORM.S.DIST(-((LN(MonteCarlo!$B$6/MonteCarlo!$B$5)+(MonteCarlo!$B$9+(Z$1^2)/2)*$A25)/(Z$1*SQRT($A25))),TRUE)),"")</f>
        <v/>
      </c>
      <c r="AA25" t="str">
        <f>IFERROR(IF(OR(MonteCarlo!$B$4="C",MonteCarlo!$B$4="c"),MonteCarlo!$B$6*_xlfn.NORM.S.DIST((LN(MonteCarlo!$B$6/MonteCarlo!$B$5)+(MonteCarlo!$B$9+(AA$1^2)/2)*$A25)/(AA$1*SQRT($A25)),TRUE)-MonteCarlo!$B$5*EXP(-MonteCarlo!$B$9*$A25)*_xlfn.NORM.S.DIST(((LN(MonteCarlo!$B$6/MonteCarlo!$B$5)+(MonteCarlo!$B$9+(AA$1^2)/2)*$A25)/(AA$1*SQRT($A25)))-(AA$1*SQRT($A25)),TRUE),MonteCarlo!$B$5*EXP(-MonteCarlo!$B$9*$A25)*_xlfn.NORM.S.DIST(-(((LN(MonteCarlo!$B$6/MonteCarlo!$B$5)+(MonteCarlo!$B$9+(AA$1^2)/2)*$A25)/(AA$1*SQRT($A25)))-(AA$1*SQRT($A25))),TRUE)-MonteCarlo!$B$6*_xlfn.NORM.S.DIST(-((LN(MonteCarlo!$B$6/MonteCarlo!$B$5)+(MonteCarlo!$B$9+(AA$1^2)/2)*$A25)/(AA$1*SQRT($A25))),TRUE)),"")</f>
        <v/>
      </c>
      <c r="AB25" t="str">
        <f>IFERROR(IF(OR(MonteCarlo!$B$4="C",MonteCarlo!$B$4="c"),MonteCarlo!$B$6*_xlfn.NORM.S.DIST((LN(MonteCarlo!$B$6/MonteCarlo!$B$5)+(MonteCarlo!$B$9+(AB$1^2)/2)*$A25)/(AB$1*SQRT($A25)),TRUE)-MonteCarlo!$B$5*EXP(-MonteCarlo!$B$9*$A25)*_xlfn.NORM.S.DIST(((LN(MonteCarlo!$B$6/MonteCarlo!$B$5)+(MonteCarlo!$B$9+(AB$1^2)/2)*$A25)/(AB$1*SQRT($A25)))-(AB$1*SQRT($A25)),TRUE),MonteCarlo!$B$5*EXP(-MonteCarlo!$B$9*$A25)*_xlfn.NORM.S.DIST(-(((LN(MonteCarlo!$B$6/MonteCarlo!$B$5)+(MonteCarlo!$B$9+(AB$1^2)/2)*$A25)/(AB$1*SQRT($A25)))-(AB$1*SQRT($A25))),TRUE)-MonteCarlo!$B$6*_xlfn.NORM.S.DIST(-((LN(MonteCarlo!$B$6/MonteCarlo!$B$5)+(MonteCarlo!$B$9+(AB$1^2)/2)*$A25)/(AB$1*SQRT($A25))),TRUE)),"")</f>
        <v/>
      </c>
      <c r="AC25" t="str">
        <f>IFERROR(IF(OR(MonteCarlo!$B$4="C",MonteCarlo!$B$4="c"),MonteCarlo!$B$6*_xlfn.NORM.S.DIST((LN(MonteCarlo!$B$6/MonteCarlo!$B$5)+(MonteCarlo!$B$9+(AC$1^2)/2)*$A25)/(AC$1*SQRT($A25)),TRUE)-MonteCarlo!$B$5*EXP(-MonteCarlo!$B$9*$A25)*_xlfn.NORM.S.DIST(((LN(MonteCarlo!$B$6/MonteCarlo!$B$5)+(MonteCarlo!$B$9+(AC$1^2)/2)*$A25)/(AC$1*SQRT($A25)))-(AC$1*SQRT($A25)),TRUE),MonteCarlo!$B$5*EXP(-MonteCarlo!$B$9*$A25)*_xlfn.NORM.S.DIST(-(((LN(MonteCarlo!$B$6/MonteCarlo!$B$5)+(MonteCarlo!$B$9+(AC$1^2)/2)*$A25)/(AC$1*SQRT($A25)))-(AC$1*SQRT($A25))),TRUE)-MonteCarlo!$B$6*_xlfn.NORM.S.DIST(-((LN(MonteCarlo!$B$6/MonteCarlo!$B$5)+(MonteCarlo!$B$9+(AC$1^2)/2)*$A25)/(AC$1*SQRT($A25))),TRUE)),"")</f>
        <v/>
      </c>
      <c r="AD25" t="str">
        <f>IFERROR(IF(OR(MonteCarlo!$B$4="C",MonteCarlo!$B$4="c"),MonteCarlo!$B$6*_xlfn.NORM.S.DIST((LN(MonteCarlo!$B$6/MonteCarlo!$B$5)+(MonteCarlo!$B$9+(AD$1^2)/2)*$A25)/(AD$1*SQRT($A25)),TRUE)-MonteCarlo!$B$5*EXP(-MonteCarlo!$B$9*$A25)*_xlfn.NORM.S.DIST(((LN(MonteCarlo!$B$6/MonteCarlo!$B$5)+(MonteCarlo!$B$9+(AD$1^2)/2)*$A25)/(AD$1*SQRT($A25)))-(AD$1*SQRT($A25)),TRUE),MonteCarlo!$B$5*EXP(-MonteCarlo!$B$9*$A25)*_xlfn.NORM.S.DIST(-(((LN(MonteCarlo!$B$6/MonteCarlo!$B$5)+(MonteCarlo!$B$9+(AD$1^2)/2)*$A25)/(AD$1*SQRT($A25)))-(AD$1*SQRT($A25))),TRUE)-MonteCarlo!$B$6*_xlfn.NORM.S.DIST(-((LN(MonteCarlo!$B$6/MonteCarlo!$B$5)+(MonteCarlo!$B$9+(AD$1^2)/2)*$A25)/(AD$1*SQRT($A25))),TRUE)),"")</f>
        <v/>
      </c>
      <c r="AE25" t="str">
        <f>IFERROR(IF(OR(MonteCarlo!$B$4="C",MonteCarlo!$B$4="c"),MonteCarlo!$B$6*_xlfn.NORM.S.DIST((LN(MonteCarlo!$B$6/MonteCarlo!$B$5)+(MonteCarlo!$B$9+(AE$1^2)/2)*$A25)/(AE$1*SQRT($A25)),TRUE)-MonteCarlo!$B$5*EXP(-MonteCarlo!$B$9*$A25)*_xlfn.NORM.S.DIST(((LN(MonteCarlo!$B$6/MonteCarlo!$B$5)+(MonteCarlo!$B$9+(AE$1^2)/2)*$A25)/(AE$1*SQRT($A25)))-(AE$1*SQRT($A25)),TRUE),MonteCarlo!$B$5*EXP(-MonteCarlo!$B$9*$A25)*_xlfn.NORM.S.DIST(-(((LN(MonteCarlo!$B$6/MonteCarlo!$B$5)+(MonteCarlo!$B$9+(AE$1^2)/2)*$A25)/(AE$1*SQRT($A25)))-(AE$1*SQRT($A25))),TRUE)-MonteCarlo!$B$6*_xlfn.NORM.S.DIST(-((LN(MonteCarlo!$B$6/MonteCarlo!$B$5)+(MonteCarlo!$B$9+(AE$1^2)/2)*$A25)/(AE$1*SQRT($A25))),TRUE)),"")</f>
        <v/>
      </c>
      <c r="AF25" t="str">
        <f>IFERROR(IF(OR(MonteCarlo!$B$4="C",MonteCarlo!$B$4="c"),MonteCarlo!$B$6*_xlfn.NORM.S.DIST((LN(MonteCarlo!$B$6/MonteCarlo!$B$5)+(MonteCarlo!$B$9+(AF$1^2)/2)*$A25)/(AF$1*SQRT($A25)),TRUE)-MonteCarlo!$B$5*EXP(-MonteCarlo!$B$9*$A25)*_xlfn.NORM.S.DIST(((LN(MonteCarlo!$B$6/MonteCarlo!$B$5)+(MonteCarlo!$B$9+(AF$1^2)/2)*$A25)/(AF$1*SQRT($A25)))-(AF$1*SQRT($A25)),TRUE),MonteCarlo!$B$5*EXP(-MonteCarlo!$B$9*$A25)*_xlfn.NORM.S.DIST(-(((LN(MonteCarlo!$B$6/MonteCarlo!$B$5)+(MonteCarlo!$B$9+(AF$1^2)/2)*$A25)/(AF$1*SQRT($A25)))-(AF$1*SQRT($A25))),TRUE)-MonteCarlo!$B$6*_xlfn.NORM.S.DIST(-((LN(MonteCarlo!$B$6/MonteCarlo!$B$5)+(MonteCarlo!$B$9+(AF$1^2)/2)*$A25)/(AF$1*SQRT($A25))),TRUE)),"")</f>
        <v/>
      </c>
    </row>
    <row r="26" spans="2:32" x14ac:dyDescent="0.25">
      <c r="B26" t="str">
        <f>IFERROR(IF(OR(MonteCarlo!$B$4="C",MonteCarlo!$B$4="c"),MonteCarlo!$B$6*_xlfn.NORM.S.DIST((LN(MonteCarlo!$B$6/MonteCarlo!$B$5)+(MonteCarlo!$B$9+(B$1^2)/2)*$A26)/(B$1*SQRT($A26)),TRUE)-MonteCarlo!$B$5*EXP(-MonteCarlo!$B$9*$A26)*_xlfn.NORM.S.DIST(((LN(MonteCarlo!$B$6/MonteCarlo!$B$5)+(MonteCarlo!$B$9+(B$1^2)/2)*$A26)/(B$1*SQRT($A26)))-(B$1*SQRT($A26)),TRUE),MonteCarlo!$B$5*EXP(-MonteCarlo!$B$9*$A26)*_xlfn.NORM.S.DIST(-(((LN(MonteCarlo!$B$6/MonteCarlo!$B$5)+(MonteCarlo!$B$9+(B$1^2)/2)*$A26)/(B$1*SQRT($A26)))-(B$1*SQRT($A26))),TRUE)-MonteCarlo!$B$6*_xlfn.NORM.S.DIST(-((LN(MonteCarlo!$B$6/MonteCarlo!$B$5)+(MonteCarlo!$B$9+(B$1^2)/2)*$A26)/(B$1*SQRT($A26))),TRUE)),"")</f>
        <v/>
      </c>
      <c r="C26" t="str">
        <f>IFERROR(IF(OR(MonteCarlo!$B$4="C",MonteCarlo!$B$4="c"),MonteCarlo!$B$6*_xlfn.NORM.S.DIST((LN(MonteCarlo!$B$6/MonteCarlo!$B$5)+(MonteCarlo!$B$9+(C$1^2)/2)*$A26)/(C$1*SQRT($A26)),TRUE)-MonteCarlo!$B$5*EXP(-MonteCarlo!$B$9*$A26)*_xlfn.NORM.S.DIST(((LN(MonteCarlo!$B$6/MonteCarlo!$B$5)+(MonteCarlo!$B$9+(C$1^2)/2)*$A26)/(C$1*SQRT($A26)))-(C$1*SQRT($A26)),TRUE),MonteCarlo!$B$5*EXP(-MonteCarlo!$B$9*$A26)*_xlfn.NORM.S.DIST(-(((LN(MonteCarlo!$B$6/MonteCarlo!$B$5)+(MonteCarlo!$B$9+(C$1^2)/2)*$A26)/(C$1*SQRT($A26)))-(C$1*SQRT($A26))),TRUE)-MonteCarlo!$B$6*_xlfn.NORM.S.DIST(-((LN(MonteCarlo!$B$6/MonteCarlo!$B$5)+(MonteCarlo!$B$9+(C$1^2)/2)*$A26)/(C$1*SQRT($A26))),TRUE)),"")</f>
        <v/>
      </c>
      <c r="D26" t="str">
        <f>IFERROR(IF(OR(MonteCarlo!$B$4="C",MonteCarlo!$B$4="c"),MonteCarlo!$B$6*_xlfn.NORM.S.DIST((LN(MonteCarlo!$B$6/MonteCarlo!$B$5)+(MonteCarlo!$B$9+(D$1^2)/2)*$A26)/(D$1*SQRT($A26)),TRUE)-MonteCarlo!$B$5*EXP(-MonteCarlo!$B$9*$A26)*_xlfn.NORM.S.DIST(((LN(MonteCarlo!$B$6/MonteCarlo!$B$5)+(MonteCarlo!$B$9+(D$1^2)/2)*$A26)/(D$1*SQRT($A26)))-(D$1*SQRT($A26)),TRUE),MonteCarlo!$B$5*EXP(-MonteCarlo!$B$9*$A26)*_xlfn.NORM.S.DIST(-(((LN(MonteCarlo!$B$6/MonteCarlo!$B$5)+(MonteCarlo!$B$9+(D$1^2)/2)*$A26)/(D$1*SQRT($A26)))-(D$1*SQRT($A26))),TRUE)-MonteCarlo!$B$6*_xlfn.NORM.S.DIST(-((LN(MonteCarlo!$B$6/MonteCarlo!$B$5)+(MonteCarlo!$B$9+(D$1^2)/2)*$A26)/(D$1*SQRT($A26))),TRUE)),"")</f>
        <v/>
      </c>
      <c r="E26" t="str">
        <f>IFERROR(IF(OR(MonteCarlo!$B$4="C",MonteCarlo!$B$4="c"),MonteCarlo!$B$6*_xlfn.NORM.S.DIST((LN(MonteCarlo!$B$6/MonteCarlo!$B$5)+(MonteCarlo!$B$9+(E$1^2)/2)*$A26)/(E$1*SQRT($A26)),TRUE)-MonteCarlo!$B$5*EXP(-MonteCarlo!$B$9*$A26)*_xlfn.NORM.S.DIST(((LN(MonteCarlo!$B$6/MonteCarlo!$B$5)+(MonteCarlo!$B$9+(E$1^2)/2)*$A26)/(E$1*SQRT($A26)))-(E$1*SQRT($A26)),TRUE),MonteCarlo!$B$5*EXP(-MonteCarlo!$B$9*$A26)*_xlfn.NORM.S.DIST(-(((LN(MonteCarlo!$B$6/MonteCarlo!$B$5)+(MonteCarlo!$B$9+(E$1^2)/2)*$A26)/(E$1*SQRT($A26)))-(E$1*SQRT($A26))),TRUE)-MonteCarlo!$B$6*_xlfn.NORM.S.DIST(-((LN(MonteCarlo!$B$6/MonteCarlo!$B$5)+(MonteCarlo!$B$9+(E$1^2)/2)*$A26)/(E$1*SQRT($A26))),TRUE)),"")</f>
        <v/>
      </c>
      <c r="F26" t="str">
        <f>IFERROR(IF(OR(MonteCarlo!$B$4="C",MonteCarlo!$B$4="c"),MonteCarlo!$B$6*_xlfn.NORM.S.DIST((LN(MonteCarlo!$B$6/MonteCarlo!$B$5)+(MonteCarlo!$B$9+(F$1^2)/2)*$A26)/(F$1*SQRT($A26)),TRUE)-MonteCarlo!$B$5*EXP(-MonteCarlo!$B$9*$A26)*_xlfn.NORM.S.DIST(((LN(MonteCarlo!$B$6/MonteCarlo!$B$5)+(MonteCarlo!$B$9+(F$1^2)/2)*$A26)/(F$1*SQRT($A26)))-(F$1*SQRT($A26)),TRUE),MonteCarlo!$B$5*EXP(-MonteCarlo!$B$9*$A26)*_xlfn.NORM.S.DIST(-(((LN(MonteCarlo!$B$6/MonteCarlo!$B$5)+(MonteCarlo!$B$9+(F$1^2)/2)*$A26)/(F$1*SQRT($A26)))-(F$1*SQRT($A26))),TRUE)-MonteCarlo!$B$6*_xlfn.NORM.S.DIST(-((LN(MonteCarlo!$B$6/MonteCarlo!$B$5)+(MonteCarlo!$B$9+(F$1^2)/2)*$A26)/(F$1*SQRT($A26))),TRUE)),"")</f>
        <v/>
      </c>
      <c r="G26" t="str">
        <f>IFERROR(IF(OR(MonteCarlo!$B$4="C",MonteCarlo!$B$4="c"),MonteCarlo!$B$6*_xlfn.NORM.S.DIST((LN(MonteCarlo!$B$6/MonteCarlo!$B$5)+(MonteCarlo!$B$9+(G$1^2)/2)*$A26)/(G$1*SQRT($A26)),TRUE)-MonteCarlo!$B$5*EXP(-MonteCarlo!$B$9*$A26)*_xlfn.NORM.S.DIST(((LN(MonteCarlo!$B$6/MonteCarlo!$B$5)+(MonteCarlo!$B$9+(G$1^2)/2)*$A26)/(G$1*SQRT($A26)))-(G$1*SQRT($A26)),TRUE),MonteCarlo!$B$5*EXP(-MonteCarlo!$B$9*$A26)*_xlfn.NORM.S.DIST(-(((LN(MonteCarlo!$B$6/MonteCarlo!$B$5)+(MonteCarlo!$B$9+(G$1^2)/2)*$A26)/(G$1*SQRT($A26)))-(G$1*SQRT($A26))),TRUE)-MonteCarlo!$B$6*_xlfn.NORM.S.DIST(-((LN(MonteCarlo!$B$6/MonteCarlo!$B$5)+(MonteCarlo!$B$9+(G$1^2)/2)*$A26)/(G$1*SQRT($A26))),TRUE)),"")</f>
        <v/>
      </c>
      <c r="H26" t="str">
        <f>IFERROR(IF(OR(MonteCarlo!$B$4="C",MonteCarlo!$B$4="c"),MonteCarlo!$B$6*_xlfn.NORM.S.DIST((LN(MonteCarlo!$B$6/MonteCarlo!$B$5)+(MonteCarlo!$B$9+(H$1^2)/2)*$A26)/(H$1*SQRT($A26)),TRUE)-MonteCarlo!$B$5*EXP(-MonteCarlo!$B$9*$A26)*_xlfn.NORM.S.DIST(((LN(MonteCarlo!$B$6/MonteCarlo!$B$5)+(MonteCarlo!$B$9+(H$1^2)/2)*$A26)/(H$1*SQRT($A26)))-(H$1*SQRT($A26)),TRUE),MonteCarlo!$B$5*EXP(-MonteCarlo!$B$9*$A26)*_xlfn.NORM.S.DIST(-(((LN(MonteCarlo!$B$6/MonteCarlo!$B$5)+(MonteCarlo!$B$9+(H$1^2)/2)*$A26)/(H$1*SQRT($A26)))-(H$1*SQRT($A26))),TRUE)-MonteCarlo!$B$6*_xlfn.NORM.S.DIST(-((LN(MonteCarlo!$B$6/MonteCarlo!$B$5)+(MonteCarlo!$B$9+(H$1^2)/2)*$A26)/(H$1*SQRT($A26))),TRUE)),"")</f>
        <v/>
      </c>
      <c r="I26" t="str">
        <f>IFERROR(IF(OR(MonteCarlo!$B$4="C",MonteCarlo!$B$4="c"),MonteCarlo!$B$6*_xlfn.NORM.S.DIST((LN(MonteCarlo!$B$6/MonteCarlo!$B$5)+(MonteCarlo!$B$9+(I$1^2)/2)*$A26)/(I$1*SQRT($A26)),TRUE)-MonteCarlo!$B$5*EXP(-MonteCarlo!$B$9*$A26)*_xlfn.NORM.S.DIST(((LN(MonteCarlo!$B$6/MonteCarlo!$B$5)+(MonteCarlo!$B$9+(I$1^2)/2)*$A26)/(I$1*SQRT($A26)))-(I$1*SQRT($A26)),TRUE),MonteCarlo!$B$5*EXP(-MonteCarlo!$B$9*$A26)*_xlfn.NORM.S.DIST(-(((LN(MonteCarlo!$B$6/MonteCarlo!$B$5)+(MonteCarlo!$B$9+(I$1^2)/2)*$A26)/(I$1*SQRT($A26)))-(I$1*SQRT($A26))),TRUE)-MonteCarlo!$B$6*_xlfn.NORM.S.DIST(-((LN(MonteCarlo!$B$6/MonteCarlo!$B$5)+(MonteCarlo!$B$9+(I$1^2)/2)*$A26)/(I$1*SQRT($A26))),TRUE)),"")</f>
        <v/>
      </c>
      <c r="J26" t="str">
        <f>IFERROR(IF(OR(MonteCarlo!$B$4="C",MonteCarlo!$B$4="c"),MonteCarlo!$B$6*_xlfn.NORM.S.DIST((LN(MonteCarlo!$B$6/MonteCarlo!$B$5)+(MonteCarlo!$B$9+(J$1^2)/2)*$A26)/(J$1*SQRT($A26)),TRUE)-MonteCarlo!$B$5*EXP(-MonteCarlo!$B$9*$A26)*_xlfn.NORM.S.DIST(((LN(MonteCarlo!$B$6/MonteCarlo!$B$5)+(MonteCarlo!$B$9+(J$1^2)/2)*$A26)/(J$1*SQRT($A26)))-(J$1*SQRT($A26)),TRUE),MonteCarlo!$B$5*EXP(-MonteCarlo!$B$9*$A26)*_xlfn.NORM.S.DIST(-(((LN(MonteCarlo!$B$6/MonteCarlo!$B$5)+(MonteCarlo!$B$9+(J$1^2)/2)*$A26)/(J$1*SQRT($A26)))-(J$1*SQRT($A26))),TRUE)-MonteCarlo!$B$6*_xlfn.NORM.S.DIST(-((LN(MonteCarlo!$B$6/MonteCarlo!$B$5)+(MonteCarlo!$B$9+(J$1^2)/2)*$A26)/(J$1*SQRT($A26))),TRUE)),"")</f>
        <v/>
      </c>
      <c r="K26" t="str">
        <f>IFERROR(IF(OR(MonteCarlo!$B$4="C",MonteCarlo!$B$4="c"),MonteCarlo!$B$6*_xlfn.NORM.S.DIST((LN(MonteCarlo!$B$6/MonteCarlo!$B$5)+(MonteCarlo!$B$9+(K$1^2)/2)*$A26)/(K$1*SQRT($A26)),TRUE)-MonteCarlo!$B$5*EXP(-MonteCarlo!$B$9*$A26)*_xlfn.NORM.S.DIST(((LN(MonteCarlo!$B$6/MonteCarlo!$B$5)+(MonteCarlo!$B$9+(K$1^2)/2)*$A26)/(K$1*SQRT($A26)))-(K$1*SQRT($A26)),TRUE),MonteCarlo!$B$5*EXP(-MonteCarlo!$B$9*$A26)*_xlfn.NORM.S.DIST(-(((LN(MonteCarlo!$B$6/MonteCarlo!$B$5)+(MonteCarlo!$B$9+(K$1^2)/2)*$A26)/(K$1*SQRT($A26)))-(K$1*SQRT($A26))),TRUE)-MonteCarlo!$B$6*_xlfn.NORM.S.DIST(-((LN(MonteCarlo!$B$6/MonteCarlo!$B$5)+(MonteCarlo!$B$9+(K$1^2)/2)*$A26)/(K$1*SQRT($A26))),TRUE)),"")</f>
        <v/>
      </c>
      <c r="L26" t="str">
        <f>IFERROR(IF(OR(MonteCarlo!$B$4="C",MonteCarlo!$B$4="c"),MonteCarlo!$B$6*_xlfn.NORM.S.DIST((LN(MonteCarlo!$B$6/MonteCarlo!$B$5)+(MonteCarlo!$B$9+(L$1^2)/2)*$A26)/(L$1*SQRT($A26)),TRUE)-MonteCarlo!$B$5*EXP(-MonteCarlo!$B$9*$A26)*_xlfn.NORM.S.DIST(((LN(MonteCarlo!$B$6/MonteCarlo!$B$5)+(MonteCarlo!$B$9+(L$1^2)/2)*$A26)/(L$1*SQRT($A26)))-(L$1*SQRT($A26)),TRUE),MonteCarlo!$B$5*EXP(-MonteCarlo!$B$9*$A26)*_xlfn.NORM.S.DIST(-(((LN(MonteCarlo!$B$6/MonteCarlo!$B$5)+(MonteCarlo!$B$9+(L$1^2)/2)*$A26)/(L$1*SQRT($A26)))-(L$1*SQRT($A26))),TRUE)-MonteCarlo!$B$6*_xlfn.NORM.S.DIST(-((LN(MonteCarlo!$B$6/MonteCarlo!$B$5)+(MonteCarlo!$B$9+(L$1^2)/2)*$A26)/(L$1*SQRT($A26))),TRUE)),"")</f>
        <v/>
      </c>
      <c r="M26" t="str">
        <f>IFERROR(IF(OR(MonteCarlo!$B$4="C",MonteCarlo!$B$4="c"),MonteCarlo!$B$6*_xlfn.NORM.S.DIST((LN(MonteCarlo!$B$6/MonteCarlo!$B$5)+(MonteCarlo!$B$9+(M$1^2)/2)*$A26)/(M$1*SQRT($A26)),TRUE)-MonteCarlo!$B$5*EXP(-MonteCarlo!$B$9*$A26)*_xlfn.NORM.S.DIST(((LN(MonteCarlo!$B$6/MonteCarlo!$B$5)+(MonteCarlo!$B$9+(M$1^2)/2)*$A26)/(M$1*SQRT($A26)))-(M$1*SQRT($A26)),TRUE),MonteCarlo!$B$5*EXP(-MonteCarlo!$B$9*$A26)*_xlfn.NORM.S.DIST(-(((LN(MonteCarlo!$B$6/MonteCarlo!$B$5)+(MonteCarlo!$B$9+(M$1^2)/2)*$A26)/(M$1*SQRT($A26)))-(M$1*SQRT($A26))),TRUE)-MonteCarlo!$B$6*_xlfn.NORM.S.DIST(-((LN(MonteCarlo!$B$6/MonteCarlo!$B$5)+(MonteCarlo!$B$9+(M$1^2)/2)*$A26)/(M$1*SQRT($A26))),TRUE)),"")</f>
        <v/>
      </c>
      <c r="N26" t="str">
        <f>IFERROR(IF(OR(MonteCarlo!$B$4="C",MonteCarlo!$B$4="c"),MonteCarlo!$B$6*_xlfn.NORM.S.DIST((LN(MonteCarlo!$B$6/MonteCarlo!$B$5)+(MonteCarlo!$B$9+(N$1^2)/2)*$A26)/(N$1*SQRT($A26)),TRUE)-MonteCarlo!$B$5*EXP(-MonteCarlo!$B$9*$A26)*_xlfn.NORM.S.DIST(((LN(MonteCarlo!$B$6/MonteCarlo!$B$5)+(MonteCarlo!$B$9+(N$1^2)/2)*$A26)/(N$1*SQRT($A26)))-(N$1*SQRT($A26)),TRUE),MonteCarlo!$B$5*EXP(-MonteCarlo!$B$9*$A26)*_xlfn.NORM.S.DIST(-(((LN(MonteCarlo!$B$6/MonteCarlo!$B$5)+(MonteCarlo!$B$9+(N$1^2)/2)*$A26)/(N$1*SQRT($A26)))-(N$1*SQRT($A26))),TRUE)-MonteCarlo!$B$6*_xlfn.NORM.S.DIST(-((LN(MonteCarlo!$B$6/MonteCarlo!$B$5)+(MonteCarlo!$B$9+(N$1^2)/2)*$A26)/(N$1*SQRT($A26))),TRUE)),"")</f>
        <v/>
      </c>
      <c r="O26" t="str">
        <f>IFERROR(IF(OR(MonteCarlo!$B$4="C",MonteCarlo!$B$4="c"),MonteCarlo!$B$6*_xlfn.NORM.S.DIST((LN(MonteCarlo!$B$6/MonteCarlo!$B$5)+(MonteCarlo!$B$9+(O$1^2)/2)*$A26)/(O$1*SQRT($A26)),TRUE)-MonteCarlo!$B$5*EXP(-MonteCarlo!$B$9*$A26)*_xlfn.NORM.S.DIST(((LN(MonteCarlo!$B$6/MonteCarlo!$B$5)+(MonteCarlo!$B$9+(O$1^2)/2)*$A26)/(O$1*SQRT($A26)))-(O$1*SQRT($A26)),TRUE),MonteCarlo!$B$5*EXP(-MonteCarlo!$B$9*$A26)*_xlfn.NORM.S.DIST(-(((LN(MonteCarlo!$B$6/MonteCarlo!$B$5)+(MonteCarlo!$B$9+(O$1^2)/2)*$A26)/(O$1*SQRT($A26)))-(O$1*SQRT($A26))),TRUE)-MonteCarlo!$B$6*_xlfn.NORM.S.DIST(-((LN(MonteCarlo!$B$6/MonteCarlo!$B$5)+(MonteCarlo!$B$9+(O$1^2)/2)*$A26)/(O$1*SQRT($A26))),TRUE)),"")</f>
        <v/>
      </c>
      <c r="P26" t="str">
        <f>IFERROR(IF(OR(MonteCarlo!$B$4="C",MonteCarlo!$B$4="c"),MonteCarlo!$B$6*_xlfn.NORM.S.DIST((LN(MonteCarlo!$B$6/MonteCarlo!$B$5)+(MonteCarlo!$B$9+(P$1^2)/2)*$A26)/(P$1*SQRT($A26)),TRUE)-MonteCarlo!$B$5*EXP(-MonteCarlo!$B$9*$A26)*_xlfn.NORM.S.DIST(((LN(MonteCarlo!$B$6/MonteCarlo!$B$5)+(MonteCarlo!$B$9+(P$1^2)/2)*$A26)/(P$1*SQRT($A26)))-(P$1*SQRT($A26)),TRUE),MonteCarlo!$B$5*EXP(-MonteCarlo!$B$9*$A26)*_xlfn.NORM.S.DIST(-(((LN(MonteCarlo!$B$6/MonteCarlo!$B$5)+(MonteCarlo!$B$9+(P$1^2)/2)*$A26)/(P$1*SQRT($A26)))-(P$1*SQRT($A26))),TRUE)-MonteCarlo!$B$6*_xlfn.NORM.S.DIST(-((LN(MonteCarlo!$B$6/MonteCarlo!$B$5)+(MonteCarlo!$B$9+(P$1^2)/2)*$A26)/(P$1*SQRT($A26))),TRUE)),"")</f>
        <v/>
      </c>
      <c r="Q26" t="str">
        <f>IFERROR(IF(OR(MonteCarlo!$B$4="C",MonteCarlo!$B$4="c"),MonteCarlo!$B$6*_xlfn.NORM.S.DIST((LN(MonteCarlo!$B$6/MonteCarlo!$B$5)+(MonteCarlo!$B$9+(Q$1^2)/2)*$A26)/(Q$1*SQRT($A26)),TRUE)-MonteCarlo!$B$5*EXP(-MonteCarlo!$B$9*$A26)*_xlfn.NORM.S.DIST(((LN(MonteCarlo!$B$6/MonteCarlo!$B$5)+(MonteCarlo!$B$9+(Q$1^2)/2)*$A26)/(Q$1*SQRT($A26)))-(Q$1*SQRT($A26)),TRUE),MonteCarlo!$B$5*EXP(-MonteCarlo!$B$9*$A26)*_xlfn.NORM.S.DIST(-(((LN(MonteCarlo!$B$6/MonteCarlo!$B$5)+(MonteCarlo!$B$9+(Q$1^2)/2)*$A26)/(Q$1*SQRT($A26)))-(Q$1*SQRT($A26))),TRUE)-MonteCarlo!$B$6*_xlfn.NORM.S.DIST(-((LN(MonteCarlo!$B$6/MonteCarlo!$B$5)+(MonteCarlo!$B$9+(Q$1^2)/2)*$A26)/(Q$1*SQRT($A26))),TRUE)),"")</f>
        <v/>
      </c>
      <c r="R26" t="str">
        <f>IFERROR(IF(OR(MonteCarlo!$B$4="C",MonteCarlo!$B$4="c"),MonteCarlo!$B$6*_xlfn.NORM.S.DIST((LN(MonteCarlo!$B$6/MonteCarlo!$B$5)+(MonteCarlo!$B$9+(R$1^2)/2)*$A26)/(R$1*SQRT($A26)),TRUE)-MonteCarlo!$B$5*EXP(-MonteCarlo!$B$9*$A26)*_xlfn.NORM.S.DIST(((LN(MonteCarlo!$B$6/MonteCarlo!$B$5)+(MonteCarlo!$B$9+(R$1^2)/2)*$A26)/(R$1*SQRT($A26)))-(R$1*SQRT($A26)),TRUE),MonteCarlo!$B$5*EXP(-MonteCarlo!$B$9*$A26)*_xlfn.NORM.S.DIST(-(((LN(MonteCarlo!$B$6/MonteCarlo!$B$5)+(MonteCarlo!$B$9+(R$1^2)/2)*$A26)/(R$1*SQRT($A26)))-(R$1*SQRT($A26))),TRUE)-MonteCarlo!$B$6*_xlfn.NORM.S.DIST(-((LN(MonteCarlo!$B$6/MonteCarlo!$B$5)+(MonteCarlo!$B$9+(R$1^2)/2)*$A26)/(R$1*SQRT($A26))),TRUE)),"")</f>
        <v/>
      </c>
      <c r="S26" t="str">
        <f>IFERROR(IF(OR(MonteCarlo!$B$4="C",MonteCarlo!$B$4="c"),MonteCarlo!$B$6*_xlfn.NORM.S.DIST((LN(MonteCarlo!$B$6/MonteCarlo!$B$5)+(MonteCarlo!$B$9+(S$1^2)/2)*$A26)/(S$1*SQRT($A26)),TRUE)-MonteCarlo!$B$5*EXP(-MonteCarlo!$B$9*$A26)*_xlfn.NORM.S.DIST(((LN(MonteCarlo!$B$6/MonteCarlo!$B$5)+(MonteCarlo!$B$9+(S$1^2)/2)*$A26)/(S$1*SQRT($A26)))-(S$1*SQRT($A26)),TRUE),MonteCarlo!$B$5*EXP(-MonteCarlo!$B$9*$A26)*_xlfn.NORM.S.DIST(-(((LN(MonteCarlo!$B$6/MonteCarlo!$B$5)+(MonteCarlo!$B$9+(S$1^2)/2)*$A26)/(S$1*SQRT($A26)))-(S$1*SQRT($A26))),TRUE)-MonteCarlo!$B$6*_xlfn.NORM.S.DIST(-((LN(MonteCarlo!$B$6/MonteCarlo!$B$5)+(MonteCarlo!$B$9+(S$1^2)/2)*$A26)/(S$1*SQRT($A26))),TRUE)),"")</f>
        <v/>
      </c>
      <c r="T26" t="str">
        <f>IFERROR(IF(OR(MonteCarlo!$B$4="C",MonteCarlo!$B$4="c"),MonteCarlo!$B$6*_xlfn.NORM.S.DIST((LN(MonteCarlo!$B$6/MonteCarlo!$B$5)+(MonteCarlo!$B$9+(T$1^2)/2)*$A26)/(T$1*SQRT($A26)),TRUE)-MonteCarlo!$B$5*EXP(-MonteCarlo!$B$9*$A26)*_xlfn.NORM.S.DIST(((LN(MonteCarlo!$B$6/MonteCarlo!$B$5)+(MonteCarlo!$B$9+(T$1^2)/2)*$A26)/(T$1*SQRT($A26)))-(T$1*SQRT($A26)),TRUE),MonteCarlo!$B$5*EXP(-MonteCarlo!$B$9*$A26)*_xlfn.NORM.S.DIST(-(((LN(MonteCarlo!$B$6/MonteCarlo!$B$5)+(MonteCarlo!$B$9+(T$1^2)/2)*$A26)/(T$1*SQRT($A26)))-(T$1*SQRT($A26))),TRUE)-MonteCarlo!$B$6*_xlfn.NORM.S.DIST(-((LN(MonteCarlo!$B$6/MonteCarlo!$B$5)+(MonteCarlo!$B$9+(T$1^2)/2)*$A26)/(T$1*SQRT($A26))),TRUE)),"")</f>
        <v/>
      </c>
      <c r="U26" t="str">
        <f>IFERROR(IF(OR(MonteCarlo!$B$4="C",MonteCarlo!$B$4="c"),MonteCarlo!$B$6*_xlfn.NORM.S.DIST((LN(MonteCarlo!$B$6/MonteCarlo!$B$5)+(MonteCarlo!$B$9+(U$1^2)/2)*$A26)/(U$1*SQRT($A26)),TRUE)-MonteCarlo!$B$5*EXP(-MonteCarlo!$B$9*$A26)*_xlfn.NORM.S.DIST(((LN(MonteCarlo!$B$6/MonteCarlo!$B$5)+(MonteCarlo!$B$9+(U$1^2)/2)*$A26)/(U$1*SQRT($A26)))-(U$1*SQRT($A26)),TRUE),MonteCarlo!$B$5*EXP(-MonteCarlo!$B$9*$A26)*_xlfn.NORM.S.DIST(-(((LN(MonteCarlo!$B$6/MonteCarlo!$B$5)+(MonteCarlo!$B$9+(U$1^2)/2)*$A26)/(U$1*SQRT($A26)))-(U$1*SQRT($A26))),TRUE)-MonteCarlo!$B$6*_xlfn.NORM.S.DIST(-((LN(MonteCarlo!$B$6/MonteCarlo!$B$5)+(MonteCarlo!$B$9+(U$1^2)/2)*$A26)/(U$1*SQRT($A26))),TRUE)),"")</f>
        <v/>
      </c>
      <c r="V26" t="str">
        <f>IFERROR(IF(OR(MonteCarlo!$B$4="C",MonteCarlo!$B$4="c"),MonteCarlo!$B$6*_xlfn.NORM.S.DIST((LN(MonteCarlo!$B$6/MonteCarlo!$B$5)+(MonteCarlo!$B$9+(V$1^2)/2)*$A26)/(V$1*SQRT($A26)),TRUE)-MonteCarlo!$B$5*EXP(-MonteCarlo!$B$9*$A26)*_xlfn.NORM.S.DIST(((LN(MonteCarlo!$B$6/MonteCarlo!$B$5)+(MonteCarlo!$B$9+(V$1^2)/2)*$A26)/(V$1*SQRT($A26)))-(V$1*SQRT($A26)),TRUE),MonteCarlo!$B$5*EXP(-MonteCarlo!$B$9*$A26)*_xlfn.NORM.S.DIST(-(((LN(MonteCarlo!$B$6/MonteCarlo!$B$5)+(MonteCarlo!$B$9+(V$1^2)/2)*$A26)/(V$1*SQRT($A26)))-(V$1*SQRT($A26))),TRUE)-MonteCarlo!$B$6*_xlfn.NORM.S.DIST(-((LN(MonteCarlo!$B$6/MonteCarlo!$B$5)+(MonteCarlo!$B$9+(V$1^2)/2)*$A26)/(V$1*SQRT($A26))),TRUE)),"")</f>
        <v/>
      </c>
      <c r="W26" t="str">
        <f>IFERROR(IF(OR(MonteCarlo!$B$4="C",MonteCarlo!$B$4="c"),MonteCarlo!$B$6*_xlfn.NORM.S.DIST((LN(MonteCarlo!$B$6/MonteCarlo!$B$5)+(MonteCarlo!$B$9+(W$1^2)/2)*$A26)/(W$1*SQRT($A26)),TRUE)-MonteCarlo!$B$5*EXP(-MonteCarlo!$B$9*$A26)*_xlfn.NORM.S.DIST(((LN(MonteCarlo!$B$6/MonteCarlo!$B$5)+(MonteCarlo!$B$9+(W$1^2)/2)*$A26)/(W$1*SQRT($A26)))-(W$1*SQRT($A26)),TRUE),MonteCarlo!$B$5*EXP(-MonteCarlo!$B$9*$A26)*_xlfn.NORM.S.DIST(-(((LN(MonteCarlo!$B$6/MonteCarlo!$B$5)+(MonteCarlo!$B$9+(W$1^2)/2)*$A26)/(W$1*SQRT($A26)))-(W$1*SQRT($A26))),TRUE)-MonteCarlo!$B$6*_xlfn.NORM.S.DIST(-((LN(MonteCarlo!$B$6/MonteCarlo!$B$5)+(MonteCarlo!$B$9+(W$1^2)/2)*$A26)/(W$1*SQRT($A26))),TRUE)),"")</f>
        <v/>
      </c>
      <c r="X26" t="str">
        <f>IFERROR(IF(OR(MonteCarlo!$B$4="C",MonteCarlo!$B$4="c"),MonteCarlo!$B$6*_xlfn.NORM.S.DIST((LN(MonteCarlo!$B$6/MonteCarlo!$B$5)+(MonteCarlo!$B$9+(X$1^2)/2)*$A26)/(X$1*SQRT($A26)),TRUE)-MonteCarlo!$B$5*EXP(-MonteCarlo!$B$9*$A26)*_xlfn.NORM.S.DIST(((LN(MonteCarlo!$B$6/MonteCarlo!$B$5)+(MonteCarlo!$B$9+(X$1^2)/2)*$A26)/(X$1*SQRT($A26)))-(X$1*SQRT($A26)),TRUE),MonteCarlo!$B$5*EXP(-MonteCarlo!$B$9*$A26)*_xlfn.NORM.S.DIST(-(((LN(MonteCarlo!$B$6/MonteCarlo!$B$5)+(MonteCarlo!$B$9+(X$1^2)/2)*$A26)/(X$1*SQRT($A26)))-(X$1*SQRT($A26))),TRUE)-MonteCarlo!$B$6*_xlfn.NORM.S.DIST(-((LN(MonteCarlo!$B$6/MonteCarlo!$B$5)+(MonteCarlo!$B$9+(X$1^2)/2)*$A26)/(X$1*SQRT($A26))),TRUE)),"")</f>
        <v/>
      </c>
      <c r="Y26" t="str">
        <f>IFERROR(IF(OR(MonteCarlo!$B$4="C",MonteCarlo!$B$4="c"),MonteCarlo!$B$6*_xlfn.NORM.S.DIST((LN(MonteCarlo!$B$6/MonteCarlo!$B$5)+(MonteCarlo!$B$9+(Y$1^2)/2)*$A26)/(Y$1*SQRT($A26)),TRUE)-MonteCarlo!$B$5*EXP(-MonteCarlo!$B$9*$A26)*_xlfn.NORM.S.DIST(((LN(MonteCarlo!$B$6/MonteCarlo!$B$5)+(MonteCarlo!$B$9+(Y$1^2)/2)*$A26)/(Y$1*SQRT($A26)))-(Y$1*SQRT($A26)),TRUE),MonteCarlo!$B$5*EXP(-MonteCarlo!$B$9*$A26)*_xlfn.NORM.S.DIST(-(((LN(MonteCarlo!$B$6/MonteCarlo!$B$5)+(MonteCarlo!$B$9+(Y$1^2)/2)*$A26)/(Y$1*SQRT($A26)))-(Y$1*SQRT($A26))),TRUE)-MonteCarlo!$B$6*_xlfn.NORM.S.DIST(-((LN(MonteCarlo!$B$6/MonteCarlo!$B$5)+(MonteCarlo!$B$9+(Y$1^2)/2)*$A26)/(Y$1*SQRT($A26))),TRUE)),"")</f>
        <v/>
      </c>
      <c r="Z26" t="str">
        <f>IFERROR(IF(OR(MonteCarlo!$B$4="C",MonteCarlo!$B$4="c"),MonteCarlo!$B$6*_xlfn.NORM.S.DIST((LN(MonteCarlo!$B$6/MonteCarlo!$B$5)+(MonteCarlo!$B$9+(Z$1^2)/2)*$A26)/(Z$1*SQRT($A26)),TRUE)-MonteCarlo!$B$5*EXP(-MonteCarlo!$B$9*$A26)*_xlfn.NORM.S.DIST(((LN(MonteCarlo!$B$6/MonteCarlo!$B$5)+(MonteCarlo!$B$9+(Z$1^2)/2)*$A26)/(Z$1*SQRT($A26)))-(Z$1*SQRT($A26)),TRUE),MonteCarlo!$B$5*EXP(-MonteCarlo!$B$9*$A26)*_xlfn.NORM.S.DIST(-(((LN(MonteCarlo!$B$6/MonteCarlo!$B$5)+(MonteCarlo!$B$9+(Z$1^2)/2)*$A26)/(Z$1*SQRT($A26)))-(Z$1*SQRT($A26))),TRUE)-MonteCarlo!$B$6*_xlfn.NORM.S.DIST(-((LN(MonteCarlo!$B$6/MonteCarlo!$B$5)+(MonteCarlo!$B$9+(Z$1^2)/2)*$A26)/(Z$1*SQRT($A26))),TRUE)),"")</f>
        <v/>
      </c>
      <c r="AA26" t="str">
        <f>IFERROR(IF(OR(MonteCarlo!$B$4="C",MonteCarlo!$B$4="c"),MonteCarlo!$B$6*_xlfn.NORM.S.DIST((LN(MonteCarlo!$B$6/MonteCarlo!$B$5)+(MonteCarlo!$B$9+(AA$1^2)/2)*$A26)/(AA$1*SQRT($A26)),TRUE)-MonteCarlo!$B$5*EXP(-MonteCarlo!$B$9*$A26)*_xlfn.NORM.S.DIST(((LN(MonteCarlo!$B$6/MonteCarlo!$B$5)+(MonteCarlo!$B$9+(AA$1^2)/2)*$A26)/(AA$1*SQRT($A26)))-(AA$1*SQRT($A26)),TRUE),MonteCarlo!$B$5*EXP(-MonteCarlo!$B$9*$A26)*_xlfn.NORM.S.DIST(-(((LN(MonteCarlo!$B$6/MonteCarlo!$B$5)+(MonteCarlo!$B$9+(AA$1^2)/2)*$A26)/(AA$1*SQRT($A26)))-(AA$1*SQRT($A26))),TRUE)-MonteCarlo!$B$6*_xlfn.NORM.S.DIST(-((LN(MonteCarlo!$B$6/MonteCarlo!$B$5)+(MonteCarlo!$B$9+(AA$1^2)/2)*$A26)/(AA$1*SQRT($A26))),TRUE)),"")</f>
        <v/>
      </c>
      <c r="AB26" t="str">
        <f>IFERROR(IF(OR(MonteCarlo!$B$4="C",MonteCarlo!$B$4="c"),MonteCarlo!$B$6*_xlfn.NORM.S.DIST((LN(MonteCarlo!$B$6/MonteCarlo!$B$5)+(MonteCarlo!$B$9+(AB$1^2)/2)*$A26)/(AB$1*SQRT($A26)),TRUE)-MonteCarlo!$B$5*EXP(-MonteCarlo!$B$9*$A26)*_xlfn.NORM.S.DIST(((LN(MonteCarlo!$B$6/MonteCarlo!$B$5)+(MonteCarlo!$B$9+(AB$1^2)/2)*$A26)/(AB$1*SQRT($A26)))-(AB$1*SQRT($A26)),TRUE),MonteCarlo!$B$5*EXP(-MonteCarlo!$B$9*$A26)*_xlfn.NORM.S.DIST(-(((LN(MonteCarlo!$B$6/MonteCarlo!$B$5)+(MonteCarlo!$B$9+(AB$1^2)/2)*$A26)/(AB$1*SQRT($A26)))-(AB$1*SQRT($A26))),TRUE)-MonteCarlo!$B$6*_xlfn.NORM.S.DIST(-((LN(MonteCarlo!$B$6/MonteCarlo!$B$5)+(MonteCarlo!$B$9+(AB$1^2)/2)*$A26)/(AB$1*SQRT($A26))),TRUE)),"")</f>
        <v/>
      </c>
      <c r="AC26" t="str">
        <f>IFERROR(IF(OR(MonteCarlo!$B$4="C",MonteCarlo!$B$4="c"),MonteCarlo!$B$6*_xlfn.NORM.S.DIST((LN(MonteCarlo!$B$6/MonteCarlo!$B$5)+(MonteCarlo!$B$9+(AC$1^2)/2)*$A26)/(AC$1*SQRT($A26)),TRUE)-MonteCarlo!$B$5*EXP(-MonteCarlo!$B$9*$A26)*_xlfn.NORM.S.DIST(((LN(MonteCarlo!$B$6/MonteCarlo!$B$5)+(MonteCarlo!$B$9+(AC$1^2)/2)*$A26)/(AC$1*SQRT($A26)))-(AC$1*SQRT($A26)),TRUE),MonteCarlo!$B$5*EXP(-MonteCarlo!$B$9*$A26)*_xlfn.NORM.S.DIST(-(((LN(MonteCarlo!$B$6/MonteCarlo!$B$5)+(MonteCarlo!$B$9+(AC$1^2)/2)*$A26)/(AC$1*SQRT($A26)))-(AC$1*SQRT($A26))),TRUE)-MonteCarlo!$B$6*_xlfn.NORM.S.DIST(-((LN(MonteCarlo!$B$6/MonteCarlo!$B$5)+(MonteCarlo!$B$9+(AC$1^2)/2)*$A26)/(AC$1*SQRT($A26))),TRUE)),"")</f>
        <v/>
      </c>
      <c r="AD26" t="str">
        <f>IFERROR(IF(OR(MonteCarlo!$B$4="C",MonteCarlo!$B$4="c"),MonteCarlo!$B$6*_xlfn.NORM.S.DIST((LN(MonteCarlo!$B$6/MonteCarlo!$B$5)+(MonteCarlo!$B$9+(AD$1^2)/2)*$A26)/(AD$1*SQRT($A26)),TRUE)-MonteCarlo!$B$5*EXP(-MonteCarlo!$B$9*$A26)*_xlfn.NORM.S.DIST(((LN(MonteCarlo!$B$6/MonteCarlo!$B$5)+(MonteCarlo!$B$9+(AD$1^2)/2)*$A26)/(AD$1*SQRT($A26)))-(AD$1*SQRT($A26)),TRUE),MonteCarlo!$B$5*EXP(-MonteCarlo!$B$9*$A26)*_xlfn.NORM.S.DIST(-(((LN(MonteCarlo!$B$6/MonteCarlo!$B$5)+(MonteCarlo!$B$9+(AD$1^2)/2)*$A26)/(AD$1*SQRT($A26)))-(AD$1*SQRT($A26))),TRUE)-MonteCarlo!$B$6*_xlfn.NORM.S.DIST(-((LN(MonteCarlo!$B$6/MonteCarlo!$B$5)+(MonteCarlo!$B$9+(AD$1^2)/2)*$A26)/(AD$1*SQRT($A26))),TRUE)),"")</f>
        <v/>
      </c>
      <c r="AE26" t="str">
        <f>IFERROR(IF(OR(MonteCarlo!$B$4="C",MonteCarlo!$B$4="c"),MonteCarlo!$B$6*_xlfn.NORM.S.DIST((LN(MonteCarlo!$B$6/MonteCarlo!$B$5)+(MonteCarlo!$B$9+(AE$1^2)/2)*$A26)/(AE$1*SQRT($A26)),TRUE)-MonteCarlo!$B$5*EXP(-MonteCarlo!$B$9*$A26)*_xlfn.NORM.S.DIST(((LN(MonteCarlo!$B$6/MonteCarlo!$B$5)+(MonteCarlo!$B$9+(AE$1^2)/2)*$A26)/(AE$1*SQRT($A26)))-(AE$1*SQRT($A26)),TRUE),MonteCarlo!$B$5*EXP(-MonteCarlo!$B$9*$A26)*_xlfn.NORM.S.DIST(-(((LN(MonteCarlo!$B$6/MonteCarlo!$B$5)+(MonteCarlo!$B$9+(AE$1^2)/2)*$A26)/(AE$1*SQRT($A26)))-(AE$1*SQRT($A26))),TRUE)-MonteCarlo!$B$6*_xlfn.NORM.S.DIST(-((LN(MonteCarlo!$B$6/MonteCarlo!$B$5)+(MonteCarlo!$B$9+(AE$1^2)/2)*$A26)/(AE$1*SQRT($A26))),TRUE)),"")</f>
        <v/>
      </c>
      <c r="AF26" t="str">
        <f>IFERROR(IF(OR(MonteCarlo!$B$4="C",MonteCarlo!$B$4="c"),MonteCarlo!$B$6*_xlfn.NORM.S.DIST((LN(MonteCarlo!$B$6/MonteCarlo!$B$5)+(MonteCarlo!$B$9+(AF$1^2)/2)*$A26)/(AF$1*SQRT($A26)),TRUE)-MonteCarlo!$B$5*EXP(-MonteCarlo!$B$9*$A26)*_xlfn.NORM.S.DIST(((LN(MonteCarlo!$B$6/MonteCarlo!$B$5)+(MonteCarlo!$B$9+(AF$1^2)/2)*$A26)/(AF$1*SQRT($A26)))-(AF$1*SQRT($A26)),TRUE),MonteCarlo!$B$5*EXP(-MonteCarlo!$B$9*$A26)*_xlfn.NORM.S.DIST(-(((LN(MonteCarlo!$B$6/MonteCarlo!$B$5)+(MonteCarlo!$B$9+(AF$1^2)/2)*$A26)/(AF$1*SQRT($A26)))-(AF$1*SQRT($A26))),TRUE)-MonteCarlo!$B$6*_xlfn.NORM.S.DIST(-((LN(MonteCarlo!$B$6/MonteCarlo!$B$5)+(MonteCarlo!$B$9+(AF$1^2)/2)*$A26)/(AF$1*SQRT($A26))),TRUE)),"")</f>
        <v/>
      </c>
    </row>
    <row r="27" spans="2:32" x14ac:dyDescent="0.25">
      <c r="B27" t="str">
        <f>IFERROR(IF(OR(MonteCarlo!$B$4="C",MonteCarlo!$B$4="c"),MonteCarlo!$B$6*_xlfn.NORM.S.DIST((LN(MonteCarlo!$B$6/MonteCarlo!$B$5)+(MonteCarlo!$B$9+(B$1^2)/2)*$A27)/(B$1*SQRT($A27)),TRUE)-MonteCarlo!$B$5*EXP(-MonteCarlo!$B$9*$A27)*_xlfn.NORM.S.DIST(((LN(MonteCarlo!$B$6/MonteCarlo!$B$5)+(MonteCarlo!$B$9+(B$1^2)/2)*$A27)/(B$1*SQRT($A27)))-(B$1*SQRT($A27)),TRUE),MonteCarlo!$B$5*EXP(-MonteCarlo!$B$9*$A27)*_xlfn.NORM.S.DIST(-(((LN(MonteCarlo!$B$6/MonteCarlo!$B$5)+(MonteCarlo!$B$9+(B$1^2)/2)*$A27)/(B$1*SQRT($A27)))-(B$1*SQRT($A27))),TRUE)-MonteCarlo!$B$6*_xlfn.NORM.S.DIST(-((LN(MonteCarlo!$B$6/MonteCarlo!$B$5)+(MonteCarlo!$B$9+(B$1^2)/2)*$A27)/(B$1*SQRT($A27))),TRUE)),"")</f>
        <v/>
      </c>
      <c r="C27" t="str">
        <f>IFERROR(IF(OR(MonteCarlo!$B$4="C",MonteCarlo!$B$4="c"),MonteCarlo!$B$6*_xlfn.NORM.S.DIST((LN(MonteCarlo!$B$6/MonteCarlo!$B$5)+(MonteCarlo!$B$9+(C$1^2)/2)*$A27)/(C$1*SQRT($A27)),TRUE)-MonteCarlo!$B$5*EXP(-MonteCarlo!$B$9*$A27)*_xlfn.NORM.S.DIST(((LN(MonteCarlo!$B$6/MonteCarlo!$B$5)+(MonteCarlo!$B$9+(C$1^2)/2)*$A27)/(C$1*SQRT($A27)))-(C$1*SQRT($A27)),TRUE),MonteCarlo!$B$5*EXP(-MonteCarlo!$B$9*$A27)*_xlfn.NORM.S.DIST(-(((LN(MonteCarlo!$B$6/MonteCarlo!$B$5)+(MonteCarlo!$B$9+(C$1^2)/2)*$A27)/(C$1*SQRT($A27)))-(C$1*SQRT($A27))),TRUE)-MonteCarlo!$B$6*_xlfn.NORM.S.DIST(-((LN(MonteCarlo!$B$6/MonteCarlo!$B$5)+(MonteCarlo!$B$9+(C$1^2)/2)*$A27)/(C$1*SQRT($A27))),TRUE)),"")</f>
        <v/>
      </c>
      <c r="D27" t="str">
        <f>IFERROR(IF(OR(MonteCarlo!$B$4="C",MonteCarlo!$B$4="c"),MonteCarlo!$B$6*_xlfn.NORM.S.DIST((LN(MonteCarlo!$B$6/MonteCarlo!$B$5)+(MonteCarlo!$B$9+(D$1^2)/2)*$A27)/(D$1*SQRT($A27)),TRUE)-MonteCarlo!$B$5*EXP(-MonteCarlo!$B$9*$A27)*_xlfn.NORM.S.DIST(((LN(MonteCarlo!$B$6/MonteCarlo!$B$5)+(MonteCarlo!$B$9+(D$1^2)/2)*$A27)/(D$1*SQRT($A27)))-(D$1*SQRT($A27)),TRUE),MonteCarlo!$B$5*EXP(-MonteCarlo!$B$9*$A27)*_xlfn.NORM.S.DIST(-(((LN(MonteCarlo!$B$6/MonteCarlo!$B$5)+(MonteCarlo!$B$9+(D$1^2)/2)*$A27)/(D$1*SQRT($A27)))-(D$1*SQRT($A27))),TRUE)-MonteCarlo!$B$6*_xlfn.NORM.S.DIST(-((LN(MonteCarlo!$B$6/MonteCarlo!$B$5)+(MonteCarlo!$B$9+(D$1^2)/2)*$A27)/(D$1*SQRT($A27))),TRUE)),"")</f>
        <v/>
      </c>
      <c r="E27" t="str">
        <f>IFERROR(IF(OR(MonteCarlo!$B$4="C",MonteCarlo!$B$4="c"),MonteCarlo!$B$6*_xlfn.NORM.S.DIST((LN(MonteCarlo!$B$6/MonteCarlo!$B$5)+(MonteCarlo!$B$9+(E$1^2)/2)*$A27)/(E$1*SQRT($A27)),TRUE)-MonteCarlo!$B$5*EXP(-MonteCarlo!$B$9*$A27)*_xlfn.NORM.S.DIST(((LN(MonteCarlo!$B$6/MonteCarlo!$B$5)+(MonteCarlo!$B$9+(E$1^2)/2)*$A27)/(E$1*SQRT($A27)))-(E$1*SQRT($A27)),TRUE),MonteCarlo!$B$5*EXP(-MonteCarlo!$B$9*$A27)*_xlfn.NORM.S.DIST(-(((LN(MonteCarlo!$B$6/MonteCarlo!$B$5)+(MonteCarlo!$B$9+(E$1^2)/2)*$A27)/(E$1*SQRT($A27)))-(E$1*SQRT($A27))),TRUE)-MonteCarlo!$B$6*_xlfn.NORM.S.DIST(-((LN(MonteCarlo!$B$6/MonteCarlo!$B$5)+(MonteCarlo!$B$9+(E$1^2)/2)*$A27)/(E$1*SQRT($A27))),TRUE)),"")</f>
        <v/>
      </c>
      <c r="F27" t="str">
        <f>IFERROR(IF(OR(MonteCarlo!$B$4="C",MonteCarlo!$B$4="c"),MonteCarlo!$B$6*_xlfn.NORM.S.DIST((LN(MonteCarlo!$B$6/MonteCarlo!$B$5)+(MonteCarlo!$B$9+(F$1^2)/2)*$A27)/(F$1*SQRT($A27)),TRUE)-MonteCarlo!$B$5*EXP(-MonteCarlo!$B$9*$A27)*_xlfn.NORM.S.DIST(((LN(MonteCarlo!$B$6/MonteCarlo!$B$5)+(MonteCarlo!$B$9+(F$1^2)/2)*$A27)/(F$1*SQRT($A27)))-(F$1*SQRT($A27)),TRUE),MonteCarlo!$B$5*EXP(-MonteCarlo!$B$9*$A27)*_xlfn.NORM.S.DIST(-(((LN(MonteCarlo!$B$6/MonteCarlo!$B$5)+(MonteCarlo!$B$9+(F$1^2)/2)*$A27)/(F$1*SQRT($A27)))-(F$1*SQRT($A27))),TRUE)-MonteCarlo!$B$6*_xlfn.NORM.S.DIST(-((LN(MonteCarlo!$B$6/MonteCarlo!$B$5)+(MonteCarlo!$B$9+(F$1^2)/2)*$A27)/(F$1*SQRT($A27))),TRUE)),"")</f>
        <v/>
      </c>
      <c r="G27" t="str">
        <f>IFERROR(IF(OR(MonteCarlo!$B$4="C",MonteCarlo!$B$4="c"),MonteCarlo!$B$6*_xlfn.NORM.S.DIST((LN(MonteCarlo!$B$6/MonteCarlo!$B$5)+(MonteCarlo!$B$9+(G$1^2)/2)*$A27)/(G$1*SQRT($A27)),TRUE)-MonteCarlo!$B$5*EXP(-MonteCarlo!$B$9*$A27)*_xlfn.NORM.S.DIST(((LN(MonteCarlo!$B$6/MonteCarlo!$B$5)+(MonteCarlo!$B$9+(G$1^2)/2)*$A27)/(G$1*SQRT($A27)))-(G$1*SQRT($A27)),TRUE),MonteCarlo!$B$5*EXP(-MonteCarlo!$B$9*$A27)*_xlfn.NORM.S.DIST(-(((LN(MonteCarlo!$B$6/MonteCarlo!$B$5)+(MonteCarlo!$B$9+(G$1^2)/2)*$A27)/(G$1*SQRT($A27)))-(G$1*SQRT($A27))),TRUE)-MonteCarlo!$B$6*_xlfn.NORM.S.DIST(-((LN(MonteCarlo!$B$6/MonteCarlo!$B$5)+(MonteCarlo!$B$9+(G$1^2)/2)*$A27)/(G$1*SQRT($A27))),TRUE)),"")</f>
        <v/>
      </c>
      <c r="H27" t="str">
        <f>IFERROR(IF(OR(MonteCarlo!$B$4="C",MonteCarlo!$B$4="c"),MonteCarlo!$B$6*_xlfn.NORM.S.DIST((LN(MonteCarlo!$B$6/MonteCarlo!$B$5)+(MonteCarlo!$B$9+(H$1^2)/2)*$A27)/(H$1*SQRT($A27)),TRUE)-MonteCarlo!$B$5*EXP(-MonteCarlo!$B$9*$A27)*_xlfn.NORM.S.DIST(((LN(MonteCarlo!$B$6/MonteCarlo!$B$5)+(MonteCarlo!$B$9+(H$1^2)/2)*$A27)/(H$1*SQRT($A27)))-(H$1*SQRT($A27)),TRUE),MonteCarlo!$B$5*EXP(-MonteCarlo!$B$9*$A27)*_xlfn.NORM.S.DIST(-(((LN(MonteCarlo!$B$6/MonteCarlo!$B$5)+(MonteCarlo!$B$9+(H$1^2)/2)*$A27)/(H$1*SQRT($A27)))-(H$1*SQRT($A27))),TRUE)-MonteCarlo!$B$6*_xlfn.NORM.S.DIST(-((LN(MonteCarlo!$B$6/MonteCarlo!$B$5)+(MonteCarlo!$B$9+(H$1^2)/2)*$A27)/(H$1*SQRT($A27))),TRUE)),"")</f>
        <v/>
      </c>
      <c r="I27" t="str">
        <f>IFERROR(IF(OR(MonteCarlo!$B$4="C",MonteCarlo!$B$4="c"),MonteCarlo!$B$6*_xlfn.NORM.S.DIST((LN(MonteCarlo!$B$6/MonteCarlo!$B$5)+(MonteCarlo!$B$9+(I$1^2)/2)*$A27)/(I$1*SQRT($A27)),TRUE)-MonteCarlo!$B$5*EXP(-MonteCarlo!$B$9*$A27)*_xlfn.NORM.S.DIST(((LN(MonteCarlo!$B$6/MonteCarlo!$B$5)+(MonteCarlo!$B$9+(I$1^2)/2)*$A27)/(I$1*SQRT($A27)))-(I$1*SQRT($A27)),TRUE),MonteCarlo!$B$5*EXP(-MonteCarlo!$B$9*$A27)*_xlfn.NORM.S.DIST(-(((LN(MonteCarlo!$B$6/MonteCarlo!$B$5)+(MonteCarlo!$B$9+(I$1^2)/2)*$A27)/(I$1*SQRT($A27)))-(I$1*SQRT($A27))),TRUE)-MonteCarlo!$B$6*_xlfn.NORM.S.DIST(-((LN(MonteCarlo!$B$6/MonteCarlo!$B$5)+(MonteCarlo!$B$9+(I$1^2)/2)*$A27)/(I$1*SQRT($A27))),TRUE)),"")</f>
        <v/>
      </c>
      <c r="J27" t="str">
        <f>IFERROR(IF(OR(MonteCarlo!$B$4="C",MonteCarlo!$B$4="c"),MonteCarlo!$B$6*_xlfn.NORM.S.DIST((LN(MonteCarlo!$B$6/MonteCarlo!$B$5)+(MonteCarlo!$B$9+(J$1^2)/2)*$A27)/(J$1*SQRT($A27)),TRUE)-MonteCarlo!$B$5*EXP(-MonteCarlo!$B$9*$A27)*_xlfn.NORM.S.DIST(((LN(MonteCarlo!$B$6/MonteCarlo!$B$5)+(MonteCarlo!$B$9+(J$1^2)/2)*$A27)/(J$1*SQRT($A27)))-(J$1*SQRT($A27)),TRUE),MonteCarlo!$B$5*EXP(-MonteCarlo!$B$9*$A27)*_xlfn.NORM.S.DIST(-(((LN(MonteCarlo!$B$6/MonteCarlo!$B$5)+(MonteCarlo!$B$9+(J$1^2)/2)*$A27)/(J$1*SQRT($A27)))-(J$1*SQRT($A27))),TRUE)-MonteCarlo!$B$6*_xlfn.NORM.S.DIST(-((LN(MonteCarlo!$B$6/MonteCarlo!$B$5)+(MonteCarlo!$B$9+(J$1^2)/2)*$A27)/(J$1*SQRT($A27))),TRUE)),"")</f>
        <v/>
      </c>
      <c r="K27" t="str">
        <f>IFERROR(IF(OR(MonteCarlo!$B$4="C",MonteCarlo!$B$4="c"),MonteCarlo!$B$6*_xlfn.NORM.S.DIST((LN(MonteCarlo!$B$6/MonteCarlo!$B$5)+(MonteCarlo!$B$9+(K$1^2)/2)*$A27)/(K$1*SQRT($A27)),TRUE)-MonteCarlo!$B$5*EXP(-MonteCarlo!$B$9*$A27)*_xlfn.NORM.S.DIST(((LN(MonteCarlo!$B$6/MonteCarlo!$B$5)+(MonteCarlo!$B$9+(K$1^2)/2)*$A27)/(K$1*SQRT($A27)))-(K$1*SQRT($A27)),TRUE),MonteCarlo!$B$5*EXP(-MonteCarlo!$B$9*$A27)*_xlfn.NORM.S.DIST(-(((LN(MonteCarlo!$B$6/MonteCarlo!$B$5)+(MonteCarlo!$B$9+(K$1^2)/2)*$A27)/(K$1*SQRT($A27)))-(K$1*SQRT($A27))),TRUE)-MonteCarlo!$B$6*_xlfn.NORM.S.DIST(-((LN(MonteCarlo!$B$6/MonteCarlo!$B$5)+(MonteCarlo!$B$9+(K$1^2)/2)*$A27)/(K$1*SQRT($A27))),TRUE)),"")</f>
        <v/>
      </c>
      <c r="L27" t="str">
        <f>IFERROR(IF(OR(MonteCarlo!$B$4="C",MonteCarlo!$B$4="c"),MonteCarlo!$B$6*_xlfn.NORM.S.DIST((LN(MonteCarlo!$B$6/MonteCarlo!$B$5)+(MonteCarlo!$B$9+(L$1^2)/2)*$A27)/(L$1*SQRT($A27)),TRUE)-MonteCarlo!$B$5*EXP(-MonteCarlo!$B$9*$A27)*_xlfn.NORM.S.DIST(((LN(MonteCarlo!$B$6/MonteCarlo!$B$5)+(MonteCarlo!$B$9+(L$1^2)/2)*$A27)/(L$1*SQRT($A27)))-(L$1*SQRT($A27)),TRUE),MonteCarlo!$B$5*EXP(-MonteCarlo!$B$9*$A27)*_xlfn.NORM.S.DIST(-(((LN(MonteCarlo!$B$6/MonteCarlo!$B$5)+(MonteCarlo!$B$9+(L$1^2)/2)*$A27)/(L$1*SQRT($A27)))-(L$1*SQRT($A27))),TRUE)-MonteCarlo!$B$6*_xlfn.NORM.S.DIST(-((LN(MonteCarlo!$B$6/MonteCarlo!$B$5)+(MonteCarlo!$B$9+(L$1^2)/2)*$A27)/(L$1*SQRT($A27))),TRUE)),"")</f>
        <v/>
      </c>
      <c r="M27" t="str">
        <f>IFERROR(IF(OR(MonteCarlo!$B$4="C",MonteCarlo!$B$4="c"),MonteCarlo!$B$6*_xlfn.NORM.S.DIST((LN(MonteCarlo!$B$6/MonteCarlo!$B$5)+(MonteCarlo!$B$9+(M$1^2)/2)*$A27)/(M$1*SQRT($A27)),TRUE)-MonteCarlo!$B$5*EXP(-MonteCarlo!$B$9*$A27)*_xlfn.NORM.S.DIST(((LN(MonteCarlo!$B$6/MonteCarlo!$B$5)+(MonteCarlo!$B$9+(M$1^2)/2)*$A27)/(M$1*SQRT($A27)))-(M$1*SQRT($A27)),TRUE),MonteCarlo!$B$5*EXP(-MonteCarlo!$B$9*$A27)*_xlfn.NORM.S.DIST(-(((LN(MonteCarlo!$B$6/MonteCarlo!$B$5)+(MonteCarlo!$B$9+(M$1^2)/2)*$A27)/(M$1*SQRT($A27)))-(M$1*SQRT($A27))),TRUE)-MonteCarlo!$B$6*_xlfn.NORM.S.DIST(-((LN(MonteCarlo!$B$6/MonteCarlo!$B$5)+(MonteCarlo!$B$9+(M$1^2)/2)*$A27)/(M$1*SQRT($A27))),TRUE)),"")</f>
        <v/>
      </c>
      <c r="N27" t="str">
        <f>IFERROR(IF(OR(MonteCarlo!$B$4="C",MonteCarlo!$B$4="c"),MonteCarlo!$B$6*_xlfn.NORM.S.DIST((LN(MonteCarlo!$B$6/MonteCarlo!$B$5)+(MonteCarlo!$B$9+(N$1^2)/2)*$A27)/(N$1*SQRT($A27)),TRUE)-MonteCarlo!$B$5*EXP(-MonteCarlo!$B$9*$A27)*_xlfn.NORM.S.DIST(((LN(MonteCarlo!$B$6/MonteCarlo!$B$5)+(MonteCarlo!$B$9+(N$1^2)/2)*$A27)/(N$1*SQRT($A27)))-(N$1*SQRT($A27)),TRUE),MonteCarlo!$B$5*EXP(-MonteCarlo!$B$9*$A27)*_xlfn.NORM.S.DIST(-(((LN(MonteCarlo!$B$6/MonteCarlo!$B$5)+(MonteCarlo!$B$9+(N$1^2)/2)*$A27)/(N$1*SQRT($A27)))-(N$1*SQRT($A27))),TRUE)-MonteCarlo!$B$6*_xlfn.NORM.S.DIST(-((LN(MonteCarlo!$B$6/MonteCarlo!$B$5)+(MonteCarlo!$B$9+(N$1^2)/2)*$A27)/(N$1*SQRT($A27))),TRUE)),"")</f>
        <v/>
      </c>
      <c r="O27" t="str">
        <f>IFERROR(IF(OR(MonteCarlo!$B$4="C",MonteCarlo!$B$4="c"),MonteCarlo!$B$6*_xlfn.NORM.S.DIST((LN(MonteCarlo!$B$6/MonteCarlo!$B$5)+(MonteCarlo!$B$9+(O$1^2)/2)*$A27)/(O$1*SQRT($A27)),TRUE)-MonteCarlo!$B$5*EXP(-MonteCarlo!$B$9*$A27)*_xlfn.NORM.S.DIST(((LN(MonteCarlo!$B$6/MonteCarlo!$B$5)+(MonteCarlo!$B$9+(O$1^2)/2)*$A27)/(O$1*SQRT($A27)))-(O$1*SQRT($A27)),TRUE),MonteCarlo!$B$5*EXP(-MonteCarlo!$B$9*$A27)*_xlfn.NORM.S.DIST(-(((LN(MonteCarlo!$B$6/MonteCarlo!$B$5)+(MonteCarlo!$B$9+(O$1^2)/2)*$A27)/(O$1*SQRT($A27)))-(O$1*SQRT($A27))),TRUE)-MonteCarlo!$B$6*_xlfn.NORM.S.DIST(-((LN(MonteCarlo!$B$6/MonteCarlo!$B$5)+(MonteCarlo!$B$9+(O$1^2)/2)*$A27)/(O$1*SQRT($A27))),TRUE)),"")</f>
        <v/>
      </c>
      <c r="P27" t="str">
        <f>IFERROR(IF(OR(MonteCarlo!$B$4="C",MonteCarlo!$B$4="c"),MonteCarlo!$B$6*_xlfn.NORM.S.DIST((LN(MonteCarlo!$B$6/MonteCarlo!$B$5)+(MonteCarlo!$B$9+(P$1^2)/2)*$A27)/(P$1*SQRT($A27)),TRUE)-MonteCarlo!$B$5*EXP(-MonteCarlo!$B$9*$A27)*_xlfn.NORM.S.DIST(((LN(MonteCarlo!$B$6/MonteCarlo!$B$5)+(MonteCarlo!$B$9+(P$1^2)/2)*$A27)/(P$1*SQRT($A27)))-(P$1*SQRT($A27)),TRUE),MonteCarlo!$B$5*EXP(-MonteCarlo!$B$9*$A27)*_xlfn.NORM.S.DIST(-(((LN(MonteCarlo!$B$6/MonteCarlo!$B$5)+(MonteCarlo!$B$9+(P$1^2)/2)*$A27)/(P$1*SQRT($A27)))-(P$1*SQRT($A27))),TRUE)-MonteCarlo!$B$6*_xlfn.NORM.S.DIST(-((LN(MonteCarlo!$B$6/MonteCarlo!$B$5)+(MonteCarlo!$B$9+(P$1^2)/2)*$A27)/(P$1*SQRT($A27))),TRUE)),"")</f>
        <v/>
      </c>
      <c r="Q27" t="str">
        <f>IFERROR(IF(OR(MonteCarlo!$B$4="C",MonteCarlo!$B$4="c"),MonteCarlo!$B$6*_xlfn.NORM.S.DIST((LN(MonteCarlo!$B$6/MonteCarlo!$B$5)+(MonteCarlo!$B$9+(Q$1^2)/2)*$A27)/(Q$1*SQRT($A27)),TRUE)-MonteCarlo!$B$5*EXP(-MonteCarlo!$B$9*$A27)*_xlfn.NORM.S.DIST(((LN(MonteCarlo!$B$6/MonteCarlo!$B$5)+(MonteCarlo!$B$9+(Q$1^2)/2)*$A27)/(Q$1*SQRT($A27)))-(Q$1*SQRT($A27)),TRUE),MonteCarlo!$B$5*EXP(-MonteCarlo!$B$9*$A27)*_xlfn.NORM.S.DIST(-(((LN(MonteCarlo!$B$6/MonteCarlo!$B$5)+(MonteCarlo!$B$9+(Q$1^2)/2)*$A27)/(Q$1*SQRT($A27)))-(Q$1*SQRT($A27))),TRUE)-MonteCarlo!$B$6*_xlfn.NORM.S.DIST(-((LN(MonteCarlo!$B$6/MonteCarlo!$B$5)+(MonteCarlo!$B$9+(Q$1^2)/2)*$A27)/(Q$1*SQRT($A27))),TRUE)),"")</f>
        <v/>
      </c>
      <c r="R27" t="str">
        <f>IFERROR(IF(OR(MonteCarlo!$B$4="C",MonteCarlo!$B$4="c"),MonteCarlo!$B$6*_xlfn.NORM.S.DIST((LN(MonteCarlo!$B$6/MonteCarlo!$B$5)+(MonteCarlo!$B$9+(R$1^2)/2)*$A27)/(R$1*SQRT($A27)),TRUE)-MonteCarlo!$B$5*EXP(-MonteCarlo!$B$9*$A27)*_xlfn.NORM.S.DIST(((LN(MonteCarlo!$B$6/MonteCarlo!$B$5)+(MonteCarlo!$B$9+(R$1^2)/2)*$A27)/(R$1*SQRT($A27)))-(R$1*SQRT($A27)),TRUE),MonteCarlo!$B$5*EXP(-MonteCarlo!$B$9*$A27)*_xlfn.NORM.S.DIST(-(((LN(MonteCarlo!$B$6/MonteCarlo!$B$5)+(MonteCarlo!$B$9+(R$1^2)/2)*$A27)/(R$1*SQRT($A27)))-(R$1*SQRT($A27))),TRUE)-MonteCarlo!$B$6*_xlfn.NORM.S.DIST(-((LN(MonteCarlo!$B$6/MonteCarlo!$B$5)+(MonteCarlo!$B$9+(R$1^2)/2)*$A27)/(R$1*SQRT($A27))),TRUE)),"")</f>
        <v/>
      </c>
      <c r="S27" t="str">
        <f>IFERROR(IF(OR(MonteCarlo!$B$4="C",MonteCarlo!$B$4="c"),MonteCarlo!$B$6*_xlfn.NORM.S.DIST((LN(MonteCarlo!$B$6/MonteCarlo!$B$5)+(MonteCarlo!$B$9+(S$1^2)/2)*$A27)/(S$1*SQRT($A27)),TRUE)-MonteCarlo!$B$5*EXP(-MonteCarlo!$B$9*$A27)*_xlfn.NORM.S.DIST(((LN(MonteCarlo!$B$6/MonteCarlo!$B$5)+(MonteCarlo!$B$9+(S$1^2)/2)*$A27)/(S$1*SQRT($A27)))-(S$1*SQRT($A27)),TRUE),MonteCarlo!$B$5*EXP(-MonteCarlo!$B$9*$A27)*_xlfn.NORM.S.DIST(-(((LN(MonteCarlo!$B$6/MonteCarlo!$B$5)+(MonteCarlo!$B$9+(S$1^2)/2)*$A27)/(S$1*SQRT($A27)))-(S$1*SQRT($A27))),TRUE)-MonteCarlo!$B$6*_xlfn.NORM.S.DIST(-((LN(MonteCarlo!$B$6/MonteCarlo!$B$5)+(MonteCarlo!$B$9+(S$1^2)/2)*$A27)/(S$1*SQRT($A27))),TRUE)),"")</f>
        <v/>
      </c>
      <c r="T27" t="str">
        <f>IFERROR(IF(OR(MonteCarlo!$B$4="C",MonteCarlo!$B$4="c"),MonteCarlo!$B$6*_xlfn.NORM.S.DIST((LN(MonteCarlo!$B$6/MonteCarlo!$B$5)+(MonteCarlo!$B$9+(T$1^2)/2)*$A27)/(T$1*SQRT($A27)),TRUE)-MonteCarlo!$B$5*EXP(-MonteCarlo!$B$9*$A27)*_xlfn.NORM.S.DIST(((LN(MonteCarlo!$B$6/MonteCarlo!$B$5)+(MonteCarlo!$B$9+(T$1^2)/2)*$A27)/(T$1*SQRT($A27)))-(T$1*SQRT($A27)),TRUE),MonteCarlo!$B$5*EXP(-MonteCarlo!$B$9*$A27)*_xlfn.NORM.S.DIST(-(((LN(MonteCarlo!$B$6/MonteCarlo!$B$5)+(MonteCarlo!$B$9+(T$1^2)/2)*$A27)/(T$1*SQRT($A27)))-(T$1*SQRT($A27))),TRUE)-MonteCarlo!$B$6*_xlfn.NORM.S.DIST(-((LN(MonteCarlo!$B$6/MonteCarlo!$B$5)+(MonteCarlo!$B$9+(T$1^2)/2)*$A27)/(T$1*SQRT($A27))),TRUE)),"")</f>
        <v/>
      </c>
      <c r="U27" t="str">
        <f>IFERROR(IF(OR(MonteCarlo!$B$4="C",MonteCarlo!$B$4="c"),MonteCarlo!$B$6*_xlfn.NORM.S.DIST((LN(MonteCarlo!$B$6/MonteCarlo!$B$5)+(MonteCarlo!$B$9+(U$1^2)/2)*$A27)/(U$1*SQRT($A27)),TRUE)-MonteCarlo!$B$5*EXP(-MonteCarlo!$B$9*$A27)*_xlfn.NORM.S.DIST(((LN(MonteCarlo!$B$6/MonteCarlo!$B$5)+(MonteCarlo!$B$9+(U$1^2)/2)*$A27)/(U$1*SQRT($A27)))-(U$1*SQRT($A27)),TRUE),MonteCarlo!$B$5*EXP(-MonteCarlo!$B$9*$A27)*_xlfn.NORM.S.DIST(-(((LN(MonteCarlo!$B$6/MonteCarlo!$B$5)+(MonteCarlo!$B$9+(U$1^2)/2)*$A27)/(U$1*SQRT($A27)))-(U$1*SQRT($A27))),TRUE)-MonteCarlo!$B$6*_xlfn.NORM.S.DIST(-((LN(MonteCarlo!$B$6/MonteCarlo!$B$5)+(MonteCarlo!$B$9+(U$1^2)/2)*$A27)/(U$1*SQRT($A27))),TRUE)),"")</f>
        <v/>
      </c>
      <c r="V27" t="str">
        <f>IFERROR(IF(OR(MonteCarlo!$B$4="C",MonteCarlo!$B$4="c"),MonteCarlo!$B$6*_xlfn.NORM.S.DIST((LN(MonteCarlo!$B$6/MonteCarlo!$B$5)+(MonteCarlo!$B$9+(V$1^2)/2)*$A27)/(V$1*SQRT($A27)),TRUE)-MonteCarlo!$B$5*EXP(-MonteCarlo!$B$9*$A27)*_xlfn.NORM.S.DIST(((LN(MonteCarlo!$B$6/MonteCarlo!$B$5)+(MonteCarlo!$B$9+(V$1^2)/2)*$A27)/(V$1*SQRT($A27)))-(V$1*SQRT($A27)),TRUE),MonteCarlo!$B$5*EXP(-MonteCarlo!$B$9*$A27)*_xlfn.NORM.S.DIST(-(((LN(MonteCarlo!$B$6/MonteCarlo!$B$5)+(MonteCarlo!$B$9+(V$1^2)/2)*$A27)/(V$1*SQRT($A27)))-(V$1*SQRT($A27))),TRUE)-MonteCarlo!$B$6*_xlfn.NORM.S.DIST(-((LN(MonteCarlo!$B$6/MonteCarlo!$B$5)+(MonteCarlo!$B$9+(V$1^2)/2)*$A27)/(V$1*SQRT($A27))),TRUE)),"")</f>
        <v/>
      </c>
      <c r="W27" t="str">
        <f>IFERROR(IF(OR(MonteCarlo!$B$4="C",MonteCarlo!$B$4="c"),MonteCarlo!$B$6*_xlfn.NORM.S.DIST((LN(MonteCarlo!$B$6/MonteCarlo!$B$5)+(MonteCarlo!$B$9+(W$1^2)/2)*$A27)/(W$1*SQRT($A27)),TRUE)-MonteCarlo!$B$5*EXP(-MonteCarlo!$B$9*$A27)*_xlfn.NORM.S.DIST(((LN(MonteCarlo!$B$6/MonteCarlo!$B$5)+(MonteCarlo!$B$9+(W$1^2)/2)*$A27)/(W$1*SQRT($A27)))-(W$1*SQRT($A27)),TRUE),MonteCarlo!$B$5*EXP(-MonteCarlo!$B$9*$A27)*_xlfn.NORM.S.DIST(-(((LN(MonteCarlo!$B$6/MonteCarlo!$B$5)+(MonteCarlo!$B$9+(W$1^2)/2)*$A27)/(W$1*SQRT($A27)))-(W$1*SQRT($A27))),TRUE)-MonteCarlo!$B$6*_xlfn.NORM.S.DIST(-((LN(MonteCarlo!$B$6/MonteCarlo!$B$5)+(MonteCarlo!$B$9+(W$1^2)/2)*$A27)/(W$1*SQRT($A27))),TRUE)),"")</f>
        <v/>
      </c>
      <c r="X27" t="str">
        <f>IFERROR(IF(OR(MonteCarlo!$B$4="C",MonteCarlo!$B$4="c"),MonteCarlo!$B$6*_xlfn.NORM.S.DIST((LN(MonteCarlo!$B$6/MonteCarlo!$B$5)+(MonteCarlo!$B$9+(X$1^2)/2)*$A27)/(X$1*SQRT($A27)),TRUE)-MonteCarlo!$B$5*EXP(-MonteCarlo!$B$9*$A27)*_xlfn.NORM.S.DIST(((LN(MonteCarlo!$B$6/MonteCarlo!$B$5)+(MonteCarlo!$B$9+(X$1^2)/2)*$A27)/(X$1*SQRT($A27)))-(X$1*SQRT($A27)),TRUE),MonteCarlo!$B$5*EXP(-MonteCarlo!$B$9*$A27)*_xlfn.NORM.S.DIST(-(((LN(MonteCarlo!$B$6/MonteCarlo!$B$5)+(MonteCarlo!$B$9+(X$1^2)/2)*$A27)/(X$1*SQRT($A27)))-(X$1*SQRT($A27))),TRUE)-MonteCarlo!$B$6*_xlfn.NORM.S.DIST(-((LN(MonteCarlo!$B$6/MonteCarlo!$B$5)+(MonteCarlo!$B$9+(X$1^2)/2)*$A27)/(X$1*SQRT($A27))),TRUE)),"")</f>
        <v/>
      </c>
      <c r="Y27" t="str">
        <f>IFERROR(IF(OR(MonteCarlo!$B$4="C",MonteCarlo!$B$4="c"),MonteCarlo!$B$6*_xlfn.NORM.S.DIST((LN(MonteCarlo!$B$6/MonteCarlo!$B$5)+(MonteCarlo!$B$9+(Y$1^2)/2)*$A27)/(Y$1*SQRT($A27)),TRUE)-MonteCarlo!$B$5*EXP(-MonteCarlo!$B$9*$A27)*_xlfn.NORM.S.DIST(((LN(MonteCarlo!$B$6/MonteCarlo!$B$5)+(MonteCarlo!$B$9+(Y$1^2)/2)*$A27)/(Y$1*SQRT($A27)))-(Y$1*SQRT($A27)),TRUE),MonteCarlo!$B$5*EXP(-MonteCarlo!$B$9*$A27)*_xlfn.NORM.S.DIST(-(((LN(MonteCarlo!$B$6/MonteCarlo!$B$5)+(MonteCarlo!$B$9+(Y$1^2)/2)*$A27)/(Y$1*SQRT($A27)))-(Y$1*SQRT($A27))),TRUE)-MonteCarlo!$B$6*_xlfn.NORM.S.DIST(-((LN(MonteCarlo!$B$6/MonteCarlo!$B$5)+(MonteCarlo!$B$9+(Y$1^2)/2)*$A27)/(Y$1*SQRT($A27))),TRUE)),"")</f>
        <v/>
      </c>
      <c r="Z27" t="str">
        <f>IFERROR(IF(OR(MonteCarlo!$B$4="C",MonteCarlo!$B$4="c"),MonteCarlo!$B$6*_xlfn.NORM.S.DIST((LN(MonteCarlo!$B$6/MonteCarlo!$B$5)+(MonteCarlo!$B$9+(Z$1^2)/2)*$A27)/(Z$1*SQRT($A27)),TRUE)-MonteCarlo!$B$5*EXP(-MonteCarlo!$B$9*$A27)*_xlfn.NORM.S.DIST(((LN(MonteCarlo!$B$6/MonteCarlo!$B$5)+(MonteCarlo!$B$9+(Z$1^2)/2)*$A27)/(Z$1*SQRT($A27)))-(Z$1*SQRT($A27)),TRUE),MonteCarlo!$B$5*EXP(-MonteCarlo!$B$9*$A27)*_xlfn.NORM.S.DIST(-(((LN(MonteCarlo!$B$6/MonteCarlo!$B$5)+(MonteCarlo!$B$9+(Z$1^2)/2)*$A27)/(Z$1*SQRT($A27)))-(Z$1*SQRT($A27))),TRUE)-MonteCarlo!$B$6*_xlfn.NORM.S.DIST(-((LN(MonteCarlo!$B$6/MonteCarlo!$B$5)+(MonteCarlo!$B$9+(Z$1^2)/2)*$A27)/(Z$1*SQRT($A27))),TRUE)),"")</f>
        <v/>
      </c>
      <c r="AA27" t="str">
        <f>IFERROR(IF(OR(MonteCarlo!$B$4="C",MonteCarlo!$B$4="c"),MonteCarlo!$B$6*_xlfn.NORM.S.DIST((LN(MonteCarlo!$B$6/MonteCarlo!$B$5)+(MonteCarlo!$B$9+(AA$1^2)/2)*$A27)/(AA$1*SQRT($A27)),TRUE)-MonteCarlo!$B$5*EXP(-MonteCarlo!$B$9*$A27)*_xlfn.NORM.S.DIST(((LN(MonteCarlo!$B$6/MonteCarlo!$B$5)+(MonteCarlo!$B$9+(AA$1^2)/2)*$A27)/(AA$1*SQRT($A27)))-(AA$1*SQRT($A27)),TRUE),MonteCarlo!$B$5*EXP(-MonteCarlo!$B$9*$A27)*_xlfn.NORM.S.DIST(-(((LN(MonteCarlo!$B$6/MonteCarlo!$B$5)+(MonteCarlo!$B$9+(AA$1^2)/2)*$A27)/(AA$1*SQRT($A27)))-(AA$1*SQRT($A27))),TRUE)-MonteCarlo!$B$6*_xlfn.NORM.S.DIST(-((LN(MonteCarlo!$B$6/MonteCarlo!$B$5)+(MonteCarlo!$B$9+(AA$1^2)/2)*$A27)/(AA$1*SQRT($A27))),TRUE)),"")</f>
        <v/>
      </c>
      <c r="AB27" t="str">
        <f>IFERROR(IF(OR(MonteCarlo!$B$4="C",MonteCarlo!$B$4="c"),MonteCarlo!$B$6*_xlfn.NORM.S.DIST((LN(MonteCarlo!$B$6/MonteCarlo!$B$5)+(MonteCarlo!$B$9+(AB$1^2)/2)*$A27)/(AB$1*SQRT($A27)),TRUE)-MonteCarlo!$B$5*EXP(-MonteCarlo!$B$9*$A27)*_xlfn.NORM.S.DIST(((LN(MonteCarlo!$B$6/MonteCarlo!$B$5)+(MonteCarlo!$B$9+(AB$1^2)/2)*$A27)/(AB$1*SQRT($A27)))-(AB$1*SQRT($A27)),TRUE),MonteCarlo!$B$5*EXP(-MonteCarlo!$B$9*$A27)*_xlfn.NORM.S.DIST(-(((LN(MonteCarlo!$B$6/MonteCarlo!$B$5)+(MonteCarlo!$B$9+(AB$1^2)/2)*$A27)/(AB$1*SQRT($A27)))-(AB$1*SQRT($A27))),TRUE)-MonteCarlo!$B$6*_xlfn.NORM.S.DIST(-((LN(MonteCarlo!$B$6/MonteCarlo!$B$5)+(MonteCarlo!$B$9+(AB$1^2)/2)*$A27)/(AB$1*SQRT($A27))),TRUE)),"")</f>
        <v/>
      </c>
      <c r="AC27" t="str">
        <f>IFERROR(IF(OR(MonteCarlo!$B$4="C",MonteCarlo!$B$4="c"),MonteCarlo!$B$6*_xlfn.NORM.S.DIST((LN(MonteCarlo!$B$6/MonteCarlo!$B$5)+(MonteCarlo!$B$9+(AC$1^2)/2)*$A27)/(AC$1*SQRT($A27)),TRUE)-MonteCarlo!$B$5*EXP(-MonteCarlo!$B$9*$A27)*_xlfn.NORM.S.DIST(((LN(MonteCarlo!$B$6/MonteCarlo!$B$5)+(MonteCarlo!$B$9+(AC$1^2)/2)*$A27)/(AC$1*SQRT($A27)))-(AC$1*SQRT($A27)),TRUE),MonteCarlo!$B$5*EXP(-MonteCarlo!$B$9*$A27)*_xlfn.NORM.S.DIST(-(((LN(MonteCarlo!$B$6/MonteCarlo!$B$5)+(MonteCarlo!$B$9+(AC$1^2)/2)*$A27)/(AC$1*SQRT($A27)))-(AC$1*SQRT($A27))),TRUE)-MonteCarlo!$B$6*_xlfn.NORM.S.DIST(-((LN(MonteCarlo!$B$6/MonteCarlo!$B$5)+(MonteCarlo!$B$9+(AC$1^2)/2)*$A27)/(AC$1*SQRT($A27))),TRUE)),"")</f>
        <v/>
      </c>
      <c r="AD27" t="str">
        <f>IFERROR(IF(OR(MonteCarlo!$B$4="C",MonteCarlo!$B$4="c"),MonteCarlo!$B$6*_xlfn.NORM.S.DIST((LN(MonteCarlo!$B$6/MonteCarlo!$B$5)+(MonteCarlo!$B$9+(AD$1^2)/2)*$A27)/(AD$1*SQRT($A27)),TRUE)-MonteCarlo!$B$5*EXP(-MonteCarlo!$B$9*$A27)*_xlfn.NORM.S.DIST(((LN(MonteCarlo!$B$6/MonteCarlo!$B$5)+(MonteCarlo!$B$9+(AD$1^2)/2)*$A27)/(AD$1*SQRT($A27)))-(AD$1*SQRT($A27)),TRUE),MonteCarlo!$B$5*EXP(-MonteCarlo!$B$9*$A27)*_xlfn.NORM.S.DIST(-(((LN(MonteCarlo!$B$6/MonteCarlo!$B$5)+(MonteCarlo!$B$9+(AD$1^2)/2)*$A27)/(AD$1*SQRT($A27)))-(AD$1*SQRT($A27))),TRUE)-MonteCarlo!$B$6*_xlfn.NORM.S.DIST(-((LN(MonteCarlo!$B$6/MonteCarlo!$B$5)+(MonteCarlo!$B$9+(AD$1^2)/2)*$A27)/(AD$1*SQRT($A27))),TRUE)),"")</f>
        <v/>
      </c>
      <c r="AE27" t="str">
        <f>IFERROR(IF(OR(MonteCarlo!$B$4="C",MonteCarlo!$B$4="c"),MonteCarlo!$B$6*_xlfn.NORM.S.DIST((LN(MonteCarlo!$B$6/MonteCarlo!$B$5)+(MonteCarlo!$B$9+(AE$1^2)/2)*$A27)/(AE$1*SQRT($A27)),TRUE)-MonteCarlo!$B$5*EXP(-MonteCarlo!$B$9*$A27)*_xlfn.NORM.S.DIST(((LN(MonteCarlo!$B$6/MonteCarlo!$B$5)+(MonteCarlo!$B$9+(AE$1^2)/2)*$A27)/(AE$1*SQRT($A27)))-(AE$1*SQRT($A27)),TRUE),MonteCarlo!$B$5*EXP(-MonteCarlo!$B$9*$A27)*_xlfn.NORM.S.DIST(-(((LN(MonteCarlo!$B$6/MonteCarlo!$B$5)+(MonteCarlo!$B$9+(AE$1^2)/2)*$A27)/(AE$1*SQRT($A27)))-(AE$1*SQRT($A27))),TRUE)-MonteCarlo!$B$6*_xlfn.NORM.S.DIST(-((LN(MonteCarlo!$B$6/MonteCarlo!$B$5)+(MonteCarlo!$B$9+(AE$1^2)/2)*$A27)/(AE$1*SQRT($A27))),TRUE)),"")</f>
        <v/>
      </c>
      <c r="AF27" t="str">
        <f>IFERROR(IF(OR(MonteCarlo!$B$4="C",MonteCarlo!$B$4="c"),MonteCarlo!$B$6*_xlfn.NORM.S.DIST((LN(MonteCarlo!$B$6/MonteCarlo!$B$5)+(MonteCarlo!$B$9+(AF$1^2)/2)*$A27)/(AF$1*SQRT($A27)),TRUE)-MonteCarlo!$B$5*EXP(-MonteCarlo!$B$9*$A27)*_xlfn.NORM.S.DIST(((LN(MonteCarlo!$B$6/MonteCarlo!$B$5)+(MonteCarlo!$B$9+(AF$1^2)/2)*$A27)/(AF$1*SQRT($A27)))-(AF$1*SQRT($A27)),TRUE),MonteCarlo!$B$5*EXP(-MonteCarlo!$B$9*$A27)*_xlfn.NORM.S.DIST(-(((LN(MonteCarlo!$B$6/MonteCarlo!$B$5)+(MonteCarlo!$B$9+(AF$1^2)/2)*$A27)/(AF$1*SQRT($A27)))-(AF$1*SQRT($A27))),TRUE)-MonteCarlo!$B$6*_xlfn.NORM.S.DIST(-((LN(MonteCarlo!$B$6/MonteCarlo!$B$5)+(MonteCarlo!$B$9+(AF$1^2)/2)*$A27)/(AF$1*SQRT($A27))),TRUE)),"")</f>
        <v/>
      </c>
    </row>
    <row r="28" spans="2:32" x14ac:dyDescent="0.25">
      <c r="B28" t="str">
        <f>IFERROR(IF(OR(MonteCarlo!$B$4="C",MonteCarlo!$B$4="c"),MonteCarlo!$B$6*_xlfn.NORM.S.DIST((LN(MonteCarlo!$B$6/MonteCarlo!$B$5)+(MonteCarlo!$B$9+(B$1^2)/2)*$A28)/(B$1*SQRT($A28)),TRUE)-MonteCarlo!$B$5*EXP(-MonteCarlo!$B$9*$A28)*_xlfn.NORM.S.DIST(((LN(MonteCarlo!$B$6/MonteCarlo!$B$5)+(MonteCarlo!$B$9+(B$1^2)/2)*$A28)/(B$1*SQRT($A28)))-(B$1*SQRT($A28)),TRUE),MonteCarlo!$B$5*EXP(-MonteCarlo!$B$9*$A28)*_xlfn.NORM.S.DIST(-(((LN(MonteCarlo!$B$6/MonteCarlo!$B$5)+(MonteCarlo!$B$9+(B$1^2)/2)*$A28)/(B$1*SQRT($A28)))-(B$1*SQRT($A28))),TRUE)-MonteCarlo!$B$6*_xlfn.NORM.S.DIST(-((LN(MonteCarlo!$B$6/MonteCarlo!$B$5)+(MonteCarlo!$B$9+(B$1^2)/2)*$A28)/(B$1*SQRT($A28))),TRUE)),"")</f>
        <v/>
      </c>
      <c r="C28" t="str">
        <f>IFERROR(IF(OR(MonteCarlo!$B$4="C",MonteCarlo!$B$4="c"),MonteCarlo!$B$6*_xlfn.NORM.S.DIST((LN(MonteCarlo!$B$6/MonteCarlo!$B$5)+(MonteCarlo!$B$9+(C$1^2)/2)*$A28)/(C$1*SQRT($A28)),TRUE)-MonteCarlo!$B$5*EXP(-MonteCarlo!$B$9*$A28)*_xlfn.NORM.S.DIST(((LN(MonteCarlo!$B$6/MonteCarlo!$B$5)+(MonteCarlo!$B$9+(C$1^2)/2)*$A28)/(C$1*SQRT($A28)))-(C$1*SQRT($A28)),TRUE),MonteCarlo!$B$5*EXP(-MonteCarlo!$B$9*$A28)*_xlfn.NORM.S.DIST(-(((LN(MonteCarlo!$B$6/MonteCarlo!$B$5)+(MonteCarlo!$B$9+(C$1^2)/2)*$A28)/(C$1*SQRT($A28)))-(C$1*SQRT($A28))),TRUE)-MonteCarlo!$B$6*_xlfn.NORM.S.DIST(-((LN(MonteCarlo!$B$6/MonteCarlo!$B$5)+(MonteCarlo!$B$9+(C$1^2)/2)*$A28)/(C$1*SQRT($A28))),TRUE)),"")</f>
        <v/>
      </c>
      <c r="D28" t="str">
        <f>IFERROR(IF(OR(MonteCarlo!$B$4="C",MonteCarlo!$B$4="c"),MonteCarlo!$B$6*_xlfn.NORM.S.DIST((LN(MonteCarlo!$B$6/MonteCarlo!$B$5)+(MonteCarlo!$B$9+(D$1^2)/2)*$A28)/(D$1*SQRT($A28)),TRUE)-MonteCarlo!$B$5*EXP(-MonteCarlo!$B$9*$A28)*_xlfn.NORM.S.DIST(((LN(MonteCarlo!$B$6/MonteCarlo!$B$5)+(MonteCarlo!$B$9+(D$1^2)/2)*$A28)/(D$1*SQRT($A28)))-(D$1*SQRT($A28)),TRUE),MonteCarlo!$B$5*EXP(-MonteCarlo!$B$9*$A28)*_xlfn.NORM.S.DIST(-(((LN(MonteCarlo!$B$6/MonteCarlo!$B$5)+(MonteCarlo!$B$9+(D$1^2)/2)*$A28)/(D$1*SQRT($A28)))-(D$1*SQRT($A28))),TRUE)-MonteCarlo!$B$6*_xlfn.NORM.S.DIST(-((LN(MonteCarlo!$B$6/MonteCarlo!$B$5)+(MonteCarlo!$B$9+(D$1^2)/2)*$A28)/(D$1*SQRT($A28))),TRUE)),"")</f>
        <v/>
      </c>
      <c r="E28" t="str">
        <f>IFERROR(IF(OR(MonteCarlo!$B$4="C",MonteCarlo!$B$4="c"),MonteCarlo!$B$6*_xlfn.NORM.S.DIST((LN(MonteCarlo!$B$6/MonteCarlo!$B$5)+(MonteCarlo!$B$9+(E$1^2)/2)*$A28)/(E$1*SQRT($A28)),TRUE)-MonteCarlo!$B$5*EXP(-MonteCarlo!$B$9*$A28)*_xlfn.NORM.S.DIST(((LN(MonteCarlo!$B$6/MonteCarlo!$B$5)+(MonteCarlo!$B$9+(E$1^2)/2)*$A28)/(E$1*SQRT($A28)))-(E$1*SQRT($A28)),TRUE),MonteCarlo!$B$5*EXP(-MonteCarlo!$B$9*$A28)*_xlfn.NORM.S.DIST(-(((LN(MonteCarlo!$B$6/MonteCarlo!$B$5)+(MonteCarlo!$B$9+(E$1^2)/2)*$A28)/(E$1*SQRT($A28)))-(E$1*SQRT($A28))),TRUE)-MonteCarlo!$B$6*_xlfn.NORM.S.DIST(-((LN(MonteCarlo!$B$6/MonteCarlo!$B$5)+(MonteCarlo!$B$9+(E$1^2)/2)*$A28)/(E$1*SQRT($A28))),TRUE)),"")</f>
        <v/>
      </c>
      <c r="F28" t="str">
        <f>IFERROR(IF(OR(MonteCarlo!$B$4="C",MonteCarlo!$B$4="c"),MonteCarlo!$B$6*_xlfn.NORM.S.DIST((LN(MonteCarlo!$B$6/MonteCarlo!$B$5)+(MonteCarlo!$B$9+(F$1^2)/2)*$A28)/(F$1*SQRT($A28)),TRUE)-MonteCarlo!$B$5*EXP(-MonteCarlo!$B$9*$A28)*_xlfn.NORM.S.DIST(((LN(MonteCarlo!$B$6/MonteCarlo!$B$5)+(MonteCarlo!$B$9+(F$1^2)/2)*$A28)/(F$1*SQRT($A28)))-(F$1*SQRT($A28)),TRUE),MonteCarlo!$B$5*EXP(-MonteCarlo!$B$9*$A28)*_xlfn.NORM.S.DIST(-(((LN(MonteCarlo!$B$6/MonteCarlo!$B$5)+(MonteCarlo!$B$9+(F$1^2)/2)*$A28)/(F$1*SQRT($A28)))-(F$1*SQRT($A28))),TRUE)-MonteCarlo!$B$6*_xlfn.NORM.S.DIST(-((LN(MonteCarlo!$B$6/MonteCarlo!$B$5)+(MonteCarlo!$B$9+(F$1^2)/2)*$A28)/(F$1*SQRT($A28))),TRUE)),"")</f>
        <v/>
      </c>
      <c r="G28" t="str">
        <f>IFERROR(IF(OR(MonteCarlo!$B$4="C",MonteCarlo!$B$4="c"),MonteCarlo!$B$6*_xlfn.NORM.S.DIST((LN(MonteCarlo!$B$6/MonteCarlo!$B$5)+(MonteCarlo!$B$9+(G$1^2)/2)*$A28)/(G$1*SQRT($A28)),TRUE)-MonteCarlo!$B$5*EXP(-MonteCarlo!$B$9*$A28)*_xlfn.NORM.S.DIST(((LN(MonteCarlo!$B$6/MonteCarlo!$B$5)+(MonteCarlo!$B$9+(G$1^2)/2)*$A28)/(G$1*SQRT($A28)))-(G$1*SQRT($A28)),TRUE),MonteCarlo!$B$5*EXP(-MonteCarlo!$B$9*$A28)*_xlfn.NORM.S.DIST(-(((LN(MonteCarlo!$B$6/MonteCarlo!$B$5)+(MonteCarlo!$B$9+(G$1^2)/2)*$A28)/(G$1*SQRT($A28)))-(G$1*SQRT($A28))),TRUE)-MonteCarlo!$B$6*_xlfn.NORM.S.DIST(-((LN(MonteCarlo!$B$6/MonteCarlo!$B$5)+(MonteCarlo!$B$9+(G$1^2)/2)*$A28)/(G$1*SQRT($A28))),TRUE)),"")</f>
        <v/>
      </c>
      <c r="H28" t="str">
        <f>IFERROR(IF(OR(MonteCarlo!$B$4="C",MonteCarlo!$B$4="c"),MonteCarlo!$B$6*_xlfn.NORM.S.DIST((LN(MonteCarlo!$B$6/MonteCarlo!$B$5)+(MonteCarlo!$B$9+(H$1^2)/2)*$A28)/(H$1*SQRT($A28)),TRUE)-MonteCarlo!$B$5*EXP(-MonteCarlo!$B$9*$A28)*_xlfn.NORM.S.DIST(((LN(MonteCarlo!$B$6/MonteCarlo!$B$5)+(MonteCarlo!$B$9+(H$1^2)/2)*$A28)/(H$1*SQRT($A28)))-(H$1*SQRT($A28)),TRUE),MonteCarlo!$B$5*EXP(-MonteCarlo!$B$9*$A28)*_xlfn.NORM.S.DIST(-(((LN(MonteCarlo!$B$6/MonteCarlo!$B$5)+(MonteCarlo!$B$9+(H$1^2)/2)*$A28)/(H$1*SQRT($A28)))-(H$1*SQRT($A28))),TRUE)-MonteCarlo!$B$6*_xlfn.NORM.S.DIST(-((LN(MonteCarlo!$B$6/MonteCarlo!$B$5)+(MonteCarlo!$B$9+(H$1^2)/2)*$A28)/(H$1*SQRT($A28))),TRUE)),"")</f>
        <v/>
      </c>
      <c r="I28" t="str">
        <f>IFERROR(IF(OR(MonteCarlo!$B$4="C",MonteCarlo!$B$4="c"),MonteCarlo!$B$6*_xlfn.NORM.S.DIST((LN(MonteCarlo!$B$6/MonteCarlo!$B$5)+(MonteCarlo!$B$9+(I$1^2)/2)*$A28)/(I$1*SQRT($A28)),TRUE)-MonteCarlo!$B$5*EXP(-MonteCarlo!$B$9*$A28)*_xlfn.NORM.S.DIST(((LN(MonteCarlo!$B$6/MonteCarlo!$B$5)+(MonteCarlo!$B$9+(I$1^2)/2)*$A28)/(I$1*SQRT($A28)))-(I$1*SQRT($A28)),TRUE),MonteCarlo!$B$5*EXP(-MonteCarlo!$B$9*$A28)*_xlfn.NORM.S.DIST(-(((LN(MonteCarlo!$B$6/MonteCarlo!$B$5)+(MonteCarlo!$B$9+(I$1^2)/2)*$A28)/(I$1*SQRT($A28)))-(I$1*SQRT($A28))),TRUE)-MonteCarlo!$B$6*_xlfn.NORM.S.DIST(-((LN(MonteCarlo!$B$6/MonteCarlo!$B$5)+(MonteCarlo!$B$9+(I$1^2)/2)*$A28)/(I$1*SQRT($A28))),TRUE)),"")</f>
        <v/>
      </c>
      <c r="J28" t="str">
        <f>IFERROR(IF(OR(MonteCarlo!$B$4="C",MonteCarlo!$B$4="c"),MonteCarlo!$B$6*_xlfn.NORM.S.DIST((LN(MonteCarlo!$B$6/MonteCarlo!$B$5)+(MonteCarlo!$B$9+(J$1^2)/2)*$A28)/(J$1*SQRT($A28)),TRUE)-MonteCarlo!$B$5*EXP(-MonteCarlo!$B$9*$A28)*_xlfn.NORM.S.DIST(((LN(MonteCarlo!$B$6/MonteCarlo!$B$5)+(MonteCarlo!$B$9+(J$1^2)/2)*$A28)/(J$1*SQRT($A28)))-(J$1*SQRT($A28)),TRUE),MonteCarlo!$B$5*EXP(-MonteCarlo!$B$9*$A28)*_xlfn.NORM.S.DIST(-(((LN(MonteCarlo!$B$6/MonteCarlo!$B$5)+(MonteCarlo!$B$9+(J$1^2)/2)*$A28)/(J$1*SQRT($A28)))-(J$1*SQRT($A28))),TRUE)-MonteCarlo!$B$6*_xlfn.NORM.S.DIST(-((LN(MonteCarlo!$B$6/MonteCarlo!$B$5)+(MonteCarlo!$B$9+(J$1^2)/2)*$A28)/(J$1*SQRT($A28))),TRUE)),"")</f>
        <v/>
      </c>
      <c r="K28" t="str">
        <f>IFERROR(IF(OR(MonteCarlo!$B$4="C",MonteCarlo!$B$4="c"),MonteCarlo!$B$6*_xlfn.NORM.S.DIST((LN(MonteCarlo!$B$6/MonteCarlo!$B$5)+(MonteCarlo!$B$9+(K$1^2)/2)*$A28)/(K$1*SQRT($A28)),TRUE)-MonteCarlo!$B$5*EXP(-MonteCarlo!$B$9*$A28)*_xlfn.NORM.S.DIST(((LN(MonteCarlo!$B$6/MonteCarlo!$B$5)+(MonteCarlo!$B$9+(K$1^2)/2)*$A28)/(K$1*SQRT($A28)))-(K$1*SQRT($A28)),TRUE),MonteCarlo!$B$5*EXP(-MonteCarlo!$B$9*$A28)*_xlfn.NORM.S.DIST(-(((LN(MonteCarlo!$B$6/MonteCarlo!$B$5)+(MonteCarlo!$B$9+(K$1^2)/2)*$A28)/(K$1*SQRT($A28)))-(K$1*SQRT($A28))),TRUE)-MonteCarlo!$B$6*_xlfn.NORM.S.DIST(-((LN(MonteCarlo!$B$6/MonteCarlo!$B$5)+(MonteCarlo!$B$9+(K$1^2)/2)*$A28)/(K$1*SQRT($A28))),TRUE)),"")</f>
        <v/>
      </c>
      <c r="L28" t="str">
        <f>IFERROR(IF(OR(MonteCarlo!$B$4="C",MonteCarlo!$B$4="c"),MonteCarlo!$B$6*_xlfn.NORM.S.DIST((LN(MonteCarlo!$B$6/MonteCarlo!$B$5)+(MonteCarlo!$B$9+(L$1^2)/2)*$A28)/(L$1*SQRT($A28)),TRUE)-MonteCarlo!$B$5*EXP(-MonteCarlo!$B$9*$A28)*_xlfn.NORM.S.DIST(((LN(MonteCarlo!$B$6/MonteCarlo!$B$5)+(MonteCarlo!$B$9+(L$1^2)/2)*$A28)/(L$1*SQRT($A28)))-(L$1*SQRT($A28)),TRUE),MonteCarlo!$B$5*EXP(-MonteCarlo!$B$9*$A28)*_xlfn.NORM.S.DIST(-(((LN(MonteCarlo!$B$6/MonteCarlo!$B$5)+(MonteCarlo!$B$9+(L$1^2)/2)*$A28)/(L$1*SQRT($A28)))-(L$1*SQRT($A28))),TRUE)-MonteCarlo!$B$6*_xlfn.NORM.S.DIST(-((LN(MonteCarlo!$B$6/MonteCarlo!$B$5)+(MonteCarlo!$B$9+(L$1^2)/2)*$A28)/(L$1*SQRT($A28))),TRUE)),"")</f>
        <v/>
      </c>
      <c r="M28" t="str">
        <f>IFERROR(IF(OR(MonteCarlo!$B$4="C",MonteCarlo!$B$4="c"),MonteCarlo!$B$6*_xlfn.NORM.S.DIST((LN(MonteCarlo!$B$6/MonteCarlo!$B$5)+(MonteCarlo!$B$9+(M$1^2)/2)*$A28)/(M$1*SQRT($A28)),TRUE)-MonteCarlo!$B$5*EXP(-MonteCarlo!$B$9*$A28)*_xlfn.NORM.S.DIST(((LN(MonteCarlo!$B$6/MonteCarlo!$B$5)+(MonteCarlo!$B$9+(M$1^2)/2)*$A28)/(M$1*SQRT($A28)))-(M$1*SQRT($A28)),TRUE),MonteCarlo!$B$5*EXP(-MonteCarlo!$B$9*$A28)*_xlfn.NORM.S.DIST(-(((LN(MonteCarlo!$B$6/MonteCarlo!$B$5)+(MonteCarlo!$B$9+(M$1^2)/2)*$A28)/(M$1*SQRT($A28)))-(M$1*SQRT($A28))),TRUE)-MonteCarlo!$B$6*_xlfn.NORM.S.DIST(-((LN(MonteCarlo!$B$6/MonteCarlo!$B$5)+(MonteCarlo!$B$9+(M$1^2)/2)*$A28)/(M$1*SQRT($A28))),TRUE)),"")</f>
        <v/>
      </c>
      <c r="N28" t="str">
        <f>IFERROR(IF(OR(MonteCarlo!$B$4="C",MonteCarlo!$B$4="c"),MonteCarlo!$B$6*_xlfn.NORM.S.DIST((LN(MonteCarlo!$B$6/MonteCarlo!$B$5)+(MonteCarlo!$B$9+(N$1^2)/2)*$A28)/(N$1*SQRT($A28)),TRUE)-MonteCarlo!$B$5*EXP(-MonteCarlo!$B$9*$A28)*_xlfn.NORM.S.DIST(((LN(MonteCarlo!$B$6/MonteCarlo!$B$5)+(MonteCarlo!$B$9+(N$1^2)/2)*$A28)/(N$1*SQRT($A28)))-(N$1*SQRT($A28)),TRUE),MonteCarlo!$B$5*EXP(-MonteCarlo!$B$9*$A28)*_xlfn.NORM.S.DIST(-(((LN(MonteCarlo!$B$6/MonteCarlo!$B$5)+(MonteCarlo!$B$9+(N$1^2)/2)*$A28)/(N$1*SQRT($A28)))-(N$1*SQRT($A28))),TRUE)-MonteCarlo!$B$6*_xlfn.NORM.S.DIST(-((LN(MonteCarlo!$B$6/MonteCarlo!$B$5)+(MonteCarlo!$B$9+(N$1^2)/2)*$A28)/(N$1*SQRT($A28))),TRUE)),"")</f>
        <v/>
      </c>
      <c r="O28" t="str">
        <f>IFERROR(IF(OR(MonteCarlo!$B$4="C",MonteCarlo!$B$4="c"),MonteCarlo!$B$6*_xlfn.NORM.S.DIST((LN(MonteCarlo!$B$6/MonteCarlo!$B$5)+(MonteCarlo!$B$9+(O$1^2)/2)*$A28)/(O$1*SQRT($A28)),TRUE)-MonteCarlo!$B$5*EXP(-MonteCarlo!$B$9*$A28)*_xlfn.NORM.S.DIST(((LN(MonteCarlo!$B$6/MonteCarlo!$B$5)+(MonteCarlo!$B$9+(O$1^2)/2)*$A28)/(O$1*SQRT($A28)))-(O$1*SQRT($A28)),TRUE),MonteCarlo!$B$5*EXP(-MonteCarlo!$B$9*$A28)*_xlfn.NORM.S.DIST(-(((LN(MonteCarlo!$B$6/MonteCarlo!$B$5)+(MonteCarlo!$B$9+(O$1^2)/2)*$A28)/(O$1*SQRT($A28)))-(O$1*SQRT($A28))),TRUE)-MonteCarlo!$B$6*_xlfn.NORM.S.DIST(-((LN(MonteCarlo!$B$6/MonteCarlo!$B$5)+(MonteCarlo!$B$9+(O$1^2)/2)*$A28)/(O$1*SQRT($A28))),TRUE)),"")</f>
        <v/>
      </c>
      <c r="P28" t="str">
        <f>IFERROR(IF(OR(MonteCarlo!$B$4="C",MonteCarlo!$B$4="c"),MonteCarlo!$B$6*_xlfn.NORM.S.DIST((LN(MonteCarlo!$B$6/MonteCarlo!$B$5)+(MonteCarlo!$B$9+(P$1^2)/2)*$A28)/(P$1*SQRT($A28)),TRUE)-MonteCarlo!$B$5*EXP(-MonteCarlo!$B$9*$A28)*_xlfn.NORM.S.DIST(((LN(MonteCarlo!$B$6/MonteCarlo!$B$5)+(MonteCarlo!$B$9+(P$1^2)/2)*$A28)/(P$1*SQRT($A28)))-(P$1*SQRT($A28)),TRUE),MonteCarlo!$B$5*EXP(-MonteCarlo!$B$9*$A28)*_xlfn.NORM.S.DIST(-(((LN(MonteCarlo!$B$6/MonteCarlo!$B$5)+(MonteCarlo!$B$9+(P$1^2)/2)*$A28)/(P$1*SQRT($A28)))-(P$1*SQRT($A28))),TRUE)-MonteCarlo!$B$6*_xlfn.NORM.S.DIST(-((LN(MonteCarlo!$B$6/MonteCarlo!$B$5)+(MonteCarlo!$B$9+(P$1^2)/2)*$A28)/(P$1*SQRT($A28))),TRUE)),"")</f>
        <v/>
      </c>
      <c r="Q28" t="str">
        <f>IFERROR(IF(OR(MonteCarlo!$B$4="C",MonteCarlo!$B$4="c"),MonteCarlo!$B$6*_xlfn.NORM.S.DIST((LN(MonteCarlo!$B$6/MonteCarlo!$B$5)+(MonteCarlo!$B$9+(Q$1^2)/2)*$A28)/(Q$1*SQRT($A28)),TRUE)-MonteCarlo!$B$5*EXP(-MonteCarlo!$B$9*$A28)*_xlfn.NORM.S.DIST(((LN(MonteCarlo!$B$6/MonteCarlo!$B$5)+(MonteCarlo!$B$9+(Q$1^2)/2)*$A28)/(Q$1*SQRT($A28)))-(Q$1*SQRT($A28)),TRUE),MonteCarlo!$B$5*EXP(-MonteCarlo!$B$9*$A28)*_xlfn.NORM.S.DIST(-(((LN(MonteCarlo!$B$6/MonteCarlo!$B$5)+(MonteCarlo!$B$9+(Q$1^2)/2)*$A28)/(Q$1*SQRT($A28)))-(Q$1*SQRT($A28))),TRUE)-MonteCarlo!$B$6*_xlfn.NORM.S.DIST(-((LN(MonteCarlo!$B$6/MonteCarlo!$B$5)+(MonteCarlo!$B$9+(Q$1^2)/2)*$A28)/(Q$1*SQRT($A28))),TRUE)),"")</f>
        <v/>
      </c>
      <c r="R28" t="str">
        <f>IFERROR(IF(OR(MonteCarlo!$B$4="C",MonteCarlo!$B$4="c"),MonteCarlo!$B$6*_xlfn.NORM.S.DIST((LN(MonteCarlo!$B$6/MonteCarlo!$B$5)+(MonteCarlo!$B$9+(R$1^2)/2)*$A28)/(R$1*SQRT($A28)),TRUE)-MonteCarlo!$B$5*EXP(-MonteCarlo!$B$9*$A28)*_xlfn.NORM.S.DIST(((LN(MonteCarlo!$B$6/MonteCarlo!$B$5)+(MonteCarlo!$B$9+(R$1^2)/2)*$A28)/(R$1*SQRT($A28)))-(R$1*SQRT($A28)),TRUE),MonteCarlo!$B$5*EXP(-MonteCarlo!$B$9*$A28)*_xlfn.NORM.S.DIST(-(((LN(MonteCarlo!$B$6/MonteCarlo!$B$5)+(MonteCarlo!$B$9+(R$1^2)/2)*$A28)/(R$1*SQRT($A28)))-(R$1*SQRT($A28))),TRUE)-MonteCarlo!$B$6*_xlfn.NORM.S.DIST(-((LN(MonteCarlo!$B$6/MonteCarlo!$B$5)+(MonteCarlo!$B$9+(R$1^2)/2)*$A28)/(R$1*SQRT($A28))),TRUE)),"")</f>
        <v/>
      </c>
      <c r="S28" t="str">
        <f>IFERROR(IF(OR(MonteCarlo!$B$4="C",MonteCarlo!$B$4="c"),MonteCarlo!$B$6*_xlfn.NORM.S.DIST((LN(MonteCarlo!$B$6/MonteCarlo!$B$5)+(MonteCarlo!$B$9+(S$1^2)/2)*$A28)/(S$1*SQRT($A28)),TRUE)-MonteCarlo!$B$5*EXP(-MonteCarlo!$B$9*$A28)*_xlfn.NORM.S.DIST(((LN(MonteCarlo!$B$6/MonteCarlo!$B$5)+(MonteCarlo!$B$9+(S$1^2)/2)*$A28)/(S$1*SQRT($A28)))-(S$1*SQRT($A28)),TRUE),MonteCarlo!$B$5*EXP(-MonteCarlo!$B$9*$A28)*_xlfn.NORM.S.DIST(-(((LN(MonteCarlo!$B$6/MonteCarlo!$B$5)+(MonteCarlo!$B$9+(S$1^2)/2)*$A28)/(S$1*SQRT($A28)))-(S$1*SQRT($A28))),TRUE)-MonteCarlo!$B$6*_xlfn.NORM.S.DIST(-((LN(MonteCarlo!$B$6/MonteCarlo!$B$5)+(MonteCarlo!$B$9+(S$1^2)/2)*$A28)/(S$1*SQRT($A28))),TRUE)),"")</f>
        <v/>
      </c>
      <c r="T28" t="str">
        <f>IFERROR(IF(OR(MonteCarlo!$B$4="C",MonteCarlo!$B$4="c"),MonteCarlo!$B$6*_xlfn.NORM.S.DIST((LN(MonteCarlo!$B$6/MonteCarlo!$B$5)+(MonteCarlo!$B$9+(T$1^2)/2)*$A28)/(T$1*SQRT($A28)),TRUE)-MonteCarlo!$B$5*EXP(-MonteCarlo!$B$9*$A28)*_xlfn.NORM.S.DIST(((LN(MonteCarlo!$B$6/MonteCarlo!$B$5)+(MonteCarlo!$B$9+(T$1^2)/2)*$A28)/(T$1*SQRT($A28)))-(T$1*SQRT($A28)),TRUE),MonteCarlo!$B$5*EXP(-MonteCarlo!$B$9*$A28)*_xlfn.NORM.S.DIST(-(((LN(MonteCarlo!$B$6/MonteCarlo!$B$5)+(MonteCarlo!$B$9+(T$1^2)/2)*$A28)/(T$1*SQRT($A28)))-(T$1*SQRT($A28))),TRUE)-MonteCarlo!$B$6*_xlfn.NORM.S.DIST(-((LN(MonteCarlo!$B$6/MonteCarlo!$B$5)+(MonteCarlo!$B$9+(T$1^2)/2)*$A28)/(T$1*SQRT($A28))),TRUE)),"")</f>
        <v/>
      </c>
      <c r="U28" t="str">
        <f>IFERROR(IF(OR(MonteCarlo!$B$4="C",MonteCarlo!$B$4="c"),MonteCarlo!$B$6*_xlfn.NORM.S.DIST((LN(MonteCarlo!$B$6/MonteCarlo!$B$5)+(MonteCarlo!$B$9+(U$1^2)/2)*$A28)/(U$1*SQRT($A28)),TRUE)-MonteCarlo!$B$5*EXP(-MonteCarlo!$B$9*$A28)*_xlfn.NORM.S.DIST(((LN(MonteCarlo!$B$6/MonteCarlo!$B$5)+(MonteCarlo!$B$9+(U$1^2)/2)*$A28)/(U$1*SQRT($A28)))-(U$1*SQRT($A28)),TRUE),MonteCarlo!$B$5*EXP(-MonteCarlo!$B$9*$A28)*_xlfn.NORM.S.DIST(-(((LN(MonteCarlo!$B$6/MonteCarlo!$B$5)+(MonteCarlo!$B$9+(U$1^2)/2)*$A28)/(U$1*SQRT($A28)))-(U$1*SQRT($A28))),TRUE)-MonteCarlo!$B$6*_xlfn.NORM.S.DIST(-((LN(MonteCarlo!$B$6/MonteCarlo!$B$5)+(MonteCarlo!$B$9+(U$1^2)/2)*$A28)/(U$1*SQRT($A28))),TRUE)),"")</f>
        <v/>
      </c>
      <c r="V28" t="str">
        <f>IFERROR(IF(OR(MonteCarlo!$B$4="C",MonteCarlo!$B$4="c"),MonteCarlo!$B$6*_xlfn.NORM.S.DIST((LN(MonteCarlo!$B$6/MonteCarlo!$B$5)+(MonteCarlo!$B$9+(V$1^2)/2)*$A28)/(V$1*SQRT($A28)),TRUE)-MonteCarlo!$B$5*EXP(-MonteCarlo!$B$9*$A28)*_xlfn.NORM.S.DIST(((LN(MonteCarlo!$B$6/MonteCarlo!$B$5)+(MonteCarlo!$B$9+(V$1^2)/2)*$A28)/(V$1*SQRT($A28)))-(V$1*SQRT($A28)),TRUE),MonteCarlo!$B$5*EXP(-MonteCarlo!$B$9*$A28)*_xlfn.NORM.S.DIST(-(((LN(MonteCarlo!$B$6/MonteCarlo!$B$5)+(MonteCarlo!$B$9+(V$1^2)/2)*$A28)/(V$1*SQRT($A28)))-(V$1*SQRT($A28))),TRUE)-MonteCarlo!$B$6*_xlfn.NORM.S.DIST(-((LN(MonteCarlo!$B$6/MonteCarlo!$B$5)+(MonteCarlo!$B$9+(V$1^2)/2)*$A28)/(V$1*SQRT($A28))),TRUE)),"")</f>
        <v/>
      </c>
      <c r="W28" t="str">
        <f>IFERROR(IF(OR(MonteCarlo!$B$4="C",MonteCarlo!$B$4="c"),MonteCarlo!$B$6*_xlfn.NORM.S.DIST((LN(MonteCarlo!$B$6/MonteCarlo!$B$5)+(MonteCarlo!$B$9+(W$1^2)/2)*$A28)/(W$1*SQRT($A28)),TRUE)-MonteCarlo!$B$5*EXP(-MonteCarlo!$B$9*$A28)*_xlfn.NORM.S.DIST(((LN(MonteCarlo!$B$6/MonteCarlo!$B$5)+(MonteCarlo!$B$9+(W$1^2)/2)*$A28)/(W$1*SQRT($A28)))-(W$1*SQRT($A28)),TRUE),MonteCarlo!$B$5*EXP(-MonteCarlo!$B$9*$A28)*_xlfn.NORM.S.DIST(-(((LN(MonteCarlo!$B$6/MonteCarlo!$B$5)+(MonteCarlo!$B$9+(W$1^2)/2)*$A28)/(W$1*SQRT($A28)))-(W$1*SQRT($A28))),TRUE)-MonteCarlo!$B$6*_xlfn.NORM.S.DIST(-((LN(MonteCarlo!$B$6/MonteCarlo!$B$5)+(MonteCarlo!$B$9+(W$1^2)/2)*$A28)/(W$1*SQRT($A28))),TRUE)),"")</f>
        <v/>
      </c>
      <c r="X28" t="str">
        <f>IFERROR(IF(OR(MonteCarlo!$B$4="C",MonteCarlo!$B$4="c"),MonteCarlo!$B$6*_xlfn.NORM.S.DIST((LN(MonteCarlo!$B$6/MonteCarlo!$B$5)+(MonteCarlo!$B$9+(X$1^2)/2)*$A28)/(X$1*SQRT($A28)),TRUE)-MonteCarlo!$B$5*EXP(-MonteCarlo!$B$9*$A28)*_xlfn.NORM.S.DIST(((LN(MonteCarlo!$B$6/MonteCarlo!$B$5)+(MonteCarlo!$B$9+(X$1^2)/2)*$A28)/(X$1*SQRT($A28)))-(X$1*SQRT($A28)),TRUE),MonteCarlo!$B$5*EXP(-MonteCarlo!$B$9*$A28)*_xlfn.NORM.S.DIST(-(((LN(MonteCarlo!$B$6/MonteCarlo!$B$5)+(MonteCarlo!$B$9+(X$1^2)/2)*$A28)/(X$1*SQRT($A28)))-(X$1*SQRT($A28))),TRUE)-MonteCarlo!$B$6*_xlfn.NORM.S.DIST(-((LN(MonteCarlo!$B$6/MonteCarlo!$B$5)+(MonteCarlo!$B$9+(X$1^2)/2)*$A28)/(X$1*SQRT($A28))),TRUE)),"")</f>
        <v/>
      </c>
      <c r="Y28" t="str">
        <f>IFERROR(IF(OR(MonteCarlo!$B$4="C",MonteCarlo!$B$4="c"),MonteCarlo!$B$6*_xlfn.NORM.S.DIST((LN(MonteCarlo!$B$6/MonteCarlo!$B$5)+(MonteCarlo!$B$9+(Y$1^2)/2)*$A28)/(Y$1*SQRT($A28)),TRUE)-MonteCarlo!$B$5*EXP(-MonteCarlo!$B$9*$A28)*_xlfn.NORM.S.DIST(((LN(MonteCarlo!$B$6/MonteCarlo!$B$5)+(MonteCarlo!$B$9+(Y$1^2)/2)*$A28)/(Y$1*SQRT($A28)))-(Y$1*SQRT($A28)),TRUE),MonteCarlo!$B$5*EXP(-MonteCarlo!$B$9*$A28)*_xlfn.NORM.S.DIST(-(((LN(MonteCarlo!$B$6/MonteCarlo!$B$5)+(MonteCarlo!$B$9+(Y$1^2)/2)*$A28)/(Y$1*SQRT($A28)))-(Y$1*SQRT($A28))),TRUE)-MonteCarlo!$B$6*_xlfn.NORM.S.DIST(-((LN(MonteCarlo!$B$6/MonteCarlo!$B$5)+(MonteCarlo!$B$9+(Y$1^2)/2)*$A28)/(Y$1*SQRT($A28))),TRUE)),"")</f>
        <v/>
      </c>
      <c r="Z28" t="str">
        <f>IFERROR(IF(OR(MonteCarlo!$B$4="C",MonteCarlo!$B$4="c"),MonteCarlo!$B$6*_xlfn.NORM.S.DIST((LN(MonteCarlo!$B$6/MonteCarlo!$B$5)+(MonteCarlo!$B$9+(Z$1^2)/2)*$A28)/(Z$1*SQRT($A28)),TRUE)-MonteCarlo!$B$5*EXP(-MonteCarlo!$B$9*$A28)*_xlfn.NORM.S.DIST(((LN(MonteCarlo!$B$6/MonteCarlo!$B$5)+(MonteCarlo!$B$9+(Z$1^2)/2)*$A28)/(Z$1*SQRT($A28)))-(Z$1*SQRT($A28)),TRUE),MonteCarlo!$B$5*EXP(-MonteCarlo!$B$9*$A28)*_xlfn.NORM.S.DIST(-(((LN(MonteCarlo!$B$6/MonteCarlo!$B$5)+(MonteCarlo!$B$9+(Z$1^2)/2)*$A28)/(Z$1*SQRT($A28)))-(Z$1*SQRT($A28))),TRUE)-MonteCarlo!$B$6*_xlfn.NORM.S.DIST(-((LN(MonteCarlo!$B$6/MonteCarlo!$B$5)+(MonteCarlo!$B$9+(Z$1^2)/2)*$A28)/(Z$1*SQRT($A28))),TRUE)),"")</f>
        <v/>
      </c>
      <c r="AA28" t="str">
        <f>IFERROR(IF(OR(MonteCarlo!$B$4="C",MonteCarlo!$B$4="c"),MonteCarlo!$B$6*_xlfn.NORM.S.DIST((LN(MonteCarlo!$B$6/MonteCarlo!$B$5)+(MonteCarlo!$B$9+(AA$1^2)/2)*$A28)/(AA$1*SQRT($A28)),TRUE)-MonteCarlo!$B$5*EXP(-MonteCarlo!$B$9*$A28)*_xlfn.NORM.S.DIST(((LN(MonteCarlo!$B$6/MonteCarlo!$B$5)+(MonteCarlo!$B$9+(AA$1^2)/2)*$A28)/(AA$1*SQRT($A28)))-(AA$1*SQRT($A28)),TRUE),MonteCarlo!$B$5*EXP(-MonteCarlo!$B$9*$A28)*_xlfn.NORM.S.DIST(-(((LN(MonteCarlo!$B$6/MonteCarlo!$B$5)+(MonteCarlo!$B$9+(AA$1^2)/2)*$A28)/(AA$1*SQRT($A28)))-(AA$1*SQRT($A28))),TRUE)-MonteCarlo!$B$6*_xlfn.NORM.S.DIST(-((LN(MonteCarlo!$B$6/MonteCarlo!$B$5)+(MonteCarlo!$B$9+(AA$1^2)/2)*$A28)/(AA$1*SQRT($A28))),TRUE)),"")</f>
        <v/>
      </c>
      <c r="AB28" t="str">
        <f>IFERROR(IF(OR(MonteCarlo!$B$4="C",MonteCarlo!$B$4="c"),MonteCarlo!$B$6*_xlfn.NORM.S.DIST((LN(MonteCarlo!$B$6/MonteCarlo!$B$5)+(MonteCarlo!$B$9+(AB$1^2)/2)*$A28)/(AB$1*SQRT($A28)),TRUE)-MonteCarlo!$B$5*EXP(-MonteCarlo!$B$9*$A28)*_xlfn.NORM.S.DIST(((LN(MonteCarlo!$B$6/MonteCarlo!$B$5)+(MonteCarlo!$B$9+(AB$1^2)/2)*$A28)/(AB$1*SQRT($A28)))-(AB$1*SQRT($A28)),TRUE),MonteCarlo!$B$5*EXP(-MonteCarlo!$B$9*$A28)*_xlfn.NORM.S.DIST(-(((LN(MonteCarlo!$B$6/MonteCarlo!$B$5)+(MonteCarlo!$B$9+(AB$1^2)/2)*$A28)/(AB$1*SQRT($A28)))-(AB$1*SQRT($A28))),TRUE)-MonteCarlo!$B$6*_xlfn.NORM.S.DIST(-((LN(MonteCarlo!$B$6/MonteCarlo!$B$5)+(MonteCarlo!$B$9+(AB$1^2)/2)*$A28)/(AB$1*SQRT($A28))),TRUE)),"")</f>
        <v/>
      </c>
      <c r="AC28" t="str">
        <f>IFERROR(IF(OR(MonteCarlo!$B$4="C",MonteCarlo!$B$4="c"),MonteCarlo!$B$6*_xlfn.NORM.S.DIST((LN(MonteCarlo!$B$6/MonteCarlo!$B$5)+(MonteCarlo!$B$9+(AC$1^2)/2)*$A28)/(AC$1*SQRT($A28)),TRUE)-MonteCarlo!$B$5*EXP(-MonteCarlo!$B$9*$A28)*_xlfn.NORM.S.DIST(((LN(MonteCarlo!$B$6/MonteCarlo!$B$5)+(MonteCarlo!$B$9+(AC$1^2)/2)*$A28)/(AC$1*SQRT($A28)))-(AC$1*SQRT($A28)),TRUE),MonteCarlo!$B$5*EXP(-MonteCarlo!$B$9*$A28)*_xlfn.NORM.S.DIST(-(((LN(MonteCarlo!$B$6/MonteCarlo!$B$5)+(MonteCarlo!$B$9+(AC$1^2)/2)*$A28)/(AC$1*SQRT($A28)))-(AC$1*SQRT($A28))),TRUE)-MonteCarlo!$B$6*_xlfn.NORM.S.DIST(-((LN(MonteCarlo!$B$6/MonteCarlo!$B$5)+(MonteCarlo!$B$9+(AC$1^2)/2)*$A28)/(AC$1*SQRT($A28))),TRUE)),"")</f>
        <v/>
      </c>
      <c r="AD28" t="str">
        <f>IFERROR(IF(OR(MonteCarlo!$B$4="C",MonteCarlo!$B$4="c"),MonteCarlo!$B$6*_xlfn.NORM.S.DIST((LN(MonteCarlo!$B$6/MonteCarlo!$B$5)+(MonteCarlo!$B$9+(AD$1^2)/2)*$A28)/(AD$1*SQRT($A28)),TRUE)-MonteCarlo!$B$5*EXP(-MonteCarlo!$B$9*$A28)*_xlfn.NORM.S.DIST(((LN(MonteCarlo!$B$6/MonteCarlo!$B$5)+(MonteCarlo!$B$9+(AD$1^2)/2)*$A28)/(AD$1*SQRT($A28)))-(AD$1*SQRT($A28)),TRUE),MonteCarlo!$B$5*EXP(-MonteCarlo!$B$9*$A28)*_xlfn.NORM.S.DIST(-(((LN(MonteCarlo!$B$6/MonteCarlo!$B$5)+(MonteCarlo!$B$9+(AD$1^2)/2)*$A28)/(AD$1*SQRT($A28)))-(AD$1*SQRT($A28))),TRUE)-MonteCarlo!$B$6*_xlfn.NORM.S.DIST(-((LN(MonteCarlo!$B$6/MonteCarlo!$B$5)+(MonteCarlo!$B$9+(AD$1^2)/2)*$A28)/(AD$1*SQRT($A28))),TRUE)),"")</f>
        <v/>
      </c>
      <c r="AE28" t="str">
        <f>IFERROR(IF(OR(MonteCarlo!$B$4="C",MonteCarlo!$B$4="c"),MonteCarlo!$B$6*_xlfn.NORM.S.DIST((LN(MonteCarlo!$B$6/MonteCarlo!$B$5)+(MonteCarlo!$B$9+(AE$1^2)/2)*$A28)/(AE$1*SQRT($A28)),TRUE)-MonteCarlo!$B$5*EXP(-MonteCarlo!$B$9*$A28)*_xlfn.NORM.S.DIST(((LN(MonteCarlo!$B$6/MonteCarlo!$B$5)+(MonteCarlo!$B$9+(AE$1^2)/2)*$A28)/(AE$1*SQRT($A28)))-(AE$1*SQRT($A28)),TRUE),MonteCarlo!$B$5*EXP(-MonteCarlo!$B$9*$A28)*_xlfn.NORM.S.DIST(-(((LN(MonteCarlo!$B$6/MonteCarlo!$B$5)+(MonteCarlo!$B$9+(AE$1^2)/2)*$A28)/(AE$1*SQRT($A28)))-(AE$1*SQRT($A28))),TRUE)-MonteCarlo!$B$6*_xlfn.NORM.S.DIST(-((LN(MonteCarlo!$B$6/MonteCarlo!$B$5)+(MonteCarlo!$B$9+(AE$1^2)/2)*$A28)/(AE$1*SQRT($A28))),TRUE)),"")</f>
        <v/>
      </c>
      <c r="AF28" t="str">
        <f>IFERROR(IF(OR(MonteCarlo!$B$4="C",MonteCarlo!$B$4="c"),MonteCarlo!$B$6*_xlfn.NORM.S.DIST((LN(MonteCarlo!$B$6/MonteCarlo!$B$5)+(MonteCarlo!$B$9+(AF$1^2)/2)*$A28)/(AF$1*SQRT($A28)),TRUE)-MonteCarlo!$B$5*EXP(-MonteCarlo!$B$9*$A28)*_xlfn.NORM.S.DIST(((LN(MonteCarlo!$B$6/MonteCarlo!$B$5)+(MonteCarlo!$B$9+(AF$1^2)/2)*$A28)/(AF$1*SQRT($A28)))-(AF$1*SQRT($A28)),TRUE),MonteCarlo!$B$5*EXP(-MonteCarlo!$B$9*$A28)*_xlfn.NORM.S.DIST(-(((LN(MonteCarlo!$B$6/MonteCarlo!$B$5)+(MonteCarlo!$B$9+(AF$1^2)/2)*$A28)/(AF$1*SQRT($A28)))-(AF$1*SQRT($A28))),TRUE)-MonteCarlo!$B$6*_xlfn.NORM.S.DIST(-((LN(MonteCarlo!$B$6/MonteCarlo!$B$5)+(MonteCarlo!$B$9+(AF$1^2)/2)*$A28)/(AF$1*SQRT($A28))),TRUE)),"")</f>
        <v/>
      </c>
    </row>
    <row r="29" spans="2:32" x14ac:dyDescent="0.25">
      <c r="B29" t="str">
        <f>IFERROR(IF(OR(MonteCarlo!$B$4="C",MonteCarlo!$B$4="c"),MonteCarlo!$B$6*_xlfn.NORM.S.DIST((LN(MonteCarlo!$B$6/MonteCarlo!$B$5)+(MonteCarlo!$B$9+(B$1^2)/2)*$A29)/(B$1*SQRT($A29)),TRUE)-MonteCarlo!$B$5*EXP(-MonteCarlo!$B$9*$A29)*_xlfn.NORM.S.DIST(((LN(MonteCarlo!$B$6/MonteCarlo!$B$5)+(MonteCarlo!$B$9+(B$1^2)/2)*$A29)/(B$1*SQRT($A29)))-(B$1*SQRT($A29)),TRUE),MonteCarlo!$B$5*EXP(-MonteCarlo!$B$9*$A29)*_xlfn.NORM.S.DIST(-(((LN(MonteCarlo!$B$6/MonteCarlo!$B$5)+(MonteCarlo!$B$9+(B$1^2)/2)*$A29)/(B$1*SQRT($A29)))-(B$1*SQRT($A29))),TRUE)-MonteCarlo!$B$6*_xlfn.NORM.S.DIST(-((LN(MonteCarlo!$B$6/MonteCarlo!$B$5)+(MonteCarlo!$B$9+(B$1^2)/2)*$A29)/(B$1*SQRT($A29))),TRUE)),"")</f>
        <v/>
      </c>
      <c r="C29" t="str">
        <f>IFERROR(IF(OR(MonteCarlo!$B$4="C",MonteCarlo!$B$4="c"),MonteCarlo!$B$6*_xlfn.NORM.S.DIST((LN(MonteCarlo!$B$6/MonteCarlo!$B$5)+(MonteCarlo!$B$9+(C$1^2)/2)*$A29)/(C$1*SQRT($A29)),TRUE)-MonteCarlo!$B$5*EXP(-MonteCarlo!$B$9*$A29)*_xlfn.NORM.S.DIST(((LN(MonteCarlo!$B$6/MonteCarlo!$B$5)+(MonteCarlo!$B$9+(C$1^2)/2)*$A29)/(C$1*SQRT($A29)))-(C$1*SQRT($A29)),TRUE),MonteCarlo!$B$5*EXP(-MonteCarlo!$B$9*$A29)*_xlfn.NORM.S.DIST(-(((LN(MonteCarlo!$B$6/MonteCarlo!$B$5)+(MonteCarlo!$B$9+(C$1^2)/2)*$A29)/(C$1*SQRT($A29)))-(C$1*SQRT($A29))),TRUE)-MonteCarlo!$B$6*_xlfn.NORM.S.DIST(-((LN(MonteCarlo!$B$6/MonteCarlo!$B$5)+(MonteCarlo!$B$9+(C$1^2)/2)*$A29)/(C$1*SQRT($A29))),TRUE)),"")</f>
        <v/>
      </c>
      <c r="D29" t="str">
        <f>IFERROR(IF(OR(MonteCarlo!$B$4="C",MonteCarlo!$B$4="c"),MonteCarlo!$B$6*_xlfn.NORM.S.DIST((LN(MonteCarlo!$B$6/MonteCarlo!$B$5)+(MonteCarlo!$B$9+(D$1^2)/2)*$A29)/(D$1*SQRT($A29)),TRUE)-MonteCarlo!$B$5*EXP(-MonteCarlo!$B$9*$A29)*_xlfn.NORM.S.DIST(((LN(MonteCarlo!$B$6/MonteCarlo!$B$5)+(MonteCarlo!$B$9+(D$1^2)/2)*$A29)/(D$1*SQRT($A29)))-(D$1*SQRT($A29)),TRUE),MonteCarlo!$B$5*EXP(-MonteCarlo!$B$9*$A29)*_xlfn.NORM.S.DIST(-(((LN(MonteCarlo!$B$6/MonteCarlo!$B$5)+(MonteCarlo!$B$9+(D$1^2)/2)*$A29)/(D$1*SQRT($A29)))-(D$1*SQRT($A29))),TRUE)-MonteCarlo!$B$6*_xlfn.NORM.S.DIST(-((LN(MonteCarlo!$B$6/MonteCarlo!$B$5)+(MonteCarlo!$B$9+(D$1^2)/2)*$A29)/(D$1*SQRT($A29))),TRUE)),"")</f>
        <v/>
      </c>
      <c r="E29" t="str">
        <f>IFERROR(IF(OR(MonteCarlo!$B$4="C",MonteCarlo!$B$4="c"),MonteCarlo!$B$6*_xlfn.NORM.S.DIST((LN(MonteCarlo!$B$6/MonteCarlo!$B$5)+(MonteCarlo!$B$9+(E$1^2)/2)*$A29)/(E$1*SQRT($A29)),TRUE)-MonteCarlo!$B$5*EXP(-MonteCarlo!$B$9*$A29)*_xlfn.NORM.S.DIST(((LN(MonteCarlo!$B$6/MonteCarlo!$B$5)+(MonteCarlo!$B$9+(E$1^2)/2)*$A29)/(E$1*SQRT($A29)))-(E$1*SQRT($A29)),TRUE),MonteCarlo!$B$5*EXP(-MonteCarlo!$B$9*$A29)*_xlfn.NORM.S.DIST(-(((LN(MonteCarlo!$B$6/MonteCarlo!$B$5)+(MonteCarlo!$B$9+(E$1^2)/2)*$A29)/(E$1*SQRT($A29)))-(E$1*SQRT($A29))),TRUE)-MonteCarlo!$B$6*_xlfn.NORM.S.DIST(-((LN(MonteCarlo!$B$6/MonteCarlo!$B$5)+(MonteCarlo!$B$9+(E$1^2)/2)*$A29)/(E$1*SQRT($A29))),TRUE)),"")</f>
        <v/>
      </c>
      <c r="F29" t="str">
        <f>IFERROR(IF(OR(MonteCarlo!$B$4="C",MonteCarlo!$B$4="c"),MonteCarlo!$B$6*_xlfn.NORM.S.DIST((LN(MonteCarlo!$B$6/MonteCarlo!$B$5)+(MonteCarlo!$B$9+(F$1^2)/2)*$A29)/(F$1*SQRT($A29)),TRUE)-MonteCarlo!$B$5*EXP(-MonteCarlo!$B$9*$A29)*_xlfn.NORM.S.DIST(((LN(MonteCarlo!$B$6/MonteCarlo!$B$5)+(MonteCarlo!$B$9+(F$1^2)/2)*$A29)/(F$1*SQRT($A29)))-(F$1*SQRT($A29)),TRUE),MonteCarlo!$B$5*EXP(-MonteCarlo!$B$9*$A29)*_xlfn.NORM.S.DIST(-(((LN(MonteCarlo!$B$6/MonteCarlo!$B$5)+(MonteCarlo!$B$9+(F$1^2)/2)*$A29)/(F$1*SQRT($A29)))-(F$1*SQRT($A29))),TRUE)-MonteCarlo!$B$6*_xlfn.NORM.S.DIST(-((LN(MonteCarlo!$B$6/MonteCarlo!$B$5)+(MonteCarlo!$B$9+(F$1^2)/2)*$A29)/(F$1*SQRT($A29))),TRUE)),"")</f>
        <v/>
      </c>
      <c r="G29" t="str">
        <f>IFERROR(IF(OR(MonteCarlo!$B$4="C",MonteCarlo!$B$4="c"),MonteCarlo!$B$6*_xlfn.NORM.S.DIST((LN(MonteCarlo!$B$6/MonteCarlo!$B$5)+(MonteCarlo!$B$9+(G$1^2)/2)*$A29)/(G$1*SQRT($A29)),TRUE)-MonteCarlo!$B$5*EXP(-MonteCarlo!$B$9*$A29)*_xlfn.NORM.S.DIST(((LN(MonteCarlo!$B$6/MonteCarlo!$B$5)+(MonteCarlo!$B$9+(G$1^2)/2)*$A29)/(G$1*SQRT($A29)))-(G$1*SQRT($A29)),TRUE),MonteCarlo!$B$5*EXP(-MonteCarlo!$B$9*$A29)*_xlfn.NORM.S.DIST(-(((LN(MonteCarlo!$B$6/MonteCarlo!$B$5)+(MonteCarlo!$B$9+(G$1^2)/2)*$A29)/(G$1*SQRT($A29)))-(G$1*SQRT($A29))),TRUE)-MonteCarlo!$B$6*_xlfn.NORM.S.DIST(-((LN(MonteCarlo!$B$6/MonteCarlo!$B$5)+(MonteCarlo!$B$9+(G$1^2)/2)*$A29)/(G$1*SQRT($A29))),TRUE)),"")</f>
        <v/>
      </c>
      <c r="H29" t="str">
        <f>IFERROR(IF(OR(MonteCarlo!$B$4="C",MonteCarlo!$B$4="c"),MonteCarlo!$B$6*_xlfn.NORM.S.DIST((LN(MonteCarlo!$B$6/MonteCarlo!$B$5)+(MonteCarlo!$B$9+(H$1^2)/2)*$A29)/(H$1*SQRT($A29)),TRUE)-MonteCarlo!$B$5*EXP(-MonteCarlo!$B$9*$A29)*_xlfn.NORM.S.DIST(((LN(MonteCarlo!$B$6/MonteCarlo!$B$5)+(MonteCarlo!$B$9+(H$1^2)/2)*$A29)/(H$1*SQRT($A29)))-(H$1*SQRT($A29)),TRUE),MonteCarlo!$B$5*EXP(-MonteCarlo!$B$9*$A29)*_xlfn.NORM.S.DIST(-(((LN(MonteCarlo!$B$6/MonteCarlo!$B$5)+(MonteCarlo!$B$9+(H$1^2)/2)*$A29)/(H$1*SQRT($A29)))-(H$1*SQRT($A29))),TRUE)-MonteCarlo!$B$6*_xlfn.NORM.S.DIST(-((LN(MonteCarlo!$B$6/MonteCarlo!$B$5)+(MonteCarlo!$B$9+(H$1^2)/2)*$A29)/(H$1*SQRT($A29))),TRUE)),"")</f>
        <v/>
      </c>
      <c r="I29" t="str">
        <f>IFERROR(IF(OR(MonteCarlo!$B$4="C",MonteCarlo!$B$4="c"),MonteCarlo!$B$6*_xlfn.NORM.S.DIST((LN(MonteCarlo!$B$6/MonteCarlo!$B$5)+(MonteCarlo!$B$9+(I$1^2)/2)*$A29)/(I$1*SQRT($A29)),TRUE)-MonteCarlo!$B$5*EXP(-MonteCarlo!$B$9*$A29)*_xlfn.NORM.S.DIST(((LN(MonteCarlo!$B$6/MonteCarlo!$B$5)+(MonteCarlo!$B$9+(I$1^2)/2)*$A29)/(I$1*SQRT($A29)))-(I$1*SQRT($A29)),TRUE),MonteCarlo!$B$5*EXP(-MonteCarlo!$B$9*$A29)*_xlfn.NORM.S.DIST(-(((LN(MonteCarlo!$B$6/MonteCarlo!$B$5)+(MonteCarlo!$B$9+(I$1^2)/2)*$A29)/(I$1*SQRT($A29)))-(I$1*SQRT($A29))),TRUE)-MonteCarlo!$B$6*_xlfn.NORM.S.DIST(-((LN(MonteCarlo!$B$6/MonteCarlo!$B$5)+(MonteCarlo!$B$9+(I$1^2)/2)*$A29)/(I$1*SQRT($A29))),TRUE)),"")</f>
        <v/>
      </c>
      <c r="J29" t="str">
        <f>IFERROR(IF(OR(MonteCarlo!$B$4="C",MonteCarlo!$B$4="c"),MonteCarlo!$B$6*_xlfn.NORM.S.DIST((LN(MonteCarlo!$B$6/MonteCarlo!$B$5)+(MonteCarlo!$B$9+(J$1^2)/2)*$A29)/(J$1*SQRT($A29)),TRUE)-MonteCarlo!$B$5*EXP(-MonteCarlo!$B$9*$A29)*_xlfn.NORM.S.DIST(((LN(MonteCarlo!$B$6/MonteCarlo!$B$5)+(MonteCarlo!$B$9+(J$1^2)/2)*$A29)/(J$1*SQRT($A29)))-(J$1*SQRT($A29)),TRUE),MonteCarlo!$B$5*EXP(-MonteCarlo!$B$9*$A29)*_xlfn.NORM.S.DIST(-(((LN(MonteCarlo!$B$6/MonteCarlo!$B$5)+(MonteCarlo!$B$9+(J$1^2)/2)*$A29)/(J$1*SQRT($A29)))-(J$1*SQRT($A29))),TRUE)-MonteCarlo!$B$6*_xlfn.NORM.S.DIST(-((LN(MonteCarlo!$B$6/MonteCarlo!$B$5)+(MonteCarlo!$B$9+(J$1^2)/2)*$A29)/(J$1*SQRT($A29))),TRUE)),"")</f>
        <v/>
      </c>
      <c r="K29" t="str">
        <f>IFERROR(IF(OR(MonteCarlo!$B$4="C",MonteCarlo!$B$4="c"),MonteCarlo!$B$6*_xlfn.NORM.S.DIST((LN(MonteCarlo!$B$6/MonteCarlo!$B$5)+(MonteCarlo!$B$9+(K$1^2)/2)*$A29)/(K$1*SQRT($A29)),TRUE)-MonteCarlo!$B$5*EXP(-MonteCarlo!$B$9*$A29)*_xlfn.NORM.S.DIST(((LN(MonteCarlo!$B$6/MonteCarlo!$B$5)+(MonteCarlo!$B$9+(K$1^2)/2)*$A29)/(K$1*SQRT($A29)))-(K$1*SQRT($A29)),TRUE),MonteCarlo!$B$5*EXP(-MonteCarlo!$B$9*$A29)*_xlfn.NORM.S.DIST(-(((LN(MonteCarlo!$B$6/MonteCarlo!$B$5)+(MonteCarlo!$B$9+(K$1^2)/2)*$A29)/(K$1*SQRT($A29)))-(K$1*SQRT($A29))),TRUE)-MonteCarlo!$B$6*_xlfn.NORM.S.DIST(-((LN(MonteCarlo!$B$6/MonteCarlo!$B$5)+(MonteCarlo!$B$9+(K$1^2)/2)*$A29)/(K$1*SQRT($A29))),TRUE)),"")</f>
        <v/>
      </c>
      <c r="L29" t="str">
        <f>IFERROR(IF(OR(MonteCarlo!$B$4="C",MonteCarlo!$B$4="c"),MonteCarlo!$B$6*_xlfn.NORM.S.DIST((LN(MonteCarlo!$B$6/MonteCarlo!$B$5)+(MonteCarlo!$B$9+(L$1^2)/2)*$A29)/(L$1*SQRT($A29)),TRUE)-MonteCarlo!$B$5*EXP(-MonteCarlo!$B$9*$A29)*_xlfn.NORM.S.DIST(((LN(MonteCarlo!$B$6/MonteCarlo!$B$5)+(MonteCarlo!$B$9+(L$1^2)/2)*$A29)/(L$1*SQRT($A29)))-(L$1*SQRT($A29)),TRUE),MonteCarlo!$B$5*EXP(-MonteCarlo!$B$9*$A29)*_xlfn.NORM.S.DIST(-(((LN(MonteCarlo!$B$6/MonteCarlo!$B$5)+(MonteCarlo!$B$9+(L$1^2)/2)*$A29)/(L$1*SQRT($A29)))-(L$1*SQRT($A29))),TRUE)-MonteCarlo!$B$6*_xlfn.NORM.S.DIST(-((LN(MonteCarlo!$B$6/MonteCarlo!$B$5)+(MonteCarlo!$B$9+(L$1^2)/2)*$A29)/(L$1*SQRT($A29))),TRUE)),"")</f>
        <v/>
      </c>
      <c r="M29" t="str">
        <f>IFERROR(IF(OR(MonteCarlo!$B$4="C",MonteCarlo!$B$4="c"),MonteCarlo!$B$6*_xlfn.NORM.S.DIST((LN(MonteCarlo!$B$6/MonteCarlo!$B$5)+(MonteCarlo!$B$9+(M$1^2)/2)*$A29)/(M$1*SQRT($A29)),TRUE)-MonteCarlo!$B$5*EXP(-MonteCarlo!$B$9*$A29)*_xlfn.NORM.S.DIST(((LN(MonteCarlo!$B$6/MonteCarlo!$B$5)+(MonteCarlo!$B$9+(M$1^2)/2)*$A29)/(M$1*SQRT($A29)))-(M$1*SQRT($A29)),TRUE),MonteCarlo!$B$5*EXP(-MonteCarlo!$B$9*$A29)*_xlfn.NORM.S.DIST(-(((LN(MonteCarlo!$B$6/MonteCarlo!$B$5)+(MonteCarlo!$B$9+(M$1^2)/2)*$A29)/(M$1*SQRT($A29)))-(M$1*SQRT($A29))),TRUE)-MonteCarlo!$B$6*_xlfn.NORM.S.DIST(-((LN(MonteCarlo!$B$6/MonteCarlo!$B$5)+(MonteCarlo!$B$9+(M$1^2)/2)*$A29)/(M$1*SQRT($A29))),TRUE)),"")</f>
        <v/>
      </c>
      <c r="N29" t="str">
        <f>IFERROR(IF(OR(MonteCarlo!$B$4="C",MonteCarlo!$B$4="c"),MonteCarlo!$B$6*_xlfn.NORM.S.DIST((LN(MonteCarlo!$B$6/MonteCarlo!$B$5)+(MonteCarlo!$B$9+(N$1^2)/2)*$A29)/(N$1*SQRT($A29)),TRUE)-MonteCarlo!$B$5*EXP(-MonteCarlo!$B$9*$A29)*_xlfn.NORM.S.DIST(((LN(MonteCarlo!$B$6/MonteCarlo!$B$5)+(MonteCarlo!$B$9+(N$1^2)/2)*$A29)/(N$1*SQRT($A29)))-(N$1*SQRT($A29)),TRUE),MonteCarlo!$B$5*EXP(-MonteCarlo!$B$9*$A29)*_xlfn.NORM.S.DIST(-(((LN(MonteCarlo!$B$6/MonteCarlo!$B$5)+(MonteCarlo!$B$9+(N$1^2)/2)*$A29)/(N$1*SQRT($A29)))-(N$1*SQRT($A29))),TRUE)-MonteCarlo!$B$6*_xlfn.NORM.S.DIST(-((LN(MonteCarlo!$B$6/MonteCarlo!$B$5)+(MonteCarlo!$B$9+(N$1^2)/2)*$A29)/(N$1*SQRT($A29))),TRUE)),"")</f>
        <v/>
      </c>
      <c r="O29" t="str">
        <f>IFERROR(IF(OR(MonteCarlo!$B$4="C",MonteCarlo!$B$4="c"),MonteCarlo!$B$6*_xlfn.NORM.S.DIST((LN(MonteCarlo!$B$6/MonteCarlo!$B$5)+(MonteCarlo!$B$9+(O$1^2)/2)*$A29)/(O$1*SQRT($A29)),TRUE)-MonteCarlo!$B$5*EXP(-MonteCarlo!$B$9*$A29)*_xlfn.NORM.S.DIST(((LN(MonteCarlo!$B$6/MonteCarlo!$B$5)+(MonteCarlo!$B$9+(O$1^2)/2)*$A29)/(O$1*SQRT($A29)))-(O$1*SQRT($A29)),TRUE),MonteCarlo!$B$5*EXP(-MonteCarlo!$B$9*$A29)*_xlfn.NORM.S.DIST(-(((LN(MonteCarlo!$B$6/MonteCarlo!$B$5)+(MonteCarlo!$B$9+(O$1^2)/2)*$A29)/(O$1*SQRT($A29)))-(O$1*SQRT($A29))),TRUE)-MonteCarlo!$B$6*_xlfn.NORM.S.DIST(-((LN(MonteCarlo!$B$6/MonteCarlo!$B$5)+(MonteCarlo!$B$9+(O$1^2)/2)*$A29)/(O$1*SQRT($A29))),TRUE)),"")</f>
        <v/>
      </c>
      <c r="P29" t="str">
        <f>IFERROR(IF(OR(MonteCarlo!$B$4="C",MonteCarlo!$B$4="c"),MonteCarlo!$B$6*_xlfn.NORM.S.DIST((LN(MonteCarlo!$B$6/MonteCarlo!$B$5)+(MonteCarlo!$B$9+(P$1^2)/2)*$A29)/(P$1*SQRT($A29)),TRUE)-MonteCarlo!$B$5*EXP(-MonteCarlo!$B$9*$A29)*_xlfn.NORM.S.DIST(((LN(MonteCarlo!$B$6/MonteCarlo!$B$5)+(MonteCarlo!$B$9+(P$1^2)/2)*$A29)/(P$1*SQRT($A29)))-(P$1*SQRT($A29)),TRUE),MonteCarlo!$B$5*EXP(-MonteCarlo!$B$9*$A29)*_xlfn.NORM.S.DIST(-(((LN(MonteCarlo!$B$6/MonteCarlo!$B$5)+(MonteCarlo!$B$9+(P$1^2)/2)*$A29)/(P$1*SQRT($A29)))-(P$1*SQRT($A29))),TRUE)-MonteCarlo!$B$6*_xlfn.NORM.S.DIST(-((LN(MonteCarlo!$B$6/MonteCarlo!$B$5)+(MonteCarlo!$B$9+(P$1^2)/2)*$A29)/(P$1*SQRT($A29))),TRUE)),"")</f>
        <v/>
      </c>
      <c r="Q29" t="str">
        <f>IFERROR(IF(OR(MonteCarlo!$B$4="C",MonteCarlo!$B$4="c"),MonteCarlo!$B$6*_xlfn.NORM.S.DIST((LN(MonteCarlo!$B$6/MonteCarlo!$B$5)+(MonteCarlo!$B$9+(Q$1^2)/2)*$A29)/(Q$1*SQRT($A29)),TRUE)-MonteCarlo!$B$5*EXP(-MonteCarlo!$B$9*$A29)*_xlfn.NORM.S.DIST(((LN(MonteCarlo!$B$6/MonteCarlo!$B$5)+(MonteCarlo!$B$9+(Q$1^2)/2)*$A29)/(Q$1*SQRT($A29)))-(Q$1*SQRT($A29)),TRUE),MonteCarlo!$B$5*EXP(-MonteCarlo!$B$9*$A29)*_xlfn.NORM.S.DIST(-(((LN(MonteCarlo!$B$6/MonteCarlo!$B$5)+(MonteCarlo!$B$9+(Q$1^2)/2)*$A29)/(Q$1*SQRT($A29)))-(Q$1*SQRT($A29))),TRUE)-MonteCarlo!$B$6*_xlfn.NORM.S.DIST(-((LN(MonteCarlo!$B$6/MonteCarlo!$B$5)+(MonteCarlo!$B$9+(Q$1^2)/2)*$A29)/(Q$1*SQRT($A29))),TRUE)),"")</f>
        <v/>
      </c>
      <c r="R29" t="str">
        <f>IFERROR(IF(OR(MonteCarlo!$B$4="C",MonteCarlo!$B$4="c"),MonteCarlo!$B$6*_xlfn.NORM.S.DIST((LN(MonteCarlo!$B$6/MonteCarlo!$B$5)+(MonteCarlo!$B$9+(R$1^2)/2)*$A29)/(R$1*SQRT($A29)),TRUE)-MonteCarlo!$B$5*EXP(-MonteCarlo!$B$9*$A29)*_xlfn.NORM.S.DIST(((LN(MonteCarlo!$B$6/MonteCarlo!$B$5)+(MonteCarlo!$B$9+(R$1^2)/2)*$A29)/(R$1*SQRT($A29)))-(R$1*SQRT($A29)),TRUE),MonteCarlo!$B$5*EXP(-MonteCarlo!$B$9*$A29)*_xlfn.NORM.S.DIST(-(((LN(MonteCarlo!$B$6/MonteCarlo!$B$5)+(MonteCarlo!$B$9+(R$1^2)/2)*$A29)/(R$1*SQRT($A29)))-(R$1*SQRT($A29))),TRUE)-MonteCarlo!$B$6*_xlfn.NORM.S.DIST(-((LN(MonteCarlo!$B$6/MonteCarlo!$B$5)+(MonteCarlo!$B$9+(R$1^2)/2)*$A29)/(R$1*SQRT($A29))),TRUE)),"")</f>
        <v/>
      </c>
      <c r="S29" t="str">
        <f>IFERROR(IF(OR(MonteCarlo!$B$4="C",MonteCarlo!$B$4="c"),MonteCarlo!$B$6*_xlfn.NORM.S.DIST((LN(MonteCarlo!$B$6/MonteCarlo!$B$5)+(MonteCarlo!$B$9+(S$1^2)/2)*$A29)/(S$1*SQRT($A29)),TRUE)-MonteCarlo!$B$5*EXP(-MonteCarlo!$B$9*$A29)*_xlfn.NORM.S.DIST(((LN(MonteCarlo!$B$6/MonteCarlo!$B$5)+(MonteCarlo!$B$9+(S$1^2)/2)*$A29)/(S$1*SQRT($A29)))-(S$1*SQRT($A29)),TRUE),MonteCarlo!$B$5*EXP(-MonteCarlo!$B$9*$A29)*_xlfn.NORM.S.DIST(-(((LN(MonteCarlo!$B$6/MonteCarlo!$B$5)+(MonteCarlo!$B$9+(S$1^2)/2)*$A29)/(S$1*SQRT($A29)))-(S$1*SQRT($A29))),TRUE)-MonteCarlo!$B$6*_xlfn.NORM.S.DIST(-((LN(MonteCarlo!$B$6/MonteCarlo!$B$5)+(MonteCarlo!$B$9+(S$1^2)/2)*$A29)/(S$1*SQRT($A29))),TRUE)),"")</f>
        <v/>
      </c>
      <c r="T29" t="str">
        <f>IFERROR(IF(OR(MonteCarlo!$B$4="C",MonteCarlo!$B$4="c"),MonteCarlo!$B$6*_xlfn.NORM.S.DIST((LN(MonteCarlo!$B$6/MonteCarlo!$B$5)+(MonteCarlo!$B$9+(T$1^2)/2)*$A29)/(T$1*SQRT($A29)),TRUE)-MonteCarlo!$B$5*EXP(-MonteCarlo!$B$9*$A29)*_xlfn.NORM.S.DIST(((LN(MonteCarlo!$B$6/MonteCarlo!$B$5)+(MonteCarlo!$B$9+(T$1^2)/2)*$A29)/(T$1*SQRT($A29)))-(T$1*SQRT($A29)),TRUE),MonteCarlo!$B$5*EXP(-MonteCarlo!$B$9*$A29)*_xlfn.NORM.S.DIST(-(((LN(MonteCarlo!$B$6/MonteCarlo!$B$5)+(MonteCarlo!$B$9+(T$1^2)/2)*$A29)/(T$1*SQRT($A29)))-(T$1*SQRT($A29))),TRUE)-MonteCarlo!$B$6*_xlfn.NORM.S.DIST(-((LN(MonteCarlo!$B$6/MonteCarlo!$B$5)+(MonteCarlo!$B$9+(T$1^2)/2)*$A29)/(T$1*SQRT($A29))),TRUE)),"")</f>
        <v/>
      </c>
      <c r="U29" t="str">
        <f>IFERROR(IF(OR(MonteCarlo!$B$4="C",MonteCarlo!$B$4="c"),MonteCarlo!$B$6*_xlfn.NORM.S.DIST((LN(MonteCarlo!$B$6/MonteCarlo!$B$5)+(MonteCarlo!$B$9+(U$1^2)/2)*$A29)/(U$1*SQRT($A29)),TRUE)-MonteCarlo!$B$5*EXP(-MonteCarlo!$B$9*$A29)*_xlfn.NORM.S.DIST(((LN(MonteCarlo!$B$6/MonteCarlo!$B$5)+(MonteCarlo!$B$9+(U$1^2)/2)*$A29)/(U$1*SQRT($A29)))-(U$1*SQRT($A29)),TRUE),MonteCarlo!$B$5*EXP(-MonteCarlo!$B$9*$A29)*_xlfn.NORM.S.DIST(-(((LN(MonteCarlo!$B$6/MonteCarlo!$B$5)+(MonteCarlo!$B$9+(U$1^2)/2)*$A29)/(U$1*SQRT($A29)))-(U$1*SQRT($A29))),TRUE)-MonteCarlo!$B$6*_xlfn.NORM.S.DIST(-((LN(MonteCarlo!$B$6/MonteCarlo!$B$5)+(MonteCarlo!$B$9+(U$1^2)/2)*$A29)/(U$1*SQRT($A29))),TRUE)),"")</f>
        <v/>
      </c>
      <c r="V29" t="str">
        <f>IFERROR(IF(OR(MonteCarlo!$B$4="C",MonteCarlo!$B$4="c"),MonteCarlo!$B$6*_xlfn.NORM.S.DIST((LN(MonteCarlo!$B$6/MonteCarlo!$B$5)+(MonteCarlo!$B$9+(V$1^2)/2)*$A29)/(V$1*SQRT($A29)),TRUE)-MonteCarlo!$B$5*EXP(-MonteCarlo!$B$9*$A29)*_xlfn.NORM.S.DIST(((LN(MonteCarlo!$B$6/MonteCarlo!$B$5)+(MonteCarlo!$B$9+(V$1^2)/2)*$A29)/(V$1*SQRT($A29)))-(V$1*SQRT($A29)),TRUE),MonteCarlo!$B$5*EXP(-MonteCarlo!$B$9*$A29)*_xlfn.NORM.S.DIST(-(((LN(MonteCarlo!$B$6/MonteCarlo!$B$5)+(MonteCarlo!$B$9+(V$1^2)/2)*$A29)/(V$1*SQRT($A29)))-(V$1*SQRT($A29))),TRUE)-MonteCarlo!$B$6*_xlfn.NORM.S.DIST(-((LN(MonteCarlo!$B$6/MonteCarlo!$B$5)+(MonteCarlo!$B$9+(V$1^2)/2)*$A29)/(V$1*SQRT($A29))),TRUE)),"")</f>
        <v/>
      </c>
      <c r="W29" t="str">
        <f>IFERROR(IF(OR(MonteCarlo!$B$4="C",MonteCarlo!$B$4="c"),MonteCarlo!$B$6*_xlfn.NORM.S.DIST((LN(MonteCarlo!$B$6/MonteCarlo!$B$5)+(MonteCarlo!$B$9+(W$1^2)/2)*$A29)/(W$1*SQRT($A29)),TRUE)-MonteCarlo!$B$5*EXP(-MonteCarlo!$B$9*$A29)*_xlfn.NORM.S.DIST(((LN(MonteCarlo!$B$6/MonteCarlo!$B$5)+(MonteCarlo!$B$9+(W$1^2)/2)*$A29)/(W$1*SQRT($A29)))-(W$1*SQRT($A29)),TRUE),MonteCarlo!$B$5*EXP(-MonteCarlo!$B$9*$A29)*_xlfn.NORM.S.DIST(-(((LN(MonteCarlo!$B$6/MonteCarlo!$B$5)+(MonteCarlo!$B$9+(W$1^2)/2)*$A29)/(W$1*SQRT($A29)))-(W$1*SQRT($A29))),TRUE)-MonteCarlo!$B$6*_xlfn.NORM.S.DIST(-((LN(MonteCarlo!$B$6/MonteCarlo!$B$5)+(MonteCarlo!$B$9+(W$1^2)/2)*$A29)/(W$1*SQRT($A29))),TRUE)),"")</f>
        <v/>
      </c>
      <c r="X29" t="str">
        <f>IFERROR(IF(OR(MonteCarlo!$B$4="C",MonteCarlo!$B$4="c"),MonteCarlo!$B$6*_xlfn.NORM.S.DIST((LN(MonteCarlo!$B$6/MonteCarlo!$B$5)+(MonteCarlo!$B$9+(X$1^2)/2)*$A29)/(X$1*SQRT($A29)),TRUE)-MonteCarlo!$B$5*EXP(-MonteCarlo!$B$9*$A29)*_xlfn.NORM.S.DIST(((LN(MonteCarlo!$B$6/MonteCarlo!$B$5)+(MonteCarlo!$B$9+(X$1^2)/2)*$A29)/(X$1*SQRT($A29)))-(X$1*SQRT($A29)),TRUE),MonteCarlo!$B$5*EXP(-MonteCarlo!$B$9*$A29)*_xlfn.NORM.S.DIST(-(((LN(MonteCarlo!$B$6/MonteCarlo!$B$5)+(MonteCarlo!$B$9+(X$1^2)/2)*$A29)/(X$1*SQRT($A29)))-(X$1*SQRT($A29))),TRUE)-MonteCarlo!$B$6*_xlfn.NORM.S.DIST(-((LN(MonteCarlo!$B$6/MonteCarlo!$B$5)+(MonteCarlo!$B$9+(X$1^2)/2)*$A29)/(X$1*SQRT($A29))),TRUE)),"")</f>
        <v/>
      </c>
      <c r="Y29" t="str">
        <f>IFERROR(IF(OR(MonteCarlo!$B$4="C",MonteCarlo!$B$4="c"),MonteCarlo!$B$6*_xlfn.NORM.S.DIST((LN(MonteCarlo!$B$6/MonteCarlo!$B$5)+(MonteCarlo!$B$9+(Y$1^2)/2)*$A29)/(Y$1*SQRT($A29)),TRUE)-MonteCarlo!$B$5*EXP(-MonteCarlo!$B$9*$A29)*_xlfn.NORM.S.DIST(((LN(MonteCarlo!$B$6/MonteCarlo!$B$5)+(MonteCarlo!$B$9+(Y$1^2)/2)*$A29)/(Y$1*SQRT($A29)))-(Y$1*SQRT($A29)),TRUE),MonteCarlo!$B$5*EXP(-MonteCarlo!$B$9*$A29)*_xlfn.NORM.S.DIST(-(((LN(MonteCarlo!$B$6/MonteCarlo!$B$5)+(MonteCarlo!$B$9+(Y$1^2)/2)*$A29)/(Y$1*SQRT($A29)))-(Y$1*SQRT($A29))),TRUE)-MonteCarlo!$B$6*_xlfn.NORM.S.DIST(-((LN(MonteCarlo!$B$6/MonteCarlo!$B$5)+(MonteCarlo!$B$9+(Y$1^2)/2)*$A29)/(Y$1*SQRT($A29))),TRUE)),"")</f>
        <v/>
      </c>
      <c r="Z29" t="str">
        <f>IFERROR(IF(OR(MonteCarlo!$B$4="C",MonteCarlo!$B$4="c"),MonteCarlo!$B$6*_xlfn.NORM.S.DIST((LN(MonteCarlo!$B$6/MonteCarlo!$B$5)+(MonteCarlo!$B$9+(Z$1^2)/2)*$A29)/(Z$1*SQRT($A29)),TRUE)-MonteCarlo!$B$5*EXP(-MonteCarlo!$B$9*$A29)*_xlfn.NORM.S.DIST(((LN(MonteCarlo!$B$6/MonteCarlo!$B$5)+(MonteCarlo!$B$9+(Z$1^2)/2)*$A29)/(Z$1*SQRT($A29)))-(Z$1*SQRT($A29)),TRUE),MonteCarlo!$B$5*EXP(-MonteCarlo!$B$9*$A29)*_xlfn.NORM.S.DIST(-(((LN(MonteCarlo!$B$6/MonteCarlo!$B$5)+(MonteCarlo!$B$9+(Z$1^2)/2)*$A29)/(Z$1*SQRT($A29)))-(Z$1*SQRT($A29))),TRUE)-MonteCarlo!$B$6*_xlfn.NORM.S.DIST(-((LN(MonteCarlo!$B$6/MonteCarlo!$B$5)+(MonteCarlo!$B$9+(Z$1^2)/2)*$A29)/(Z$1*SQRT($A29))),TRUE)),"")</f>
        <v/>
      </c>
      <c r="AA29" t="str">
        <f>IFERROR(IF(OR(MonteCarlo!$B$4="C",MonteCarlo!$B$4="c"),MonteCarlo!$B$6*_xlfn.NORM.S.DIST((LN(MonteCarlo!$B$6/MonteCarlo!$B$5)+(MonteCarlo!$B$9+(AA$1^2)/2)*$A29)/(AA$1*SQRT($A29)),TRUE)-MonteCarlo!$B$5*EXP(-MonteCarlo!$B$9*$A29)*_xlfn.NORM.S.DIST(((LN(MonteCarlo!$B$6/MonteCarlo!$B$5)+(MonteCarlo!$B$9+(AA$1^2)/2)*$A29)/(AA$1*SQRT($A29)))-(AA$1*SQRT($A29)),TRUE),MonteCarlo!$B$5*EXP(-MonteCarlo!$B$9*$A29)*_xlfn.NORM.S.DIST(-(((LN(MonteCarlo!$B$6/MonteCarlo!$B$5)+(MonteCarlo!$B$9+(AA$1^2)/2)*$A29)/(AA$1*SQRT($A29)))-(AA$1*SQRT($A29))),TRUE)-MonteCarlo!$B$6*_xlfn.NORM.S.DIST(-((LN(MonteCarlo!$B$6/MonteCarlo!$B$5)+(MonteCarlo!$B$9+(AA$1^2)/2)*$A29)/(AA$1*SQRT($A29))),TRUE)),"")</f>
        <v/>
      </c>
      <c r="AB29" t="str">
        <f>IFERROR(IF(OR(MonteCarlo!$B$4="C",MonteCarlo!$B$4="c"),MonteCarlo!$B$6*_xlfn.NORM.S.DIST((LN(MonteCarlo!$B$6/MonteCarlo!$B$5)+(MonteCarlo!$B$9+(AB$1^2)/2)*$A29)/(AB$1*SQRT($A29)),TRUE)-MonteCarlo!$B$5*EXP(-MonteCarlo!$B$9*$A29)*_xlfn.NORM.S.DIST(((LN(MonteCarlo!$B$6/MonteCarlo!$B$5)+(MonteCarlo!$B$9+(AB$1^2)/2)*$A29)/(AB$1*SQRT($A29)))-(AB$1*SQRT($A29)),TRUE),MonteCarlo!$B$5*EXP(-MonteCarlo!$B$9*$A29)*_xlfn.NORM.S.DIST(-(((LN(MonteCarlo!$B$6/MonteCarlo!$B$5)+(MonteCarlo!$B$9+(AB$1^2)/2)*$A29)/(AB$1*SQRT($A29)))-(AB$1*SQRT($A29))),TRUE)-MonteCarlo!$B$6*_xlfn.NORM.S.DIST(-((LN(MonteCarlo!$B$6/MonteCarlo!$B$5)+(MonteCarlo!$B$9+(AB$1^2)/2)*$A29)/(AB$1*SQRT($A29))),TRUE)),"")</f>
        <v/>
      </c>
      <c r="AC29" t="str">
        <f>IFERROR(IF(OR(MonteCarlo!$B$4="C",MonteCarlo!$B$4="c"),MonteCarlo!$B$6*_xlfn.NORM.S.DIST((LN(MonteCarlo!$B$6/MonteCarlo!$B$5)+(MonteCarlo!$B$9+(AC$1^2)/2)*$A29)/(AC$1*SQRT($A29)),TRUE)-MonteCarlo!$B$5*EXP(-MonteCarlo!$B$9*$A29)*_xlfn.NORM.S.DIST(((LN(MonteCarlo!$B$6/MonteCarlo!$B$5)+(MonteCarlo!$B$9+(AC$1^2)/2)*$A29)/(AC$1*SQRT($A29)))-(AC$1*SQRT($A29)),TRUE),MonteCarlo!$B$5*EXP(-MonteCarlo!$B$9*$A29)*_xlfn.NORM.S.DIST(-(((LN(MonteCarlo!$B$6/MonteCarlo!$B$5)+(MonteCarlo!$B$9+(AC$1^2)/2)*$A29)/(AC$1*SQRT($A29)))-(AC$1*SQRT($A29))),TRUE)-MonteCarlo!$B$6*_xlfn.NORM.S.DIST(-((LN(MonteCarlo!$B$6/MonteCarlo!$B$5)+(MonteCarlo!$B$9+(AC$1^2)/2)*$A29)/(AC$1*SQRT($A29))),TRUE)),"")</f>
        <v/>
      </c>
      <c r="AD29" t="str">
        <f>IFERROR(IF(OR(MonteCarlo!$B$4="C",MonteCarlo!$B$4="c"),MonteCarlo!$B$6*_xlfn.NORM.S.DIST((LN(MonteCarlo!$B$6/MonteCarlo!$B$5)+(MonteCarlo!$B$9+(AD$1^2)/2)*$A29)/(AD$1*SQRT($A29)),TRUE)-MonteCarlo!$B$5*EXP(-MonteCarlo!$B$9*$A29)*_xlfn.NORM.S.DIST(((LN(MonteCarlo!$B$6/MonteCarlo!$B$5)+(MonteCarlo!$B$9+(AD$1^2)/2)*$A29)/(AD$1*SQRT($A29)))-(AD$1*SQRT($A29)),TRUE),MonteCarlo!$B$5*EXP(-MonteCarlo!$B$9*$A29)*_xlfn.NORM.S.DIST(-(((LN(MonteCarlo!$B$6/MonteCarlo!$B$5)+(MonteCarlo!$B$9+(AD$1^2)/2)*$A29)/(AD$1*SQRT($A29)))-(AD$1*SQRT($A29))),TRUE)-MonteCarlo!$B$6*_xlfn.NORM.S.DIST(-((LN(MonteCarlo!$B$6/MonteCarlo!$B$5)+(MonteCarlo!$B$9+(AD$1^2)/2)*$A29)/(AD$1*SQRT($A29))),TRUE)),"")</f>
        <v/>
      </c>
      <c r="AE29" t="str">
        <f>IFERROR(IF(OR(MonteCarlo!$B$4="C",MonteCarlo!$B$4="c"),MonteCarlo!$B$6*_xlfn.NORM.S.DIST((LN(MonteCarlo!$B$6/MonteCarlo!$B$5)+(MonteCarlo!$B$9+(AE$1^2)/2)*$A29)/(AE$1*SQRT($A29)),TRUE)-MonteCarlo!$B$5*EXP(-MonteCarlo!$B$9*$A29)*_xlfn.NORM.S.DIST(((LN(MonteCarlo!$B$6/MonteCarlo!$B$5)+(MonteCarlo!$B$9+(AE$1^2)/2)*$A29)/(AE$1*SQRT($A29)))-(AE$1*SQRT($A29)),TRUE),MonteCarlo!$B$5*EXP(-MonteCarlo!$B$9*$A29)*_xlfn.NORM.S.DIST(-(((LN(MonteCarlo!$B$6/MonteCarlo!$B$5)+(MonteCarlo!$B$9+(AE$1^2)/2)*$A29)/(AE$1*SQRT($A29)))-(AE$1*SQRT($A29))),TRUE)-MonteCarlo!$B$6*_xlfn.NORM.S.DIST(-((LN(MonteCarlo!$B$6/MonteCarlo!$B$5)+(MonteCarlo!$B$9+(AE$1^2)/2)*$A29)/(AE$1*SQRT($A29))),TRUE)),"")</f>
        <v/>
      </c>
      <c r="AF29" t="str">
        <f>IFERROR(IF(OR(MonteCarlo!$B$4="C",MonteCarlo!$B$4="c"),MonteCarlo!$B$6*_xlfn.NORM.S.DIST((LN(MonteCarlo!$B$6/MonteCarlo!$B$5)+(MonteCarlo!$B$9+(AF$1^2)/2)*$A29)/(AF$1*SQRT($A29)),TRUE)-MonteCarlo!$B$5*EXP(-MonteCarlo!$B$9*$A29)*_xlfn.NORM.S.DIST(((LN(MonteCarlo!$B$6/MonteCarlo!$B$5)+(MonteCarlo!$B$9+(AF$1^2)/2)*$A29)/(AF$1*SQRT($A29)))-(AF$1*SQRT($A29)),TRUE),MonteCarlo!$B$5*EXP(-MonteCarlo!$B$9*$A29)*_xlfn.NORM.S.DIST(-(((LN(MonteCarlo!$B$6/MonteCarlo!$B$5)+(MonteCarlo!$B$9+(AF$1^2)/2)*$A29)/(AF$1*SQRT($A29)))-(AF$1*SQRT($A29))),TRUE)-MonteCarlo!$B$6*_xlfn.NORM.S.DIST(-((LN(MonteCarlo!$B$6/MonteCarlo!$B$5)+(MonteCarlo!$B$9+(AF$1^2)/2)*$A29)/(AF$1*SQRT($A29))),TRUE)),"")</f>
        <v/>
      </c>
    </row>
    <row r="30" spans="2:32" x14ac:dyDescent="0.25">
      <c r="B30" t="str">
        <f>IFERROR(IF(OR(MonteCarlo!$B$4="C",MonteCarlo!$B$4="c"),MonteCarlo!$B$6*_xlfn.NORM.S.DIST((LN(MonteCarlo!$B$6/MonteCarlo!$B$5)+(MonteCarlo!$B$9+(B$1^2)/2)*$A30)/(B$1*SQRT($A30)),TRUE)-MonteCarlo!$B$5*EXP(-MonteCarlo!$B$9*$A30)*_xlfn.NORM.S.DIST(((LN(MonteCarlo!$B$6/MonteCarlo!$B$5)+(MonteCarlo!$B$9+(B$1^2)/2)*$A30)/(B$1*SQRT($A30)))-(B$1*SQRT($A30)),TRUE),MonteCarlo!$B$5*EXP(-MonteCarlo!$B$9*$A30)*_xlfn.NORM.S.DIST(-(((LN(MonteCarlo!$B$6/MonteCarlo!$B$5)+(MonteCarlo!$B$9+(B$1^2)/2)*$A30)/(B$1*SQRT($A30)))-(B$1*SQRT($A30))),TRUE)-MonteCarlo!$B$6*_xlfn.NORM.S.DIST(-((LN(MonteCarlo!$B$6/MonteCarlo!$B$5)+(MonteCarlo!$B$9+(B$1^2)/2)*$A30)/(B$1*SQRT($A30))),TRUE)),"")</f>
        <v/>
      </c>
      <c r="C30" t="str">
        <f>IFERROR(IF(OR(MonteCarlo!$B$4="C",MonteCarlo!$B$4="c"),MonteCarlo!$B$6*_xlfn.NORM.S.DIST((LN(MonteCarlo!$B$6/MonteCarlo!$B$5)+(MonteCarlo!$B$9+(C$1^2)/2)*$A30)/(C$1*SQRT($A30)),TRUE)-MonteCarlo!$B$5*EXP(-MonteCarlo!$B$9*$A30)*_xlfn.NORM.S.DIST(((LN(MonteCarlo!$B$6/MonteCarlo!$B$5)+(MonteCarlo!$B$9+(C$1^2)/2)*$A30)/(C$1*SQRT($A30)))-(C$1*SQRT($A30)),TRUE),MonteCarlo!$B$5*EXP(-MonteCarlo!$B$9*$A30)*_xlfn.NORM.S.DIST(-(((LN(MonteCarlo!$B$6/MonteCarlo!$B$5)+(MonteCarlo!$B$9+(C$1^2)/2)*$A30)/(C$1*SQRT($A30)))-(C$1*SQRT($A30))),TRUE)-MonteCarlo!$B$6*_xlfn.NORM.S.DIST(-((LN(MonteCarlo!$B$6/MonteCarlo!$B$5)+(MonteCarlo!$B$9+(C$1^2)/2)*$A30)/(C$1*SQRT($A30))),TRUE)),"")</f>
        <v/>
      </c>
      <c r="D30" t="str">
        <f>IFERROR(IF(OR(MonteCarlo!$B$4="C",MonteCarlo!$B$4="c"),MonteCarlo!$B$6*_xlfn.NORM.S.DIST((LN(MonteCarlo!$B$6/MonteCarlo!$B$5)+(MonteCarlo!$B$9+(D$1^2)/2)*$A30)/(D$1*SQRT($A30)),TRUE)-MonteCarlo!$B$5*EXP(-MonteCarlo!$B$9*$A30)*_xlfn.NORM.S.DIST(((LN(MonteCarlo!$B$6/MonteCarlo!$B$5)+(MonteCarlo!$B$9+(D$1^2)/2)*$A30)/(D$1*SQRT($A30)))-(D$1*SQRT($A30)),TRUE),MonteCarlo!$B$5*EXP(-MonteCarlo!$B$9*$A30)*_xlfn.NORM.S.DIST(-(((LN(MonteCarlo!$B$6/MonteCarlo!$B$5)+(MonteCarlo!$B$9+(D$1^2)/2)*$A30)/(D$1*SQRT($A30)))-(D$1*SQRT($A30))),TRUE)-MonteCarlo!$B$6*_xlfn.NORM.S.DIST(-((LN(MonteCarlo!$B$6/MonteCarlo!$B$5)+(MonteCarlo!$B$9+(D$1^2)/2)*$A30)/(D$1*SQRT($A30))),TRUE)),"")</f>
        <v/>
      </c>
      <c r="E30" t="str">
        <f>IFERROR(IF(OR(MonteCarlo!$B$4="C",MonteCarlo!$B$4="c"),MonteCarlo!$B$6*_xlfn.NORM.S.DIST((LN(MonteCarlo!$B$6/MonteCarlo!$B$5)+(MonteCarlo!$B$9+(E$1^2)/2)*$A30)/(E$1*SQRT($A30)),TRUE)-MonteCarlo!$B$5*EXP(-MonteCarlo!$B$9*$A30)*_xlfn.NORM.S.DIST(((LN(MonteCarlo!$B$6/MonteCarlo!$B$5)+(MonteCarlo!$B$9+(E$1^2)/2)*$A30)/(E$1*SQRT($A30)))-(E$1*SQRT($A30)),TRUE),MonteCarlo!$B$5*EXP(-MonteCarlo!$B$9*$A30)*_xlfn.NORM.S.DIST(-(((LN(MonteCarlo!$B$6/MonteCarlo!$B$5)+(MonteCarlo!$B$9+(E$1^2)/2)*$A30)/(E$1*SQRT($A30)))-(E$1*SQRT($A30))),TRUE)-MonteCarlo!$B$6*_xlfn.NORM.S.DIST(-((LN(MonteCarlo!$B$6/MonteCarlo!$B$5)+(MonteCarlo!$B$9+(E$1^2)/2)*$A30)/(E$1*SQRT($A30))),TRUE)),"")</f>
        <v/>
      </c>
      <c r="F30" t="str">
        <f>IFERROR(IF(OR(MonteCarlo!$B$4="C",MonteCarlo!$B$4="c"),MonteCarlo!$B$6*_xlfn.NORM.S.DIST((LN(MonteCarlo!$B$6/MonteCarlo!$B$5)+(MonteCarlo!$B$9+(F$1^2)/2)*$A30)/(F$1*SQRT($A30)),TRUE)-MonteCarlo!$B$5*EXP(-MonteCarlo!$B$9*$A30)*_xlfn.NORM.S.DIST(((LN(MonteCarlo!$B$6/MonteCarlo!$B$5)+(MonteCarlo!$B$9+(F$1^2)/2)*$A30)/(F$1*SQRT($A30)))-(F$1*SQRT($A30)),TRUE),MonteCarlo!$B$5*EXP(-MonteCarlo!$B$9*$A30)*_xlfn.NORM.S.DIST(-(((LN(MonteCarlo!$B$6/MonteCarlo!$B$5)+(MonteCarlo!$B$9+(F$1^2)/2)*$A30)/(F$1*SQRT($A30)))-(F$1*SQRT($A30))),TRUE)-MonteCarlo!$B$6*_xlfn.NORM.S.DIST(-((LN(MonteCarlo!$B$6/MonteCarlo!$B$5)+(MonteCarlo!$B$9+(F$1^2)/2)*$A30)/(F$1*SQRT($A30))),TRUE)),"")</f>
        <v/>
      </c>
      <c r="G30" t="str">
        <f>IFERROR(IF(OR(MonteCarlo!$B$4="C",MonteCarlo!$B$4="c"),MonteCarlo!$B$6*_xlfn.NORM.S.DIST((LN(MonteCarlo!$B$6/MonteCarlo!$B$5)+(MonteCarlo!$B$9+(G$1^2)/2)*$A30)/(G$1*SQRT($A30)),TRUE)-MonteCarlo!$B$5*EXP(-MonteCarlo!$B$9*$A30)*_xlfn.NORM.S.DIST(((LN(MonteCarlo!$B$6/MonteCarlo!$B$5)+(MonteCarlo!$B$9+(G$1^2)/2)*$A30)/(G$1*SQRT($A30)))-(G$1*SQRT($A30)),TRUE),MonteCarlo!$B$5*EXP(-MonteCarlo!$B$9*$A30)*_xlfn.NORM.S.DIST(-(((LN(MonteCarlo!$B$6/MonteCarlo!$B$5)+(MonteCarlo!$B$9+(G$1^2)/2)*$A30)/(G$1*SQRT($A30)))-(G$1*SQRT($A30))),TRUE)-MonteCarlo!$B$6*_xlfn.NORM.S.DIST(-((LN(MonteCarlo!$B$6/MonteCarlo!$B$5)+(MonteCarlo!$B$9+(G$1^2)/2)*$A30)/(G$1*SQRT($A30))),TRUE)),"")</f>
        <v/>
      </c>
      <c r="H30" t="str">
        <f>IFERROR(IF(OR(MonteCarlo!$B$4="C",MonteCarlo!$B$4="c"),MonteCarlo!$B$6*_xlfn.NORM.S.DIST((LN(MonteCarlo!$B$6/MonteCarlo!$B$5)+(MonteCarlo!$B$9+(H$1^2)/2)*$A30)/(H$1*SQRT($A30)),TRUE)-MonteCarlo!$B$5*EXP(-MonteCarlo!$B$9*$A30)*_xlfn.NORM.S.DIST(((LN(MonteCarlo!$B$6/MonteCarlo!$B$5)+(MonteCarlo!$B$9+(H$1^2)/2)*$A30)/(H$1*SQRT($A30)))-(H$1*SQRT($A30)),TRUE),MonteCarlo!$B$5*EXP(-MonteCarlo!$B$9*$A30)*_xlfn.NORM.S.DIST(-(((LN(MonteCarlo!$B$6/MonteCarlo!$B$5)+(MonteCarlo!$B$9+(H$1^2)/2)*$A30)/(H$1*SQRT($A30)))-(H$1*SQRT($A30))),TRUE)-MonteCarlo!$B$6*_xlfn.NORM.S.DIST(-((LN(MonteCarlo!$B$6/MonteCarlo!$B$5)+(MonteCarlo!$B$9+(H$1^2)/2)*$A30)/(H$1*SQRT($A30))),TRUE)),"")</f>
        <v/>
      </c>
      <c r="I30" t="str">
        <f>IFERROR(IF(OR(MonteCarlo!$B$4="C",MonteCarlo!$B$4="c"),MonteCarlo!$B$6*_xlfn.NORM.S.DIST((LN(MonteCarlo!$B$6/MonteCarlo!$B$5)+(MonteCarlo!$B$9+(I$1^2)/2)*$A30)/(I$1*SQRT($A30)),TRUE)-MonteCarlo!$B$5*EXP(-MonteCarlo!$B$9*$A30)*_xlfn.NORM.S.DIST(((LN(MonteCarlo!$B$6/MonteCarlo!$B$5)+(MonteCarlo!$B$9+(I$1^2)/2)*$A30)/(I$1*SQRT($A30)))-(I$1*SQRT($A30)),TRUE),MonteCarlo!$B$5*EXP(-MonteCarlo!$B$9*$A30)*_xlfn.NORM.S.DIST(-(((LN(MonteCarlo!$B$6/MonteCarlo!$B$5)+(MonteCarlo!$B$9+(I$1^2)/2)*$A30)/(I$1*SQRT($A30)))-(I$1*SQRT($A30))),TRUE)-MonteCarlo!$B$6*_xlfn.NORM.S.DIST(-((LN(MonteCarlo!$B$6/MonteCarlo!$B$5)+(MonteCarlo!$B$9+(I$1^2)/2)*$A30)/(I$1*SQRT($A30))),TRUE)),"")</f>
        <v/>
      </c>
      <c r="J30" t="str">
        <f>IFERROR(IF(OR(MonteCarlo!$B$4="C",MonteCarlo!$B$4="c"),MonteCarlo!$B$6*_xlfn.NORM.S.DIST((LN(MonteCarlo!$B$6/MonteCarlo!$B$5)+(MonteCarlo!$B$9+(J$1^2)/2)*$A30)/(J$1*SQRT($A30)),TRUE)-MonteCarlo!$B$5*EXP(-MonteCarlo!$B$9*$A30)*_xlfn.NORM.S.DIST(((LN(MonteCarlo!$B$6/MonteCarlo!$B$5)+(MonteCarlo!$B$9+(J$1^2)/2)*$A30)/(J$1*SQRT($A30)))-(J$1*SQRT($A30)),TRUE),MonteCarlo!$B$5*EXP(-MonteCarlo!$B$9*$A30)*_xlfn.NORM.S.DIST(-(((LN(MonteCarlo!$B$6/MonteCarlo!$B$5)+(MonteCarlo!$B$9+(J$1^2)/2)*$A30)/(J$1*SQRT($A30)))-(J$1*SQRT($A30))),TRUE)-MonteCarlo!$B$6*_xlfn.NORM.S.DIST(-((LN(MonteCarlo!$B$6/MonteCarlo!$B$5)+(MonteCarlo!$B$9+(J$1^2)/2)*$A30)/(J$1*SQRT($A30))),TRUE)),"")</f>
        <v/>
      </c>
      <c r="K30" t="str">
        <f>IFERROR(IF(OR(MonteCarlo!$B$4="C",MonteCarlo!$B$4="c"),MonteCarlo!$B$6*_xlfn.NORM.S.DIST((LN(MonteCarlo!$B$6/MonteCarlo!$B$5)+(MonteCarlo!$B$9+(K$1^2)/2)*$A30)/(K$1*SQRT($A30)),TRUE)-MonteCarlo!$B$5*EXP(-MonteCarlo!$B$9*$A30)*_xlfn.NORM.S.DIST(((LN(MonteCarlo!$B$6/MonteCarlo!$B$5)+(MonteCarlo!$B$9+(K$1^2)/2)*$A30)/(K$1*SQRT($A30)))-(K$1*SQRT($A30)),TRUE),MonteCarlo!$B$5*EXP(-MonteCarlo!$B$9*$A30)*_xlfn.NORM.S.DIST(-(((LN(MonteCarlo!$B$6/MonteCarlo!$B$5)+(MonteCarlo!$B$9+(K$1^2)/2)*$A30)/(K$1*SQRT($A30)))-(K$1*SQRT($A30))),TRUE)-MonteCarlo!$B$6*_xlfn.NORM.S.DIST(-((LN(MonteCarlo!$B$6/MonteCarlo!$B$5)+(MonteCarlo!$B$9+(K$1^2)/2)*$A30)/(K$1*SQRT($A30))),TRUE)),"")</f>
        <v/>
      </c>
      <c r="L30" t="str">
        <f>IFERROR(IF(OR(MonteCarlo!$B$4="C",MonteCarlo!$B$4="c"),MonteCarlo!$B$6*_xlfn.NORM.S.DIST((LN(MonteCarlo!$B$6/MonteCarlo!$B$5)+(MonteCarlo!$B$9+(L$1^2)/2)*$A30)/(L$1*SQRT($A30)),TRUE)-MonteCarlo!$B$5*EXP(-MonteCarlo!$B$9*$A30)*_xlfn.NORM.S.DIST(((LN(MonteCarlo!$B$6/MonteCarlo!$B$5)+(MonteCarlo!$B$9+(L$1^2)/2)*$A30)/(L$1*SQRT($A30)))-(L$1*SQRT($A30)),TRUE),MonteCarlo!$B$5*EXP(-MonteCarlo!$B$9*$A30)*_xlfn.NORM.S.DIST(-(((LN(MonteCarlo!$B$6/MonteCarlo!$B$5)+(MonteCarlo!$B$9+(L$1^2)/2)*$A30)/(L$1*SQRT($A30)))-(L$1*SQRT($A30))),TRUE)-MonteCarlo!$B$6*_xlfn.NORM.S.DIST(-((LN(MonteCarlo!$B$6/MonteCarlo!$B$5)+(MonteCarlo!$B$9+(L$1^2)/2)*$A30)/(L$1*SQRT($A30))),TRUE)),"")</f>
        <v/>
      </c>
      <c r="M30" t="str">
        <f>IFERROR(IF(OR(MonteCarlo!$B$4="C",MonteCarlo!$B$4="c"),MonteCarlo!$B$6*_xlfn.NORM.S.DIST((LN(MonteCarlo!$B$6/MonteCarlo!$B$5)+(MonteCarlo!$B$9+(M$1^2)/2)*$A30)/(M$1*SQRT($A30)),TRUE)-MonteCarlo!$B$5*EXP(-MonteCarlo!$B$9*$A30)*_xlfn.NORM.S.DIST(((LN(MonteCarlo!$B$6/MonteCarlo!$B$5)+(MonteCarlo!$B$9+(M$1^2)/2)*$A30)/(M$1*SQRT($A30)))-(M$1*SQRT($A30)),TRUE),MonteCarlo!$B$5*EXP(-MonteCarlo!$B$9*$A30)*_xlfn.NORM.S.DIST(-(((LN(MonteCarlo!$B$6/MonteCarlo!$B$5)+(MonteCarlo!$B$9+(M$1^2)/2)*$A30)/(M$1*SQRT($A30)))-(M$1*SQRT($A30))),TRUE)-MonteCarlo!$B$6*_xlfn.NORM.S.DIST(-((LN(MonteCarlo!$B$6/MonteCarlo!$B$5)+(MonteCarlo!$B$9+(M$1^2)/2)*$A30)/(M$1*SQRT($A30))),TRUE)),"")</f>
        <v/>
      </c>
      <c r="N30" t="str">
        <f>IFERROR(IF(OR(MonteCarlo!$B$4="C",MonteCarlo!$B$4="c"),MonteCarlo!$B$6*_xlfn.NORM.S.DIST((LN(MonteCarlo!$B$6/MonteCarlo!$B$5)+(MonteCarlo!$B$9+(N$1^2)/2)*$A30)/(N$1*SQRT($A30)),TRUE)-MonteCarlo!$B$5*EXP(-MonteCarlo!$B$9*$A30)*_xlfn.NORM.S.DIST(((LN(MonteCarlo!$B$6/MonteCarlo!$B$5)+(MonteCarlo!$B$9+(N$1^2)/2)*$A30)/(N$1*SQRT($A30)))-(N$1*SQRT($A30)),TRUE),MonteCarlo!$B$5*EXP(-MonteCarlo!$B$9*$A30)*_xlfn.NORM.S.DIST(-(((LN(MonteCarlo!$B$6/MonteCarlo!$B$5)+(MonteCarlo!$B$9+(N$1^2)/2)*$A30)/(N$1*SQRT($A30)))-(N$1*SQRT($A30))),TRUE)-MonteCarlo!$B$6*_xlfn.NORM.S.DIST(-((LN(MonteCarlo!$B$6/MonteCarlo!$B$5)+(MonteCarlo!$B$9+(N$1^2)/2)*$A30)/(N$1*SQRT($A30))),TRUE)),"")</f>
        <v/>
      </c>
      <c r="O30" t="str">
        <f>IFERROR(IF(OR(MonteCarlo!$B$4="C",MonteCarlo!$B$4="c"),MonteCarlo!$B$6*_xlfn.NORM.S.DIST((LN(MonteCarlo!$B$6/MonteCarlo!$B$5)+(MonteCarlo!$B$9+(O$1^2)/2)*$A30)/(O$1*SQRT($A30)),TRUE)-MonteCarlo!$B$5*EXP(-MonteCarlo!$B$9*$A30)*_xlfn.NORM.S.DIST(((LN(MonteCarlo!$B$6/MonteCarlo!$B$5)+(MonteCarlo!$B$9+(O$1^2)/2)*$A30)/(O$1*SQRT($A30)))-(O$1*SQRT($A30)),TRUE),MonteCarlo!$B$5*EXP(-MonteCarlo!$B$9*$A30)*_xlfn.NORM.S.DIST(-(((LN(MonteCarlo!$B$6/MonteCarlo!$B$5)+(MonteCarlo!$B$9+(O$1^2)/2)*$A30)/(O$1*SQRT($A30)))-(O$1*SQRT($A30))),TRUE)-MonteCarlo!$B$6*_xlfn.NORM.S.DIST(-((LN(MonteCarlo!$B$6/MonteCarlo!$B$5)+(MonteCarlo!$B$9+(O$1^2)/2)*$A30)/(O$1*SQRT($A30))),TRUE)),"")</f>
        <v/>
      </c>
      <c r="P30" t="str">
        <f>IFERROR(IF(OR(MonteCarlo!$B$4="C",MonteCarlo!$B$4="c"),MonteCarlo!$B$6*_xlfn.NORM.S.DIST((LN(MonteCarlo!$B$6/MonteCarlo!$B$5)+(MonteCarlo!$B$9+(P$1^2)/2)*$A30)/(P$1*SQRT($A30)),TRUE)-MonteCarlo!$B$5*EXP(-MonteCarlo!$B$9*$A30)*_xlfn.NORM.S.DIST(((LN(MonteCarlo!$B$6/MonteCarlo!$B$5)+(MonteCarlo!$B$9+(P$1^2)/2)*$A30)/(P$1*SQRT($A30)))-(P$1*SQRT($A30)),TRUE),MonteCarlo!$B$5*EXP(-MonteCarlo!$B$9*$A30)*_xlfn.NORM.S.DIST(-(((LN(MonteCarlo!$B$6/MonteCarlo!$B$5)+(MonteCarlo!$B$9+(P$1^2)/2)*$A30)/(P$1*SQRT($A30)))-(P$1*SQRT($A30))),TRUE)-MonteCarlo!$B$6*_xlfn.NORM.S.DIST(-((LN(MonteCarlo!$B$6/MonteCarlo!$B$5)+(MonteCarlo!$B$9+(P$1^2)/2)*$A30)/(P$1*SQRT($A30))),TRUE)),"")</f>
        <v/>
      </c>
      <c r="Q30" t="str">
        <f>IFERROR(IF(OR(MonteCarlo!$B$4="C",MonteCarlo!$B$4="c"),MonteCarlo!$B$6*_xlfn.NORM.S.DIST((LN(MonteCarlo!$B$6/MonteCarlo!$B$5)+(MonteCarlo!$B$9+(Q$1^2)/2)*$A30)/(Q$1*SQRT($A30)),TRUE)-MonteCarlo!$B$5*EXP(-MonteCarlo!$B$9*$A30)*_xlfn.NORM.S.DIST(((LN(MonteCarlo!$B$6/MonteCarlo!$B$5)+(MonteCarlo!$B$9+(Q$1^2)/2)*$A30)/(Q$1*SQRT($A30)))-(Q$1*SQRT($A30)),TRUE),MonteCarlo!$B$5*EXP(-MonteCarlo!$B$9*$A30)*_xlfn.NORM.S.DIST(-(((LN(MonteCarlo!$B$6/MonteCarlo!$B$5)+(MonteCarlo!$B$9+(Q$1^2)/2)*$A30)/(Q$1*SQRT($A30)))-(Q$1*SQRT($A30))),TRUE)-MonteCarlo!$B$6*_xlfn.NORM.S.DIST(-((LN(MonteCarlo!$B$6/MonteCarlo!$B$5)+(MonteCarlo!$B$9+(Q$1^2)/2)*$A30)/(Q$1*SQRT($A30))),TRUE)),"")</f>
        <v/>
      </c>
      <c r="R30" t="str">
        <f>IFERROR(IF(OR(MonteCarlo!$B$4="C",MonteCarlo!$B$4="c"),MonteCarlo!$B$6*_xlfn.NORM.S.DIST((LN(MonteCarlo!$B$6/MonteCarlo!$B$5)+(MonteCarlo!$B$9+(R$1^2)/2)*$A30)/(R$1*SQRT($A30)),TRUE)-MonteCarlo!$B$5*EXP(-MonteCarlo!$B$9*$A30)*_xlfn.NORM.S.DIST(((LN(MonteCarlo!$B$6/MonteCarlo!$B$5)+(MonteCarlo!$B$9+(R$1^2)/2)*$A30)/(R$1*SQRT($A30)))-(R$1*SQRT($A30)),TRUE),MonteCarlo!$B$5*EXP(-MonteCarlo!$B$9*$A30)*_xlfn.NORM.S.DIST(-(((LN(MonteCarlo!$B$6/MonteCarlo!$B$5)+(MonteCarlo!$B$9+(R$1^2)/2)*$A30)/(R$1*SQRT($A30)))-(R$1*SQRT($A30))),TRUE)-MonteCarlo!$B$6*_xlfn.NORM.S.DIST(-((LN(MonteCarlo!$B$6/MonteCarlo!$B$5)+(MonteCarlo!$B$9+(R$1^2)/2)*$A30)/(R$1*SQRT($A30))),TRUE)),"")</f>
        <v/>
      </c>
      <c r="S30" t="str">
        <f>IFERROR(IF(OR(MonteCarlo!$B$4="C",MonteCarlo!$B$4="c"),MonteCarlo!$B$6*_xlfn.NORM.S.DIST((LN(MonteCarlo!$B$6/MonteCarlo!$B$5)+(MonteCarlo!$B$9+(S$1^2)/2)*$A30)/(S$1*SQRT($A30)),TRUE)-MonteCarlo!$B$5*EXP(-MonteCarlo!$B$9*$A30)*_xlfn.NORM.S.DIST(((LN(MonteCarlo!$B$6/MonteCarlo!$B$5)+(MonteCarlo!$B$9+(S$1^2)/2)*$A30)/(S$1*SQRT($A30)))-(S$1*SQRT($A30)),TRUE),MonteCarlo!$B$5*EXP(-MonteCarlo!$B$9*$A30)*_xlfn.NORM.S.DIST(-(((LN(MonteCarlo!$B$6/MonteCarlo!$B$5)+(MonteCarlo!$B$9+(S$1^2)/2)*$A30)/(S$1*SQRT($A30)))-(S$1*SQRT($A30))),TRUE)-MonteCarlo!$B$6*_xlfn.NORM.S.DIST(-((LN(MonteCarlo!$B$6/MonteCarlo!$B$5)+(MonteCarlo!$B$9+(S$1^2)/2)*$A30)/(S$1*SQRT($A30))),TRUE)),"")</f>
        <v/>
      </c>
      <c r="T30" t="str">
        <f>IFERROR(IF(OR(MonteCarlo!$B$4="C",MonteCarlo!$B$4="c"),MonteCarlo!$B$6*_xlfn.NORM.S.DIST((LN(MonteCarlo!$B$6/MonteCarlo!$B$5)+(MonteCarlo!$B$9+(T$1^2)/2)*$A30)/(T$1*SQRT($A30)),TRUE)-MonteCarlo!$B$5*EXP(-MonteCarlo!$B$9*$A30)*_xlfn.NORM.S.DIST(((LN(MonteCarlo!$B$6/MonteCarlo!$B$5)+(MonteCarlo!$B$9+(T$1^2)/2)*$A30)/(T$1*SQRT($A30)))-(T$1*SQRT($A30)),TRUE),MonteCarlo!$B$5*EXP(-MonteCarlo!$B$9*$A30)*_xlfn.NORM.S.DIST(-(((LN(MonteCarlo!$B$6/MonteCarlo!$B$5)+(MonteCarlo!$B$9+(T$1^2)/2)*$A30)/(T$1*SQRT($A30)))-(T$1*SQRT($A30))),TRUE)-MonteCarlo!$B$6*_xlfn.NORM.S.DIST(-((LN(MonteCarlo!$B$6/MonteCarlo!$B$5)+(MonteCarlo!$B$9+(T$1^2)/2)*$A30)/(T$1*SQRT($A30))),TRUE)),"")</f>
        <v/>
      </c>
      <c r="U30" t="str">
        <f>IFERROR(IF(OR(MonteCarlo!$B$4="C",MonteCarlo!$B$4="c"),MonteCarlo!$B$6*_xlfn.NORM.S.DIST((LN(MonteCarlo!$B$6/MonteCarlo!$B$5)+(MonteCarlo!$B$9+(U$1^2)/2)*$A30)/(U$1*SQRT($A30)),TRUE)-MonteCarlo!$B$5*EXP(-MonteCarlo!$B$9*$A30)*_xlfn.NORM.S.DIST(((LN(MonteCarlo!$B$6/MonteCarlo!$B$5)+(MonteCarlo!$B$9+(U$1^2)/2)*$A30)/(U$1*SQRT($A30)))-(U$1*SQRT($A30)),TRUE),MonteCarlo!$B$5*EXP(-MonteCarlo!$B$9*$A30)*_xlfn.NORM.S.DIST(-(((LN(MonteCarlo!$B$6/MonteCarlo!$B$5)+(MonteCarlo!$B$9+(U$1^2)/2)*$A30)/(U$1*SQRT($A30)))-(U$1*SQRT($A30))),TRUE)-MonteCarlo!$B$6*_xlfn.NORM.S.DIST(-((LN(MonteCarlo!$B$6/MonteCarlo!$B$5)+(MonteCarlo!$B$9+(U$1^2)/2)*$A30)/(U$1*SQRT($A30))),TRUE)),"")</f>
        <v/>
      </c>
      <c r="V30" t="str">
        <f>IFERROR(IF(OR(MonteCarlo!$B$4="C",MonteCarlo!$B$4="c"),MonteCarlo!$B$6*_xlfn.NORM.S.DIST((LN(MonteCarlo!$B$6/MonteCarlo!$B$5)+(MonteCarlo!$B$9+(V$1^2)/2)*$A30)/(V$1*SQRT($A30)),TRUE)-MonteCarlo!$B$5*EXP(-MonteCarlo!$B$9*$A30)*_xlfn.NORM.S.DIST(((LN(MonteCarlo!$B$6/MonteCarlo!$B$5)+(MonteCarlo!$B$9+(V$1^2)/2)*$A30)/(V$1*SQRT($A30)))-(V$1*SQRT($A30)),TRUE),MonteCarlo!$B$5*EXP(-MonteCarlo!$B$9*$A30)*_xlfn.NORM.S.DIST(-(((LN(MonteCarlo!$B$6/MonteCarlo!$B$5)+(MonteCarlo!$B$9+(V$1^2)/2)*$A30)/(V$1*SQRT($A30)))-(V$1*SQRT($A30))),TRUE)-MonteCarlo!$B$6*_xlfn.NORM.S.DIST(-((LN(MonteCarlo!$B$6/MonteCarlo!$B$5)+(MonteCarlo!$B$9+(V$1^2)/2)*$A30)/(V$1*SQRT($A30))),TRUE)),"")</f>
        <v/>
      </c>
      <c r="W30" t="str">
        <f>IFERROR(IF(OR(MonteCarlo!$B$4="C",MonteCarlo!$B$4="c"),MonteCarlo!$B$6*_xlfn.NORM.S.DIST((LN(MonteCarlo!$B$6/MonteCarlo!$B$5)+(MonteCarlo!$B$9+(W$1^2)/2)*$A30)/(W$1*SQRT($A30)),TRUE)-MonteCarlo!$B$5*EXP(-MonteCarlo!$B$9*$A30)*_xlfn.NORM.S.DIST(((LN(MonteCarlo!$B$6/MonteCarlo!$B$5)+(MonteCarlo!$B$9+(W$1^2)/2)*$A30)/(W$1*SQRT($A30)))-(W$1*SQRT($A30)),TRUE),MonteCarlo!$B$5*EXP(-MonteCarlo!$B$9*$A30)*_xlfn.NORM.S.DIST(-(((LN(MonteCarlo!$B$6/MonteCarlo!$B$5)+(MonteCarlo!$B$9+(W$1^2)/2)*$A30)/(W$1*SQRT($A30)))-(W$1*SQRT($A30))),TRUE)-MonteCarlo!$B$6*_xlfn.NORM.S.DIST(-((LN(MonteCarlo!$B$6/MonteCarlo!$B$5)+(MonteCarlo!$B$9+(W$1^2)/2)*$A30)/(W$1*SQRT($A30))),TRUE)),"")</f>
        <v/>
      </c>
      <c r="X30" t="str">
        <f>IFERROR(IF(OR(MonteCarlo!$B$4="C",MonteCarlo!$B$4="c"),MonteCarlo!$B$6*_xlfn.NORM.S.DIST((LN(MonteCarlo!$B$6/MonteCarlo!$B$5)+(MonteCarlo!$B$9+(X$1^2)/2)*$A30)/(X$1*SQRT($A30)),TRUE)-MonteCarlo!$B$5*EXP(-MonteCarlo!$B$9*$A30)*_xlfn.NORM.S.DIST(((LN(MonteCarlo!$B$6/MonteCarlo!$B$5)+(MonteCarlo!$B$9+(X$1^2)/2)*$A30)/(X$1*SQRT($A30)))-(X$1*SQRT($A30)),TRUE),MonteCarlo!$B$5*EXP(-MonteCarlo!$B$9*$A30)*_xlfn.NORM.S.DIST(-(((LN(MonteCarlo!$B$6/MonteCarlo!$B$5)+(MonteCarlo!$B$9+(X$1^2)/2)*$A30)/(X$1*SQRT($A30)))-(X$1*SQRT($A30))),TRUE)-MonteCarlo!$B$6*_xlfn.NORM.S.DIST(-((LN(MonteCarlo!$B$6/MonteCarlo!$B$5)+(MonteCarlo!$B$9+(X$1^2)/2)*$A30)/(X$1*SQRT($A30))),TRUE)),"")</f>
        <v/>
      </c>
      <c r="Y30" t="str">
        <f>IFERROR(IF(OR(MonteCarlo!$B$4="C",MonteCarlo!$B$4="c"),MonteCarlo!$B$6*_xlfn.NORM.S.DIST((LN(MonteCarlo!$B$6/MonteCarlo!$B$5)+(MonteCarlo!$B$9+(Y$1^2)/2)*$A30)/(Y$1*SQRT($A30)),TRUE)-MonteCarlo!$B$5*EXP(-MonteCarlo!$B$9*$A30)*_xlfn.NORM.S.DIST(((LN(MonteCarlo!$B$6/MonteCarlo!$B$5)+(MonteCarlo!$B$9+(Y$1^2)/2)*$A30)/(Y$1*SQRT($A30)))-(Y$1*SQRT($A30)),TRUE),MonteCarlo!$B$5*EXP(-MonteCarlo!$B$9*$A30)*_xlfn.NORM.S.DIST(-(((LN(MonteCarlo!$B$6/MonteCarlo!$B$5)+(MonteCarlo!$B$9+(Y$1^2)/2)*$A30)/(Y$1*SQRT($A30)))-(Y$1*SQRT($A30))),TRUE)-MonteCarlo!$B$6*_xlfn.NORM.S.DIST(-((LN(MonteCarlo!$B$6/MonteCarlo!$B$5)+(MonteCarlo!$B$9+(Y$1^2)/2)*$A30)/(Y$1*SQRT($A30))),TRUE)),"")</f>
        <v/>
      </c>
      <c r="Z30" t="str">
        <f>IFERROR(IF(OR(MonteCarlo!$B$4="C",MonteCarlo!$B$4="c"),MonteCarlo!$B$6*_xlfn.NORM.S.DIST((LN(MonteCarlo!$B$6/MonteCarlo!$B$5)+(MonteCarlo!$B$9+(Z$1^2)/2)*$A30)/(Z$1*SQRT($A30)),TRUE)-MonteCarlo!$B$5*EXP(-MonteCarlo!$B$9*$A30)*_xlfn.NORM.S.DIST(((LN(MonteCarlo!$B$6/MonteCarlo!$B$5)+(MonteCarlo!$B$9+(Z$1^2)/2)*$A30)/(Z$1*SQRT($A30)))-(Z$1*SQRT($A30)),TRUE),MonteCarlo!$B$5*EXP(-MonteCarlo!$B$9*$A30)*_xlfn.NORM.S.DIST(-(((LN(MonteCarlo!$B$6/MonteCarlo!$B$5)+(MonteCarlo!$B$9+(Z$1^2)/2)*$A30)/(Z$1*SQRT($A30)))-(Z$1*SQRT($A30))),TRUE)-MonteCarlo!$B$6*_xlfn.NORM.S.DIST(-((LN(MonteCarlo!$B$6/MonteCarlo!$B$5)+(MonteCarlo!$B$9+(Z$1^2)/2)*$A30)/(Z$1*SQRT($A30))),TRUE)),"")</f>
        <v/>
      </c>
      <c r="AA30" t="str">
        <f>IFERROR(IF(OR(MonteCarlo!$B$4="C",MonteCarlo!$B$4="c"),MonteCarlo!$B$6*_xlfn.NORM.S.DIST((LN(MonteCarlo!$B$6/MonteCarlo!$B$5)+(MonteCarlo!$B$9+(AA$1^2)/2)*$A30)/(AA$1*SQRT($A30)),TRUE)-MonteCarlo!$B$5*EXP(-MonteCarlo!$B$9*$A30)*_xlfn.NORM.S.DIST(((LN(MonteCarlo!$B$6/MonteCarlo!$B$5)+(MonteCarlo!$B$9+(AA$1^2)/2)*$A30)/(AA$1*SQRT($A30)))-(AA$1*SQRT($A30)),TRUE),MonteCarlo!$B$5*EXP(-MonteCarlo!$B$9*$A30)*_xlfn.NORM.S.DIST(-(((LN(MonteCarlo!$B$6/MonteCarlo!$B$5)+(MonteCarlo!$B$9+(AA$1^2)/2)*$A30)/(AA$1*SQRT($A30)))-(AA$1*SQRT($A30))),TRUE)-MonteCarlo!$B$6*_xlfn.NORM.S.DIST(-((LN(MonteCarlo!$B$6/MonteCarlo!$B$5)+(MonteCarlo!$B$9+(AA$1^2)/2)*$A30)/(AA$1*SQRT($A30))),TRUE)),"")</f>
        <v/>
      </c>
      <c r="AB30" t="str">
        <f>IFERROR(IF(OR(MonteCarlo!$B$4="C",MonteCarlo!$B$4="c"),MonteCarlo!$B$6*_xlfn.NORM.S.DIST((LN(MonteCarlo!$B$6/MonteCarlo!$B$5)+(MonteCarlo!$B$9+(AB$1^2)/2)*$A30)/(AB$1*SQRT($A30)),TRUE)-MonteCarlo!$B$5*EXP(-MonteCarlo!$B$9*$A30)*_xlfn.NORM.S.DIST(((LN(MonteCarlo!$B$6/MonteCarlo!$B$5)+(MonteCarlo!$B$9+(AB$1^2)/2)*$A30)/(AB$1*SQRT($A30)))-(AB$1*SQRT($A30)),TRUE),MonteCarlo!$B$5*EXP(-MonteCarlo!$B$9*$A30)*_xlfn.NORM.S.DIST(-(((LN(MonteCarlo!$B$6/MonteCarlo!$B$5)+(MonteCarlo!$B$9+(AB$1^2)/2)*$A30)/(AB$1*SQRT($A30)))-(AB$1*SQRT($A30))),TRUE)-MonteCarlo!$B$6*_xlfn.NORM.S.DIST(-((LN(MonteCarlo!$B$6/MonteCarlo!$B$5)+(MonteCarlo!$B$9+(AB$1^2)/2)*$A30)/(AB$1*SQRT($A30))),TRUE)),"")</f>
        <v/>
      </c>
      <c r="AC30" t="str">
        <f>IFERROR(IF(OR(MonteCarlo!$B$4="C",MonteCarlo!$B$4="c"),MonteCarlo!$B$6*_xlfn.NORM.S.DIST((LN(MonteCarlo!$B$6/MonteCarlo!$B$5)+(MonteCarlo!$B$9+(AC$1^2)/2)*$A30)/(AC$1*SQRT($A30)),TRUE)-MonteCarlo!$B$5*EXP(-MonteCarlo!$B$9*$A30)*_xlfn.NORM.S.DIST(((LN(MonteCarlo!$B$6/MonteCarlo!$B$5)+(MonteCarlo!$B$9+(AC$1^2)/2)*$A30)/(AC$1*SQRT($A30)))-(AC$1*SQRT($A30)),TRUE),MonteCarlo!$B$5*EXP(-MonteCarlo!$B$9*$A30)*_xlfn.NORM.S.DIST(-(((LN(MonteCarlo!$B$6/MonteCarlo!$B$5)+(MonteCarlo!$B$9+(AC$1^2)/2)*$A30)/(AC$1*SQRT($A30)))-(AC$1*SQRT($A30))),TRUE)-MonteCarlo!$B$6*_xlfn.NORM.S.DIST(-((LN(MonteCarlo!$B$6/MonteCarlo!$B$5)+(MonteCarlo!$B$9+(AC$1^2)/2)*$A30)/(AC$1*SQRT($A30))),TRUE)),"")</f>
        <v/>
      </c>
      <c r="AD30" t="str">
        <f>IFERROR(IF(OR(MonteCarlo!$B$4="C",MonteCarlo!$B$4="c"),MonteCarlo!$B$6*_xlfn.NORM.S.DIST((LN(MonteCarlo!$B$6/MonteCarlo!$B$5)+(MonteCarlo!$B$9+(AD$1^2)/2)*$A30)/(AD$1*SQRT($A30)),TRUE)-MonteCarlo!$B$5*EXP(-MonteCarlo!$B$9*$A30)*_xlfn.NORM.S.DIST(((LN(MonteCarlo!$B$6/MonteCarlo!$B$5)+(MonteCarlo!$B$9+(AD$1^2)/2)*$A30)/(AD$1*SQRT($A30)))-(AD$1*SQRT($A30)),TRUE),MonteCarlo!$B$5*EXP(-MonteCarlo!$B$9*$A30)*_xlfn.NORM.S.DIST(-(((LN(MonteCarlo!$B$6/MonteCarlo!$B$5)+(MonteCarlo!$B$9+(AD$1^2)/2)*$A30)/(AD$1*SQRT($A30)))-(AD$1*SQRT($A30))),TRUE)-MonteCarlo!$B$6*_xlfn.NORM.S.DIST(-((LN(MonteCarlo!$B$6/MonteCarlo!$B$5)+(MonteCarlo!$B$9+(AD$1^2)/2)*$A30)/(AD$1*SQRT($A30))),TRUE)),"")</f>
        <v/>
      </c>
      <c r="AE30" t="str">
        <f>IFERROR(IF(OR(MonteCarlo!$B$4="C",MonteCarlo!$B$4="c"),MonteCarlo!$B$6*_xlfn.NORM.S.DIST((LN(MonteCarlo!$B$6/MonteCarlo!$B$5)+(MonteCarlo!$B$9+(AE$1^2)/2)*$A30)/(AE$1*SQRT($A30)),TRUE)-MonteCarlo!$B$5*EXP(-MonteCarlo!$B$9*$A30)*_xlfn.NORM.S.DIST(((LN(MonteCarlo!$B$6/MonteCarlo!$B$5)+(MonteCarlo!$B$9+(AE$1^2)/2)*$A30)/(AE$1*SQRT($A30)))-(AE$1*SQRT($A30)),TRUE),MonteCarlo!$B$5*EXP(-MonteCarlo!$B$9*$A30)*_xlfn.NORM.S.DIST(-(((LN(MonteCarlo!$B$6/MonteCarlo!$B$5)+(MonteCarlo!$B$9+(AE$1^2)/2)*$A30)/(AE$1*SQRT($A30)))-(AE$1*SQRT($A30))),TRUE)-MonteCarlo!$B$6*_xlfn.NORM.S.DIST(-((LN(MonteCarlo!$B$6/MonteCarlo!$B$5)+(MonteCarlo!$B$9+(AE$1^2)/2)*$A30)/(AE$1*SQRT($A30))),TRUE)),"")</f>
        <v/>
      </c>
      <c r="AF30" t="str">
        <f>IFERROR(IF(OR(MonteCarlo!$B$4="C",MonteCarlo!$B$4="c"),MonteCarlo!$B$6*_xlfn.NORM.S.DIST((LN(MonteCarlo!$B$6/MonteCarlo!$B$5)+(MonteCarlo!$B$9+(AF$1^2)/2)*$A30)/(AF$1*SQRT($A30)),TRUE)-MonteCarlo!$B$5*EXP(-MonteCarlo!$B$9*$A30)*_xlfn.NORM.S.DIST(((LN(MonteCarlo!$B$6/MonteCarlo!$B$5)+(MonteCarlo!$B$9+(AF$1^2)/2)*$A30)/(AF$1*SQRT($A30)))-(AF$1*SQRT($A30)),TRUE),MonteCarlo!$B$5*EXP(-MonteCarlo!$B$9*$A30)*_xlfn.NORM.S.DIST(-(((LN(MonteCarlo!$B$6/MonteCarlo!$B$5)+(MonteCarlo!$B$9+(AF$1^2)/2)*$A30)/(AF$1*SQRT($A30)))-(AF$1*SQRT($A30))),TRUE)-MonteCarlo!$B$6*_xlfn.NORM.S.DIST(-((LN(MonteCarlo!$B$6/MonteCarlo!$B$5)+(MonteCarlo!$B$9+(AF$1^2)/2)*$A30)/(AF$1*SQRT($A30))),TRUE)),"")</f>
        <v/>
      </c>
    </row>
    <row r="31" spans="2:32" x14ac:dyDescent="0.25">
      <c r="B31" t="str">
        <f>IFERROR(IF(OR(MonteCarlo!$B$4="C",MonteCarlo!$B$4="c"),MonteCarlo!$B$6*_xlfn.NORM.S.DIST((LN(MonteCarlo!$B$6/MonteCarlo!$B$5)+(MonteCarlo!$B$9+(B$1^2)/2)*$A31)/(B$1*SQRT($A31)),TRUE)-MonteCarlo!$B$5*EXP(-MonteCarlo!$B$9*$A31)*_xlfn.NORM.S.DIST(((LN(MonteCarlo!$B$6/MonteCarlo!$B$5)+(MonteCarlo!$B$9+(B$1^2)/2)*$A31)/(B$1*SQRT($A31)))-(B$1*SQRT($A31)),TRUE),MonteCarlo!$B$5*EXP(-MonteCarlo!$B$9*$A31)*_xlfn.NORM.S.DIST(-(((LN(MonteCarlo!$B$6/MonteCarlo!$B$5)+(MonteCarlo!$B$9+(B$1^2)/2)*$A31)/(B$1*SQRT($A31)))-(B$1*SQRT($A31))),TRUE)-MonteCarlo!$B$6*_xlfn.NORM.S.DIST(-((LN(MonteCarlo!$B$6/MonteCarlo!$B$5)+(MonteCarlo!$B$9+(B$1^2)/2)*$A31)/(B$1*SQRT($A31))),TRUE)),"")</f>
        <v/>
      </c>
      <c r="C31" t="str">
        <f>IFERROR(IF(OR(MonteCarlo!$B$4="C",MonteCarlo!$B$4="c"),MonteCarlo!$B$6*_xlfn.NORM.S.DIST((LN(MonteCarlo!$B$6/MonteCarlo!$B$5)+(MonteCarlo!$B$9+(C$1^2)/2)*$A31)/(C$1*SQRT($A31)),TRUE)-MonteCarlo!$B$5*EXP(-MonteCarlo!$B$9*$A31)*_xlfn.NORM.S.DIST(((LN(MonteCarlo!$B$6/MonteCarlo!$B$5)+(MonteCarlo!$B$9+(C$1^2)/2)*$A31)/(C$1*SQRT($A31)))-(C$1*SQRT($A31)),TRUE),MonteCarlo!$B$5*EXP(-MonteCarlo!$B$9*$A31)*_xlfn.NORM.S.DIST(-(((LN(MonteCarlo!$B$6/MonteCarlo!$B$5)+(MonteCarlo!$B$9+(C$1^2)/2)*$A31)/(C$1*SQRT($A31)))-(C$1*SQRT($A31))),TRUE)-MonteCarlo!$B$6*_xlfn.NORM.S.DIST(-((LN(MonteCarlo!$B$6/MonteCarlo!$B$5)+(MonteCarlo!$B$9+(C$1^2)/2)*$A31)/(C$1*SQRT($A31))),TRUE)),"")</f>
        <v/>
      </c>
      <c r="D31" t="str">
        <f>IFERROR(IF(OR(MonteCarlo!$B$4="C",MonteCarlo!$B$4="c"),MonteCarlo!$B$6*_xlfn.NORM.S.DIST((LN(MonteCarlo!$B$6/MonteCarlo!$B$5)+(MonteCarlo!$B$9+(D$1^2)/2)*$A31)/(D$1*SQRT($A31)),TRUE)-MonteCarlo!$B$5*EXP(-MonteCarlo!$B$9*$A31)*_xlfn.NORM.S.DIST(((LN(MonteCarlo!$B$6/MonteCarlo!$B$5)+(MonteCarlo!$B$9+(D$1^2)/2)*$A31)/(D$1*SQRT($A31)))-(D$1*SQRT($A31)),TRUE),MonteCarlo!$B$5*EXP(-MonteCarlo!$B$9*$A31)*_xlfn.NORM.S.DIST(-(((LN(MonteCarlo!$B$6/MonteCarlo!$B$5)+(MonteCarlo!$B$9+(D$1^2)/2)*$A31)/(D$1*SQRT($A31)))-(D$1*SQRT($A31))),TRUE)-MonteCarlo!$B$6*_xlfn.NORM.S.DIST(-((LN(MonteCarlo!$B$6/MonteCarlo!$B$5)+(MonteCarlo!$B$9+(D$1^2)/2)*$A31)/(D$1*SQRT($A31))),TRUE)),"")</f>
        <v/>
      </c>
      <c r="E31" t="str">
        <f>IFERROR(IF(OR(MonteCarlo!$B$4="C",MonteCarlo!$B$4="c"),MonteCarlo!$B$6*_xlfn.NORM.S.DIST((LN(MonteCarlo!$B$6/MonteCarlo!$B$5)+(MonteCarlo!$B$9+(E$1^2)/2)*$A31)/(E$1*SQRT($A31)),TRUE)-MonteCarlo!$B$5*EXP(-MonteCarlo!$B$9*$A31)*_xlfn.NORM.S.DIST(((LN(MonteCarlo!$B$6/MonteCarlo!$B$5)+(MonteCarlo!$B$9+(E$1^2)/2)*$A31)/(E$1*SQRT($A31)))-(E$1*SQRT($A31)),TRUE),MonteCarlo!$B$5*EXP(-MonteCarlo!$B$9*$A31)*_xlfn.NORM.S.DIST(-(((LN(MonteCarlo!$B$6/MonteCarlo!$B$5)+(MonteCarlo!$B$9+(E$1^2)/2)*$A31)/(E$1*SQRT($A31)))-(E$1*SQRT($A31))),TRUE)-MonteCarlo!$B$6*_xlfn.NORM.S.DIST(-((LN(MonteCarlo!$B$6/MonteCarlo!$B$5)+(MonteCarlo!$B$9+(E$1^2)/2)*$A31)/(E$1*SQRT($A31))),TRUE)),"")</f>
        <v/>
      </c>
      <c r="F31" t="str">
        <f>IFERROR(IF(OR(MonteCarlo!$B$4="C",MonteCarlo!$B$4="c"),MonteCarlo!$B$6*_xlfn.NORM.S.DIST((LN(MonteCarlo!$B$6/MonteCarlo!$B$5)+(MonteCarlo!$B$9+(F$1^2)/2)*$A31)/(F$1*SQRT($A31)),TRUE)-MonteCarlo!$B$5*EXP(-MonteCarlo!$B$9*$A31)*_xlfn.NORM.S.DIST(((LN(MonteCarlo!$B$6/MonteCarlo!$B$5)+(MonteCarlo!$B$9+(F$1^2)/2)*$A31)/(F$1*SQRT($A31)))-(F$1*SQRT($A31)),TRUE),MonteCarlo!$B$5*EXP(-MonteCarlo!$B$9*$A31)*_xlfn.NORM.S.DIST(-(((LN(MonteCarlo!$B$6/MonteCarlo!$B$5)+(MonteCarlo!$B$9+(F$1^2)/2)*$A31)/(F$1*SQRT($A31)))-(F$1*SQRT($A31))),TRUE)-MonteCarlo!$B$6*_xlfn.NORM.S.DIST(-((LN(MonteCarlo!$B$6/MonteCarlo!$B$5)+(MonteCarlo!$B$9+(F$1^2)/2)*$A31)/(F$1*SQRT($A31))),TRUE)),"")</f>
        <v/>
      </c>
      <c r="G31" t="str">
        <f>IFERROR(IF(OR(MonteCarlo!$B$4="C",MonteCarlo!$B$4="c"),MonteCarlo!$B$6*_xlfn.NORM.S.DIST((LN(MonteCarlo!$B$6/MonteCarlo!$B$5)+(MonteCarlo!$B$9+(G$1^2)/2)*$A31)/(G$1*SQRT($A31)),TRUE)-MonteCarlo!$B$5*EXP(-MonteCarlo!$B$9*$A31)*_xlfn.NORM.S.DIST(((LN(MonteCarlo!$B$6/MonteCarlo!$B$5)+(MonteCarlo!$B$9+(G$1^2)/2)*$A31)/(G$1*SQRT($A31)))-(G$1*SQRT($A31)),TRUE),MonteCarlo!$B$5*EXP(-MonteCarlo!$B$9*$A31)*_xlfn.NORM.S.DIST(-(((LN(MonteCarlo!$B$6/MonteCarlo!$B$5)+(MonteCarlo!$B$9+(G$1^2)/2)*$A31)/(G$1*SQRT($A31)))-(G$1*SQRT($A31))),TRUE)-MonteCarlo!$B$6*_xlfn.NORM.S.DIST(-((LN(MonteCarlo!$B$6/MonteCarlo!$B$5)+(MonteCarlo!$B$9+(G$1^2)/2)*$A31)/(G$1*SQRT($A31))),TRUE)),"")</f>
        <v/>
      </c>
      <c r="H31" t="str">
        <f>IFERROR(IF(OR(MonteCarlo!$B$4="C",MonteCarlo!$B$4="c"),MonteCarlo!$B$6*_xlfn.NORM.S.DIST((LN(MonteCarlo!$B$6/MonteCarlo!$B$5)+(MonteCarlo!$B$9+(H$1^2)/2)*$A31)/(H$1*SQRT($A31)),TRUE)-MonteCarlo!$B$5*EXP(-MonteCarlo!$B$9*$A31)*_xlfn.NORM.S.DIST(((LN(MonteCarlo!$B$6/MonteCarlo!$B$5)+(MonteCarlo!$B$9+(H$1^2)/2)*$A31)/(H$1*SQRT($A31)))-(H$1*SQRT($A31)),TRUE),MonteCarlo!$B$5*EXP(-MonteCarlo!$B$9*$A31)*_xlfn.NORM.S.DIST(-(((LN(MonteCarlo!$B$6/MonteCarlo!$B$5)+(MonteCarlo!$B$9+(H$1^2)/2)*$A31)/(H$1*SQRT($A31)))-(H$1*SQRT($A31))),TRUE)-MonteCarlo!$B$6*_xlfn.NORM.S.DIST(-((LN(MonteCarlo!$B$6/MonteCarlo!$B$5)+(MonteCarlo!$B$9+(H$1^2)/2)*$A31)/(H$1*SQRT($A31))),TRUE)),"")</f>
        <v/>
      </c>
      <c r="I31" t="str">
        <f>IFERROR(IF(OR(MonteCarlo!$B$4="C",MonteCarlo!$B$4="c"),MonteCarlo!$B$6*_xlfn.NORM.S.DIST((LN(MonteCarlo!$B$6/MonteCarlo!$B$5)+(MonteCarlo!$B$9+(I$1^2)/2)*$A31)/(I$1*SQRT($A31)),TRUE)-MonteCarlo!$B$5*EXP(-MonteCarlo!$B$9*$A31)*_xlfn.NORM.S.DIST(((LN(MonteCarlo!$B$6/MonteCarlo!$B$5)+(MonteCarlo!$B$9+(I$1^2)/2)*$A31)/(I$1*SQRT($A31)))-(I$1*SQRT($A31)),TRUE),MonteCarlo!$B$5*EXP(-MonteCarlo!$B$9*$A31)*_xlfn.NORM.S.DIST(-(((LN(MonteCarlo!$B$6/MonteCarlo!$B$5)+(MonteCarlo!$B$9+(I$1^2)/2)*$A31)/(I$1*SQRT($A31)))-(I$1*SQRT($A31))),TRUE)-MonteCarlo!$B$6*_xlfn.NORM.S.DIST(-((LN(MonteCarlo!$B$6/MonteCarlo!$B$5)+(MonteCarlo!$B$9+(I$1^2)/2)*$A31)/(I$1*SQRT($A31))),TRUE)),"")</f>
        <v/>
      </c>
      <c r="J31" t="str">
        <f>IFERROR(IF(OR(MonteCarlo!$B$4="C",MonteCarlo!$B$4="c"),MonteCarlo!$B$6*_xlfn.NORM.S.DIST((LN(MonteCarlo!$B$6/MonteCarlo!$B$5)+(MonteCarlo!$B$9+(J$1^2)/2)*$A31)/(J$1*SQRT($A31)),TRUE)-MonteCarlo!$B$5*EXP(-MonteCarlo!$B$9*$A31)*_xlfn.NORM.S.DIST(((LN(MonteCarlo!$B$6/MonteCarlo!$B$5)+(MonteCarlo!$B$9+(J$1^2)/2)*$A31)/(J$1*SQRT($A31)))-(J$1*SQRT($A31)),TRUE),MonteCarlo!$B$5*EXP(-MonteCarlo!$B$9*$A31)*_xlfn.NORM.S.DIST(-(((LN(MonteCarlo!$B$6/MonteCarlo!$B$5)+(MonteCarlo!$B$9+(J$1^2)/2)*$A31)/(J$1*SQRT($A31)))-(J$1*SQRT($A31))),TRUE)-MonteCarlo!$B$6*_xlfn.NORM.S.DIST(-((LN(MonteCarlo!$B$6/MonteCarlo!$B$5)+(MonteCarlo!$B$9+(J$1^2)/2)*$A31)/(J$1*SQRT($A31))),TRUE)),"")</f>
        <v/>
      </c>
      <c r="K31" t="str">
        <f>IFERROR(IF(OR(MonteCarlo!$B$4="C",MonteCarlo!$B$4="c"),MonteCarlo!$B$6*_xlfn.NORM.S.DIST((LN(MonteCarlo!$B$6/MonteCarlo!$B$5)+(MonteCarlo!$B$9+(K$1^2)/2)*$A31)/(K$1*SQRT($A31)),TRUE)-MonteCarlo!$B$5*EXP(-MonteCarlo!$B$9*$A31)*_xlfn.NORM.S.DIST(((LN(MonteCarlo!$B$6/MonteCarlo!$B$5)+(MonteCarlo!$B$9+(K$1^2)/2)*$A31)/(K$1*SQRT($A31)))-(K$1*SQRT($A31)),TRUE),MonteCarlo!$B$5*EXP(-MonteCarlo!$B$9*$A31)*_xlfn.NORM.S.DIST(-(((LN(MonteCarlo!$B$6/MonteCarlo!$B$5)+(MonteCarlo!$B$9+(K$1^2)/2)*$A31)/(K$1*SQRT($A31)))-(K$1*SQRT($A31))),TRUE)-MonteCarlo!$B$6*_xlfn.NORM.S.DIST(-((LN(MonteCarlo!$B$6/MonteCarlo!$B$5)+(MonteCarlo!$B$9+(K$1^2)/2)*$A31)/(K$1*SQRT($A31))),TRUE)),"")</f>
        <v/>
      </c>
      <c r="L31" t="str">
        <f>IFERROR(IF(OR(MonteCarlo!$B$4="C",MonteCarlo!$B$4="c"),MonteCarlo!$B$6*_xlfn.NORM.S.DIST((LN(MonteCarlo!$B$6/MonteCarlo!$B$5)+(MonteCarlo!$B$9+(L$1^2)/2)*$A31)/(L$1*SQRT($A31)),TRUE)-MonteCarlo!$B$5*EXP(-MonteCarlo!$B$9*$A31)*_xlfn.NORM.S.DIST(((LN(MonteCarlo!$B$6/MonteCarlo!$B$5)+(MonteCarlo!$B$9+(L$1^2)/2)*$A31)/(L$1*SQRT($A31)))-(L$1*SQRT($A31)),TRUE),MonteCarlo!$B$5*EXP(-MonteCarlo!$B$9*$A31)*_xlfn.NORM.S.DIST(-(((LN(MonteCarlo!$B$6/MonteCarlo!$B$5)+(MonteCarlo!$B$9+(L$1^2)/2)*$A31)/(L$1*SQRT($A31)))-(L$1*SQRT($A31))),TRUE)-MonteCarlo!$B$6*_xlfn.NORM.S.DIST(-((LN(MonteCarlo!$B$6/MonteCarlo!$B$5)+(MonteCarlo!$B$9+(L$1^2)/2)*$A31)/(L$1*SQRT($A31))),TRUE)),"")</f>
        <v/>
      </c>
      <c r="M31" t="str">
        <f>IFERROR(IF(OR(MonteCarlo!$B$4="C",MonteCarlo!$B$4="c"),MonteCarlo!$B$6*_xlfn.NORM.S.DIST((LN(MonteCarlo!$B$6/MonteCarlo!$B$5)+(MonteCarlo!$B$9+(M$1^2)/2)*$A31)/(M$1*SQRT($A31)),TRUE)-MonteCarlo!$B$5*EXP(-MonteCarlo!$B$9*$A31)*_xlfn.NORM.S.DIST(((LN(MonteCarlo!$B$6/MonteCarlo!$B$5)+(MonteCarlo!$B$9+(M$1^2)/2)*$A31)/(M$1*SQRT($A31)))-(M$1*SQRT($A31)),TRUE),MonteCarlo!$B$5*EXP(-MonteCarlo!$B$9*$A31)*_xlfn.NORM.S.DIST(-(((LN(MonteCarlo!$B$6/MonteCarlo!$B$5)+(MonteCarlo!$B$9+(M$1^2)/2)*$A31)/(M$1*SQRT($A31)))-(M$1*SQRT($A31))),TRUE)-MonteCarlo!$B$6*_xlfn.NORM.S.DIST(-((LN(MonteCarlo!$B$6/MonteCarlo!$B$5)+(MonteCarlo!$B$9+(M$1^2)/2)*$A31)/(M$1*SQRT($A31))),TRUE)),"")</f>
        <v/>
      </c>
      <c r="N31" t="str">
        <f>IFERROR(IF(OR(MonteCarlo!$B$4="C",MonteCarlo!$B$4="c"),MonteCarlo!$B$6*_xlfn.NORM.S.DIST((LN(MonteCarlo!$B$6/MonteCarlo!$B$5)+(MonteCarlo!$B$9+(N$1^2)/2)*$A31)/(N$1*SQRT($A31)),TRUE)-MonteCarlo!$B$5*EXP(-MonteCarlo!$B$9*$A31)*_xlfn.NORM.S.DIST(((LN(MonteCarlo!$B$6/MonteCarlo!$B$5)+(MonteCarlo!$B$9+(N$1^2)/2)*$A31)/(N$1*SQRT($A31)))-(N$1*SQRT($A31)),TRUE),MonteCarlo!$B$5*EXP(-MonteCarlo!$B$9*$A31)*_xlfn.NORM.S.DIST(-(((LN(MonteCarlo!$B$6/MonteCarlo!$B$5)+(MonteCarlo!$B$9+(N$1^2)/2)*$A31)/(N$1*SQRT($A31)))-(N$1*SQRT($A31))),TRUE)-MonteCarlo!$B$6*_xlfn.NORM.S.DIST(-((LN(MonteCarlo!$B$6/MonteCarlo!$B$5)+(MonteCarlo!$B$9+(N$1^2)/2)*$A31)/(N$1*SQRT($A31))),TRUE)),"")</f>
        <v/>
      </c>
      <c r="O31" t="str">
        <f>IFERROR(IF(OR(MonteCarlo!$B$4="C",MonteCarlo!$B$4="c"),MonteCarlo!$B$6*_xlfn.NORM.S.DIST((LN(MonteCarlo!$B$6/MonteCarlo!$B$5)+(MonteCarlo!$B$9+(O$1^2)/2)*$A31)/(O$1*SQRT($A31)),TRUE)-MonteCarlo!$B$5*EXP(-MonteCarlo!$B$9*$A31)*_xlfn.NORM.S.DIST(((LN(MonteCarlo!$B$6/MonteCarlo!$B$5)+(MonteCarlo!$B$9+(O$1^2)/2)*$A31)/(O$1*SQRT($A31)))-(O$1*SQRT($A31)),TRUE),MonteCarlo!$B$5*EXP(-MonteCarlo!$B$9*$A31)*_xlfn.NORM.S.DIST(-(((LN(MonteCarlo!$B$6/MonteCarlo!$B$5)+(MonteCarlo!$B$9+(O$1^2)/2)*$A31)/(O$1*SQRT($A31)))-(O$1*SQRT($A31))),TRUE)-MonteCarlo!$B$6*_xlfn.NORM.S.DIST(-((LN(MonteCarlo!$B$6/MonteCarlo!$B$5)+(MonteCarlo!$B$9+(O$1^2)/2)*$A31)/(O$1*SQRT($A31))),TRUE)),"")</f>
        <v/>
      </c>
      <c r="P31" t="str">
        <f>IFERROR(IF(OR(MonteCarlo!$B$4="C",MonteCarlo!$B$4="c"),MonteCarlo!$B$6*_xlfn.NORM.S.DIST((LN(MonteCarlo!$B$6/MonteCarlo!$B$5)+(MonteCarlo!$B$9+(P$1^2)/2)*$A31)/(P$1*SQRT($A31)),TRUE)-MonteCarlo!$B$5*EXP(-MonteCarlo!$B$9*$A31)*_xlfn.NORM.S.DIST(((LN(MonteCarlo!$B$6/MonteCarlo!$B$5)+(MonteCarlo!$B$9+(P$1^2)/2)*$A31)/(P$1*SQRT($A31)))-(P$1*SQRT($A31)),TRUE),MonteCarlo!$B$5*EXP(-MonteCarlo!$B$9*$A31)*_xlfn.NORM.S.DIST(-(((LN(MonteCarlo!$B$6/MonteCarlo!$B$5)+(MonteCarlo!$B$9+(P$1^2)/2)*$A31)/(P$1*SQRT($A31)))-(P$1*SQRT($A31))),TRUE)-MonteCarlo!$B$6*_xlfn.NORM.S.DIST(-((LN(MonteCarlo!$B$6/MonteCarlo!$B$5)+(MonteCarlo!$B$9+(P$1^2)/2)*$A31)/(P$1*SQRT($A31))),TRUE)),"")</f>
        <v/>
      </c>
      <c r="Q31" t="str">
        <f>IFERROR(IF(OR(MonteCarlo!$B$4="C",MonteCarlo!$B$4="c"),MonteCarlo!$B$6*_xlfn.NORM.S.DIST((LN(MonteCarlo!$B$6/MonteCarlo!$B$5)+(MonteCarlo!$B$9+(Q$1^2)/2)*$A31)/(Q$1*SQRT($A31)),TRUE)-MonteCarlo!$B$5*EXP(-MonteCarlo!$B$9*$A31)*_xlfn.NORM.S.DIST(((LN(MonteCarlo!$B$6/MonteCarlo!$B$5)+(MonteCarlo!$B$9+(Q$1^2)/2)*$A31)/(Q$1*SQRT($A31)))-(Q$1*SQRT($A31)),TRUE),MonteCarlo!$B$5*EXP(-MonteCarlo!$B$9*$A31)*_xlfn.NORM.S.DIST(-(((LN(MonteCarlo!$B$6/MonteCarlo!$B$5)+(MonteCarlo!$B$9+(Q$1^2)/2)*$A31)/(Q$1*SQRT($A31)))-(Q$1*SQRT($A31))),TRUE)-MonteCarlo!$B$6*_xlfn.NORM.S.DIST(-((LN(MonteCarlo!$B$6/MonteCarlo!$B$5)+(MonteCarlo!$B$9+(Q$1^2)/2)*$A31)/(Q$1*SQRT($A31))),TRUE)),"")</f>
        <v/>
      </c>
      <c r="R31" t="str">
        <f>IFERROR(IF(OR(MonteCarlo!$B$4="C",MonteCarlo!$B$4="c"),MonteCarlo!$B$6*_xlfn.NORM.S.DIST((LN(MonteCarlo!$B$6/MonteCarlo!$B$5)+(MonteCarlo!$B$9+(R$1^2)/2)*$A31)/(R$1*SQRT($A31)),TRUE)-MonteCarlo!$B$5*EXP(-MonteCarlo!$B$9*$A31)*_xlfn.NORM.S.DIST(((LN(MonteCarlo!$B$6/MonteCarlo!$B$5)+(MonteCarlo!$B$9+(R$1^2)/2)*$A31)/(R$1*SQRT($A31)))-(R$1*SQRT($A31)),TRUE),MonteCarlo!$B$5*EXP(-MonteCarlo!$B$9*$A31)*_xlfn.NORM.S.DIST(-(((LN(MonteCarlo!$B$6/MonteCarlo!$B$5)+(MonteCarlo!$B$9+(R$1^2)/2)*$A31)/(R$1*SQRT($A31)))-(R$1*SQRT($A31))),TRUE)-MonteCarlo!$B$6*_xlfn.NORM.S.DIST(-((LN(MonteCarlo!$B$6/MonteCarlo!$B$5)+(MonteCarlo!$B$9+(R$1^2)/2)*$A31)/(R$1*SQRT($A31))),TRUE)),"")</f>
        <v/>
      </c>
      <c r="S31" t="str">
        <f>IFERROR(IF(OR(MonteCarlo!$B$4="C",MonteCarlo!$B$4="c"),MonteCarlo!$B$6*_xlfn.NORM.S.DIST((LN(MonteCarlo!$B$6/MonteCarlo!$B$5)+(MonteCarlo!$B$9+(S$1^2)/2)*$A31)/(S$1*SQRT($A31)),TRUE)-MonteCarlo!$B$5*EXP(-MonteCarlo!$B$9*$A31)*_xlfn.NORM.S.DIST(((LN(MonteCarlo!$B$6/MonteCarlo!$B$5)+(MonteCarlo!$B$9+(S$1^2)/2)*$A31)/(S$1*SQRT($A31)))-(S$1*SQRT($A31)),TRUE),MonteCarlo!$B$5*EXP(-MonteCarlo!$B$9*$A31)*_xlfn.NORM.S.DIST(-(((LN(MonteCarlo!$B$6/MonteCarlo!$B$5)+(MonteCarlo!$B$9+(S$1^2)/2)*$A31)/(S$1*SQRT($A31)))-(S$1*SQRT($A31))),TRUE)-MonteCarlo!$B$6*_xlfn.NORM.S.DIST(-((LN(MonteCarlo!$B$6/MonteCarlo!$B$5)+(MonteCarlo!$B$9+(S$1^2)/2)*$A31)/(S$1*SQRT($A31))),TRUE)),"")</f>
        <v/>
      </c>
      <c r="T31" t="str">
        <f>IFERROR(IF(OR(MonteCarlo!$B$4="C",MonteCarlo!$B$4="c"),MonteCarlo!$B$6*_xlfn.NORM.S.DIST((LN(MonteCarlo!$B$6/MonteCarlo!$B$5)+(MonteCarlo!$B$9+(T$1^2)/2)*$A31)/(T$1*SQRT($A31)),TRUE)-MonteCarlo!$B$5*EXP(-MonteCarlo!$B$9*$A31)*_xlfn.NORM.S.DIST(((LN(MonteCarlo!$B$6/MonteCarlo!$B$5)+(MonteCarlo!$B$9+(T$1^2)/2)*$A31)/(T$1*SQRT($A31)))-(T$1*SQRT($A31)),TRUE),MonteCarlo!$B$5*EXP(-MonteCarlo!$B$9*$A31)*_xlfn.NORM.S.DIST(-(((LN(MonteCarlo!$B$6/MonteCarlo!$B$5)+(MonteCarlo!$B$9+(T$1^2)/2)*$A31)/(T$1*SQRT($A31)))-(T$1*SQRT($A31))),TRUE)-MonteCarlo!$B$6*_xlfn.NORM.S.DIST(-((LN(MonteCarlo!$B$6/MonteCarlo!$B$5)+(MonteCarlo!$B$9+(T$1^2)/2)*$A31)/(T$1*SQRT($A31))),TRUE)),"")</f>
        <v/>
      </c>
      <c r="U31" t="str">
        <f>IFERROR(IF(OR(MonteCarlo!$B$4="C",MonteCarlo!$B$4="c"),MonteCarlo!$B$6*_xlfn.NORM.S.DIST((LN(MonteCarlo!$B$6/MonteCarlo!$B$5)+(MonteCarlo!$B$9+(U$1^2)/2)*$A31)/(U$1*SQRT($A31)),TRUE)-MonteCarlo!$B$5*EXP(-MonteCarlo!$B$9*$A31)*_xlfn.NORM.S.DIST(((LN(MonteCarlo!$B$6/MonteCarlo!$B$5)+(MonteCarlo!$B$9+(U$1^2)/2)*$A31)/(U$1*SQRT($A31)))-(U$1*SQRT($A31)),TRUE),MonteCarlo!$B$5*EXP(-MonteCarlo!$B$9*$A31)*_xlfn.NORM.S.DIST(-(((LN(MonteCarlo!$B$6/MonteCarlo!$B$5)+(MonteCarlo!$B$9+(U$1^2)/2)*$A31)/(U$1*SQRT($A31)))-(U$1*SQRT($A31))),TRUE)-MonteCarlo!$B$6*_xlfn.NORM.S.DIST(-((LN(MonteCarlo!$B$6/MonteCarlo!$B$5)+(MonteCarlo!$B$9+(U$1^2)/2)*$A31)/(U$1*SQRT($A31))),TRUE)),"")</f>
        <v/>
      </c>
      <c r="V31" t="str">
        <f>IFERROR(IF(OR(MonteCarlo!$B$4="C",MonteCarlo!$B$4="c"),MonteCarlo!$B$6*_xlfn.NORM.S.DIST((LN(MonteCarlo!$B$6/MonteCarlo!$B$5)+(MonteCarlo!$B$9+(V$1^2)/2)*$A31)/(V$1*SQRT($A31)),TRUE)-MonteCarlo!$B$5*EXP(-MonteCarlo!$B$9*$A31)*_xlfn.NORM.S.DIST(((LN(MonteCarlo!$B$6/MonteCarlo!$B$5)+(MonteCarlo!$B$9+(V$1^2)/2)*$A31)/(V$1*SQRT($A31)))-(V$1*SQRT($A31)),TRUE),MonteCarlo!$B$5*EXP(-MonteCarlo!$B$9*$A31)*_xlfn.NORM.S.DIST(-(((LN(MonteCarlo!$B$6/MonteCarlo!$B$5)+(MonteCarlo!$B$9+(V$1^2)/2)*$A31)/(V$1*SQRT($A31)))-(V$1*SQRT($A31))),TRUE)-MonteCarlo!$B$6*_xlfn.NORM.S.DIST(-((LN(MonteCarlo!$B$6/MonteCarlo!$B$5)+(MonteCarlo!$B$9+(V$1^2)/2)*$A31)/(V$1*SQRT($A31))),TRUE)),"")</f>
        <v/>
      </c>
      <c r="W31" t="str">
        <f>IFERROR(IF(OR(MonteCarlo!$B$4="C",MonteCarlo!$B$4="c"),MonteCarlo!$B$6*_xlfn.NORM.S.DIST((LN(MonteCarlo!$B$6/MonteCarlo!$B$5)+(MonteCarlo!$B$9+(W$1^2)/2)*$A31)/(W$1*SQRT($A31)),TRUE)-MonteCarlo!$B$5*EXP(-MonteCarlo!$B$9*$A31)*_xlfn.NORM.S.DIST(((LN(MonteCarlo!$B$6/MonteCarlo!$B$5)+(MonteCarlo!$B$9+(W$1^2)/2)*$A31)/(W$1*SQRT($A31)))-(W$1*SQRT($A31)),TRUE),MonteCarlo!$B$5*EXP(-MonteCarlo!$B$9*$A31)*_xlfn.NORM.S.DIST(-(((LN(MonteCarlo!$B$6/MonteCarlo!$B$5)+(MonteCarlo!$B$9+(W$1^2)/2)*$A31)/(W$1*SQRT($A31)))-(W$1*SQRT($A31))),TRUE)-MonteCarlo!$B$6*_xlfn.NORM.S.DIST(-((LN(MonteCarlo!$B$6/MonteCarlo!$B$5)+(MonteCarlo!$B$9+(W$1^2)/2)*$A31)/(W$1*SQRT($A31))),TRUE)),"")</f>
        <v/>
      </c>
      <c r="X31" t="str">
        <f>IFERROR(IF(OR(MonteCarlo!$B$4="C",MonteCarlo!$B$4="c"),MonteCarlo!$B$6*_xlfn.NORM.S.DIST((LN(MonteCarlo!$B$6/MonteCarlo!$B$5)+(MonteCarlo!$B$9+(X$1^2)/2)*$A31)/(X$1*SQRT($A31)),TRUE)-MonteCarlo!$B$5*EXP(-MonteCarlo!$B$9*$A31)*_xlfn.NORM.S.DIST(((LN(MonteCarlo!$B$6/MonteCarlo!$B$5)+(MonteCarlo!$B$9+(X$1^2)/2)*$A31)/(X$1*SQRT($A31)))-(X$1*SQRT($A31)),TRUE),MonteCarlo!$B$5*EXP(-MonteCarlo!$B$9*$A31)*_xlfn.NORM.S.DIST(-(((LN(MonteCarlo!$B$6/MonteCarlo!$B$5)+(MonteCarlo!$B$9+(X$1^2)/2)*$A31)/(X$1*SQRT($A31)))-(X$1*SQRT($A31))),TRUE)-MonteCarlo!$B$6*_xlfn.NORM.S.DIST(-((LN(MonteCarlo!$B$6/MonteCarlo!$B$5)+(MonteCarlo!$B$9+(X$1^2)/2)*$A31)/(X$1*SQRT($A31))),TRUE)),"")</f>
        <v/>
      </c>
      <c r="Y31" t="str">
        <f>IFERROR(IF(OR(MonteCarlo!$B$4="C",MonteCarlo!$B$4="c"),MonteCarlo!$B$6*_xlfn.NORM.S.DIST((LN(MonteCarlo!$B$6/MonteCarlo!$B$5)+(MonteCarlo!$B$9+(Y$1^2)/2)*$A31)/(Y$1*SQRT($A31)),TRUE)-MonteCarlo!$B$5*EXP(-MonteCarlo!$B$9*$A31)*_xlfn.NORM.S.DIST(((LN(MonteCarlo!$B$6/MonteCarlo!$B$5)+(MonteCarlo!$B$9+(Y$1^2)/2)*$A31)/(Y$1*SQRT($A31)))-(Y$1*SQRT($A31)),TRUE),MonteCarlo!$B$5*EXP(-MonteCarlo!$B$9*$A31)*_xlfn.NORM.S.DIST(-(((LN(MonteCarlo!$B$6/MonteCarlo!$B$5)+(MonteCarlo!$B$9+(Y$1^2)/2)*$A31)/(Y$1*SQRT($A31)))-(Y$1*SQRT($A31))),TRUE)-MonteCarlo!$B$6*_xlfn.NORM.S.DIST(-((LN(MonteCarlo!$B$6/MonteCarlo!$B$5)+(MonteCarlo!$B$9+(Y$1^2)/2)*$A31)/(Y$1*SQRT($A31))),TRUE)),"")</f>
        <v/>
      </c>
      <c r="Z31" t="str">
        <f>IFERROR(IF(OR(MonteCarlo!$B$4="C",MonteCarlo!$B$4="c"),MonteCarlo!$B$6*_xlfn.NORM.S.DIST((LN(MonteCarlo!$B$6/MonteCarlo!$B$5)+(MonteCarlo!$B$9+(Z$1^2)/2)*$A31)/(Z$1*SQRT($A31)),TRUE)-MonteCarlo!$B$5*EXP(-MonteCarlo!$B$9*$A31)*_xlfn.NORM.S.DIST(((LN(MonteCarlo!$B$6/MonteCarlo!$B$5)+(MonteCarlo!$B$9+(Z$1^2)/2)*$A31)/(Z$1*SQRT($A31)))-(Z$1*SQRT($A31)),TRUE),MonteCarlo!$B$5*EXP(-MonteCarlo!$B$9*$A31)*_xlfn.NORM.S.DIST(-(((LN(MonteCarlo!$B$6/MonteCarlo!$B$5)+(MonteCarlo!$B$9+(Z$1^2)/2)*$A31)/(Z$1*SQRT($A31)))-(Z$1*SQRT($A31))),TRUE)-MonteCarlo!$B$6*_xlfn.NORM.S.DIST(-((LN(MonteCarlo!$B$6/MonteCarlo!$B$5)+(MonteCarlo!$B$9+(Z$1^2)/2)*$A31)/(Z$1*SQRT($A31))),TRUE)),"")</f>
        <v/>
      </c>
      <c r="AA31" t="str">
        <f>IFERROR(IF(OR(MonteCarlo!$B$4="C",MonteCarlo!$B$4="c"),MonteCarlo!$B$6*_xlfn.NORM.S.DIST((LN(MonteCarlo!$B$6/MonteCarlo!$B$5)+(MonteCarlo!$B$9+(AA$1^2)/2)*$A31)/(AA$1*SQRT($A31)),TRUE)-MonteCarlo!$B$5*EXP(-MonteCarlo!$B$9*$A31)*_xlfn.NORM.S.DIST(((LN(MonteCarlo!$B$6/MonteCarlo!$B$5)+(MonteCarlo!$B$9+(AA$1^2)/2)*$A31)/(AA$1*SQRT($A31)))-(AA$1*SQRT($A31)),TRUE),MonteCarlo!$B$5*EXP(-MonteCarlo!$B$9*$A31)*_xlfn.NORM.S.DIST(-(((LN(MonteCarlo!$B$6/MonteCarlo!$B$5)+(MonteCarlo!$B$9+(AA$1^2)/2)*$A31)/(AA$1*SQRT($A31)))-(AA$1*SQRT($A31))),TRUE)-MonteCarlo!$B$6*_xlfn.NORM.S.DIST(-((LN(MonteCarlo!$B$6/MonteCarlo!$B$5)+(MonteCarlo!$B$9+(AA$1^2)/2)*$A31)/(AA$1*SQRT($A31))),TRUE)),"")</f>
        <v/>
      </c>
      <c r="AB31" t="str">
        <f>IFERROR(IF(OR(MonteCarlo!$B$4="C",MonteCarlo!$B$4="c"),MonteCarlo!$B$6*_xlfn.NORM.S.DIST((LN(MonteCarlo!$B$6/MonteCarlo!$B$5)+(MonteCarlo!$B$9+(AB$1^2)/2)*$A31)/(AB$1*SQRT($A31)),TRUE)-MonteCarlo!$B$5*EXP(-MonteCarlo!$B$9*$A31)*_xlfn.NORM.S.DIST(((LN(MonteCarlo!$B$6/MonteCarlo!$B$5)+(MonteCarlo!$B$9+(AB$1^2)/2)*$A31)/(AB$1*SQRT($A31)))-(AB$1*SQRT($A31)),TRUE),MonteCarlo!$B$5*EXP(-MonteCarlo!$B$9*$A31)*_xlfn.NORM.S.DIST(-(((LN(MonteCarlo!$B$6/MonteCarlo!$B$5)+(MonteCarlo!$B$9+(AB$1^2)/2)*$A31)/(AB$1*SQRT($A31)))-(AB$1*SQRT($A31))),TRUE)-MonteCarlo!$B$6*_xlfn.NORM.S.DIST(-((LN(MonteCarlo!$B$6/MonteCarlo!$B$5)+(MonteCarlo!$B$9+(AB$1^2)/2)*$A31)/(AB$1*SQRT($A31))),TRUE)),"")</f>
        <v/>
      </c>
      <c r="AC31" t="str">
        <f>IFERROR(IF(OR(MonteCarlo!$B$4="C",MonteCarlo!$B$4="c"),MonteCarlo!$B$6*_xlfn.NORM.S.DIST((LN(MonteCarlo!$B$6/MonteCarlo!$B$5)+(MonteCarlo!$B$9+(AC$1^2)/2)*$A31)/(AC$1*SQRT($A31)),TRUE)-MonteCarlo!$B$5*EXP(-MonteCarlo!$B$9*$A31)*_xlfn.NORM.S.DIST(((LN(MonteCarlo!$B$6/MonteCarlo!$B$5)+(MonteCarlo!$B$9+(AC$1^2)/2)*$A31)/(AC$1*SQRT($A31)))-(AC$1*SQRT($A31)),TRUE),MonteCarlo!$B$5*EXP(-MonteCarlo!$B$9*$A31)*_xlfn.NORM.S.DIST(-(((LN(MonteCarlo!$B$6/MonteCarlo!$B$5)+(MonteCarlo!$B$9+(AC$1^2)/2)*$A31)/(AC$1*SQRT($A31)))-(AC$1*SQRT($A31))),TRUE)-MonteCarlo!$B$6*_xlfn.NORM.S.DIST(-((LN(MonteCarlo!$B$6/MonteCarlo!$B$5)+(MonteCarlo!$B$9+(AC$1^2)/2)*$A31)/(AC$1*SQRT($A31))),TRUE)),"")</f>
        <v/>
      </c>
      <c r="AD31" t="str">
        <f>IFERROR(IF(OR(MonteCarlo!$B$4="C",MonteCarlo!$B$4="c"),MonteCarlo!$B$6*_xlfn.NORM.S.DIST((LN(MonteCarlo!$B$6/MonteCarlo!$B$5)+(MonteCarlo!$B$9+(AD$1^2)/2)*$A31)/(AD$1*SQRT($A31)),TRUE)-MonteCarlo!$B$5*EXP(-MonteCarlo!$B$9*$A31)*_xlfn.NORM.S.DIST(((LN(MonteCarlo!$B$6/MonteCarlo!$B$5)+(MonteCarlo!$B$9+(AD$1^2)/2)*$A31)/(AD$1*SQRT($A31)))-(AD$1*SQRT($A31)),TRUE),MonteCarlo!$B$5*EXP(-MonteCarlo!$B$9*$A31)*_xlfn.NORM.S.DIST(-(((LN(MonteCarlo!$B$6/MonteCarlo!$B$5)+(MonteCarlo!$B$9+(AD$1^2)/2)*$A31)/(AD$1*SQRT($A31)))-(AD$1*SQRT($A31))),TRUE)-MonteCarlo!$B$6*_xlfn.NORM.S.DIST(-((LN(MonteCarlo!$B$6/MonteCarlo!$B$5)+(MonteCarlo!$B$9+(AD$1^2)/2)*$A31)/(AD$1*SQRT($A31))),TRUE)),"")</f>
        <v/>
      </c>
      <c r="AE31" t="str">
        <f>IFERROR(IF(OR(MonteCarlo!$B$4="C",MonteCarlo!$B$4="c"),MonteCarlo!$B$6*_xlfn.NORM.S.DIST((LN(MonteCarlo!$B$6/MonteCarlo!$B$5)+(MonteCarlo!$B$9+(AE$1^2)/2)*$A31)/(AE$1*SQRT($A31)),TRUE)-MonteCarlo!$B$5*EXP(-MonteCarlo!$B$9*$A31)*_xlfn.NORM.S.DIST(((LN(MonteCarlo!$B$6/MonteCarlo!$B$5)+(MonteCarlo!$B$9+(AE$1^2)/2)*$A31)/(AE$1*SQRT($A31)))-(AE$1*SQRT($A31)),TRUE),MonteCarlo!$B$5*EXP(-MonteCarlo!$B$9*$A31)*_xlfn.NORM.S.DIST(-(((LN(MonteCarlo!$B$6/MonteCarlo!$B$5)+(MonteCarlo!$B$9+(AE$1^2)/2)*$A31)/(AE$1*SQRT($A31)))-(AE$1*SQRT($A31))),TRUE)-MonteCarlo!$B$6*_xlfn.NORM.S.DIST(-((LN(MonteCarlo!$B$6/MonteCarlo!$B$5)+(MonteCarlo!$B$9+(AE$1^2)/2)*$A31)/(AE$1*SQRT($A31))),TRUE)),"")</f>
        <v/>
      </c>
      <c r="AF31" t="str">
        <f>IFERROR(IF(OR(MonteCarlo!$B$4="C",MonteCarlo!$B$4="c"),MonteCarlo!$B$6*_xlfn.NORM.S.DIST((LN(MonteCarlo!$B$6/MonteCarlo!$B$5)+(MonteCarlo!$B$9+(AF$1^2)/2)*$A31)/(AF$1*SQRT($A31)),TRUE)-MonteCarlo!$B$5*EXP(-MonteCarlo!$B$9*$A31)*_xlfn.NORM.S.DIST(((LN(MonteCarlo!$B$6/MonteCarlo!$B$5)+(MonteCarlo!$B$9+(AF$1^2)/2)*$A31)/(AF$1*SQRT($A31)))-(AF$1*SQRT($A31)),TRUE),MonteCarlo!$B$5*EXP(-MonteCarlo!$B$9*$A31)*_xlfn.NORM.S.DIST(-(((LN(MonteCarlo!$B$6/MonteCarlo!$B$5)+(MonteCarlo!$B$9+(AF$1^2)/2)*$A31)/(AF$1*SQRT($A31)))-(AF$1*SQRT($A31))),TRUE)-MonteCarlo!$B$6*_xlfn.NORM.S.DIST(-((LN(MonteCarlo!$B$6/MonteCarlo!$B$5)+(MonteCarlo!$B$9+(AF$1^2)/2)*$A31)/(AF$1*SQRT($A31))),TRUE)),"")</f>
        <v/>
      </c>
    </row>
    <row r="32" spans="2:32" x14ac:dyDescent="0.25">
      <c r="B32" t="str">
        <f>IFERROR(IF(OR(MonteCarlo!$B$4="C",MonteCarlo!$B$4="c"),MonteCarlo!$B$6*_xlfn.NORM.S.DIST((LN(MonteCarlo!$B$6/MonteCarlo!$B$5)+(MonteCarlo!$B$9+(B$1^2)/2)*$A32)/(B$1*SQRT($A32)),TRUE)-MonteCarlo!$B$5*EXP(-MonteCarlo!$B$9*$A32)*_xlfn.NORM.S.DIST(((LN(MonteCarlo!$B$6/MonteCarlo!$B$5)+(MonteCarlo!$B$9+(B$1^2)/2)*$A32)/(B$1*SQRT($A32)))-(B$1*SQRT($A32)),TRUE),MonteCarlo!$B$5*EXP(-MonteCarlo!$B$9*$A32)*_xlfn.NORM.S.DIST(-(((LN(MonteCarlo!$B$6/MonteCarlo!$B$5)+(MonteCarlo!$B$9+(B$1^2)/2)*$A32)/(B$1*SQRT($A32)))-(B$1*SQRT($A32))),TRUE)-MonteCarlo!$B$6*_xlfn.NORM.S.DIST(-((LN(MonteCarlo!$B$6/MonteCarlo!$B$5)+(MonteCarlo!$B$9+(B$1^2)/2)*$A32)/(B$1*SQRT($A32))),TRUE)),"")</f>
        <v/>
      </c>
      <c r="C32" t="str">
        <f>IFERROR(IF(OR(MonteCarlo!$B$4="C",MonteCarlo!$B$4="c"),MonteCarlo!$B$6*_xlfn.NORM.S.DIST((LN(MonteCarlo!$B$6/MonteCarlo!$B$5)+(MonteCarlo!$B$9+(C$1^2)/2)*$A32)/(C$1*SQRT($A32)),TRUE)-MonteCarlo!$B$5*EXP(-MonteCarlo!$B$9*$A32)*_xlfn.NORM.S.DIST(((LN(MonteCarlo!$B$6/MonteCarlo!$B$5)+(MonteCarlo!$B$9+(C$1^2)/2)*$A32)/(C$1*SQRT($A32)))-(C$1*SQRT($A32)),TRUE),MonteCarlo!$B$5*EXP(-MonteCarlo!$B$9*$A32)*_xlfn.NORM.S.DIST(-(((LN(MonteCarlo!$B$6/MonteCarlo!$B$5)+(MonteCarlo!$B$9+(C$1^2)/2)*$A32)/(C$1*SQRT($A32)))-(C$1*SQRT($A32))),TRUE)-MonteCarlo!$B$6*_xlfn.NORM.S.DIST(-((LN(MonteCarlo!$B$6/MonteCarlo!$B$5)+(MonteCarlo!$B$9+(C$1^2)/2)*$A32)/(C$1*SQRT($A32))),TRUE)),"")</f>
        <v/>
      </c>
      <c r="D32" t="str">
        <f>IFERROR(IF(OR(MonteCarlo!$B$4="C",MonteCarlo!$B$4="c"),MonteCarlo!$B$6*_xlfn.NORM.S.DIST((LN(MonteCarlo!$B$6/MonteCarlo!$B$5)+(MonteCarlo!$B$9+(D$1^2)/2)*$A32)/(D$1*SQRT($A32)),TRUE)-MonteCarlo!$B$5*EXP(-MonteCarlo!$B$9*$A32)*_xlfn.NORM.S.DIST(((LN(MonteCarlo!$B$6/MonteCarlo!$B$5)+(MonteCarlo!$B$9+(D$1^2)/2)*$A32)/(D$1*SQRT($A32)))-(D$1*SQRT($A32)),TRUE),MonteCarlo!$B$5*EXP(-MonteCarlo!$B$9*$A32)*_xlfn.NORM.S.DIST(-(((LN(MonteCarlo!$B$6/MonteCarlo!$B$5)+(MonteCarlo!$B$9+(D$1^2)/2)*$A32)/(D$1*SQRT($A32)))-(D$1*SQRT($A32))),TRUE)-MonteCarlo!$B$6*_xlfn.NORM.S.DIST(-((LN(MonteCarlo!$B$6/MonteCarlo!$B$5)+(MonteCarlo!$B$9+(D$1^2)/2)*$A32)/(D$1*SQRT($A32))),TRUE)),"")</f>
        <v/>
      </c>
      <c r="E32" t="str">
        <f>IFERROR(IF(OR(MonteCarlo!$B$4="C",MonteCarlo!$B$4="c"),MonteCarlo!$B$6*_xlfn.NORM.S.DIST((LN(MonteCarlo!$B$6/MonteCarlo!$B$5)+(MonteCarlo!$B$9+(E$1^2)/2)*$A32)/(E$1*SQRT($A32)),TRUE)-MonteCarlo!$B$5*EXP(-MonteCarlo!$B$9*$A32)*_xlfn.NORM.S.DIST(((LN(MonteCarlo!$B$6/MonteCarlo!$B$5)+(MonteCarlo!$B$9+(E$1^2)/2)*$A32)/(E$1*SQRT($A32)))-(E$1*SQRT($A32)),TRUE),MonteCarlo!$B$5*EXP(-MonteCarlo!$B$9*$A32)*_xlfn.NORM.S.DIST(-(((LN(MonteCarlo!$B$6/MonteCarlo!$B$5)+(MonteCarlo!$B$9+(E$1^2)/2)*$A32)/(E$1*SQRT($A32)))-(E$1*SQRT($A32))),TRUE)-MonteCarlo!$B$6*_xlfn.NORM.S.DIST(-((LN(MonteCarlo!$B$6/MonteCarlo!$B$5)+(MonteCarlo!$B$9+(E$1^2)/2)*$A32)/(E$1*SQRT($A32))),TRUE)),"")</f>
        <v/>
      </c>
      <c r="F32" t="str">
        <f>IFERROR(IF(OR(MonteCarlo!$B$4="C",MonteCarlo!$B$4="c"),MonteCarlo!$B$6*_xlfn.NORM.S.DIST((LN(MonteCarlo!$B$6/MonteCarlo!$B$5)+(MonteCarlo!$B$9+(F$1^2)/2)*$A32)/(F$1*SQRT($A32)),TRUE)-MonteCarlo!$B$5*EXP(-MonteCarlo!$B$9*$A32)*_xlfn.NORM.S.DIST(((LN(MonteCarlo!$B$6/MonteCarlo!$B$5)+(MonteCarlo!$B$9+(F$1^2)/2)*$A32)/(F$1*SQRT($A32)))-(F$1*SQRT($A32)),TRUE),MonteCarlo!$B$5*EXP(-MonteCarlo!$B$9*$A32)*_xlfn.NORM.S.DIST(-(((LN(MonteCarlo!$B$6/MonteCarlo!$B$5)+(MonteCarlo!$B$9+(F$1^2)/2)*$A32)/(F$1*SQRT($A32)))-(F$1*SQRT($A32))),TRUE)-MonteCarlo!$B$6*_xlfn.NORM.S.DIST(-((LN(MonteCarlo!$B$6/MonteCarlo!$B$5)+(MonteCarlo!$B$9+(F$1^2)/2)*$A32)/(F$1*SQRT($A32))),TRUE)),"")</f>
        <v/>
      </c>
      <c r="G32" t="str">
        <f>IFERROR(IF(OR(MonteCarlo!$B$4="C",MonteCarlo!$B$4="c"),MonteCarlo!$B$6*_xlfn.NORM.S.DIST((LN(MonteCarlo!$B$6/MonteCarlo!$B$5)+(MonteCarlo!$B$9+(G$1^2)/2)*$A32)/(G$1*SQRT($A32)),TRUE)-MonteCarlo!$B$5*EXP(-MonteCarlo!$B$9*$A32)*_xlfn.NORM.S.DIST(((LN(MonteCarlo!$B$6/MonteCarlo!$B$5)+(MonteCarlo!$B$9+(G$1^2)/2)*$A32)/(G$1*SQRT($A32)))-(G$1*SQRT($A32)),TRUE),MonteCarlo!$B$5*EXP(-MonteCarlo!$B$9*$A32)*_xlfn.NORM.S.DIST(-(((LN(MonteCarlo!$B$6/MonteCarlo!$B$5)+(MonteCarlo!$B$9+(G$1^2)/2)*$A32)/(G$1*SQRT($A32)))-(G$1*SQRT($A32))),TRUE)-MonteCarlo!$B$6*_xlfn.NORM.S.DIST(-((LN(MonteCarlo!$B$6/MonteCarlo!$B$5)+(MonteCarlo!$B$9+(G$1^2)/2)*$A32)/(G$1*SQRT($A32))),TRUE)),"")</f>
        <v/>
      </c>
      <c r="H32" t="str">
        <f>IFERROR(IF(OR(MonteCarlo!$B$4="C",MonteCarlo!$B$4="c"),MonteCarlo!$B$6*_xlfn.NORM.S.DIST((LN(MonteCarlo!$B$6/MonteCarlo!$B$5)+(MonteCarlo!$B$9+(H$1^2)/2)*$A32)/(H$1*SQRT($A32)),TRUE)-MonteCarlo!$B$5*EXP(-MonteCarlo!$B$9*$A32)*_xlfn.NORM.S.DIST(((LN(MonteCarlo!$B$6/MonteCarlo!$B$5)+(MonteCarlo!$B$9+(H$1^2)/2)*$A32)/(H$1*SQRT($A32)))-(H$1*SQRT($A32)),TRUE),MonteCarlo!$B$5*EXP(-MonteCarlo!$B$9*$A32)*_xlfn.NORM.S.DIST(-(((LN(MonteCarlo!$B$6/MonteCarlo!$B$5)+(MonteCarlo!$B$9+(H$1^2)/2)*$A32)/(H$1*SQRT($A32)))-(H$1*SQRT($A32))),TRUE)-MonteCarlo!$B$6*_xlfn.NORM.S.DIST(-((LN(MonteCarlo!$B$6/MonteCarlo!$B$5)+(MonteCarlo!$B$9+(H$1^2)/2)*$A32)/(H$1*SQRT($A32))),TRUE)),"")</f>
        <v/>
      </c>
      <c r="I32" t="str">
        <f>IFERROR(IF(OR(MonteCarlo!$B$4="C",MonteCarlo!$B$4="c"),MonteCarlo!$B$6*_xlfn.NORM.S.DIST((LN(MonteCarlo!$B$6/MonteCarlo!$B$5)+(MonteCarlo!$B$9+(I$1^2)/2)*$A32)/(I$1*SQRT($A32)),TRUE)-MonteCarlo!$B$5*EXP(-MonteCarlo!$B$9*$A32)*_xlfn.NORM.S.DIST(((LN(MonteCarlo!$B$6/MonteCarlo!$B$5)+(MonteCarlo!$B$9+(I$1^2)/2)*$A32)/(I$1*SQRT($A32)))-(I$1*SQRT($A32)),TRUE),MonteCarlo!$B$5*EXP(-MonteCarlo!$B$9*$A32)*_xlfn.NORM.S.DIST(-(((LN(MonteCarlo!$B$6/MonteCarlo!$B$5)+(MonteCarlo!$B$9+(I$1^2)/2)*$A32)/(I$1*SQRT($A32)))-(I$1*SQRT($A32))),TRUE)-MonteCarlo!$B$6*_xlfn.NORM.S.DIST(-((LN(MonteCarlo!$B$6/MonteCarlo!$B$5)+(MonteCarlo!$B$9+(I$1^2)/2)*$A32)/(I$1*SQRT($A32))),TRUE)),"")</f>
        <v/>
      </c>
      <c r="J32" t="str">
        <f>IFERROR(IF(OR(MonteCarlo!$B$4="C",MonteCarlo!$B$4="c"),MonteCarlo!$B$6*_xlfn.NORM.S.DIST((LN(MonteCarlo!$B$6/MonteCarlo!$B$5)+(MonteCarlo!$B$9+(J$1^2)/2)*$A32)/(J$1*SQRT($A32)),TRUE)-MonteCarlo!$B$5*EXP(-MonteCarlo!$B$9*$A32)*_xlfn.NORM.S.DIST(((LN(MonteCarlo!$B$6/MonteCarlo!$B$5)+(MonteCarlo!$B$9+(J$1^2)/2)*$A32)/(J$1*SQRT($A32)))-(J$1*SQRT($A32)),TRUE),MonteCarlo!$B$5*EXP(-MonteCarlo!$B$9*$A32)*_xlfn.NORM.S.DIST(-(((LN(MonteCarlo!$B$6/MonteCarlo!$B$5)+(MonteCarlo!$B$9+(J$1^2)/2)*$A32)/(J$1*SQRT($A32)))-(J$1*SQRT($A32))),TRUE)-MonteCarlo!$B$6*_xlfn.NORM.S.DIST(-((LN(MonteCarlo!$B$6/MonteCarlo!$B$5)+(MonteCarlo!$B$9+(J$1^2)/2)*$A32)/(J$1*SQRT($A32))),TRUE)),"")</f>
        <v/>
      </c>
      <c r="K32" t="str">
        <f>IFERROR(IF(OR(MonteCarlo!$B$4="C",MonteCarlo!$B$4="c"),MonteCarlo!$B$6*_xlfn.NORM.S.DIST((LN(MonteCarlo!$B$6/MonteCarlo!$B$5)+(MonteCarlo!$B$9+(K$1^2)/2)*$A32)/(K$1*SQRT($A32)),TRUE)-MonteCarlo!$B$5*EXP(-MonteCarlo!$B$9*$A32)*_xlfn.NORM.S.DIST(((LN(MonteCarlo!$B$6/MonteCarlo!$B$5)+(MonteCarlo!$B$9+(K$1^2)/2)*$A32)/(K$1*SQRT($A32)))-(K$1*SQRT($A32)),TRUE),MonteCarlo!$B$5*EXP(-MonteCarlo!$B$9*$A32)*_xlfn.NORM.S.DIST(-(((LN(MonteCarlo!$B$6/MonteCarlo!$B$5)+(MonteCarlo!$B$9+(K$1^2)/2)*$A32)/(K$1*SQRT($A32)))-(K$1*SQRT($A32))),TRUE)-MonteCarlo!$B$6*_xlfn.NORM.S.DIST(-((LN(MonteCarlo!$B$6/MonteCarlo!$B$5)+(MonteCarlo!$B$9+(K$1^2)/2)*$A32)/(K$1*SQRT($A32))),TRUE)),"")</f>
        <v/>
      </c>
      <c r="L32" t="str">
        <f>IFERROR(IF(OR(MonteCarlo!$B$4="C",MonteCarlo!$B$4="c"),MonteCarlo!$B$6*_xlfn.NORM.S.DIST((LN(MonteCarlo!$B$6/MonteCarlo!$B$5)+(MonteCarlo!$B$9+(L$1^2)/2)*$A32)/(L$1*SQRT($A32)),TRUE)-MonteCarlo!$B$5*EXP(-MonteCarlo!$B$9*$A32)*_xlfn.NORM.S.DIST(((LN(MonteCarlo!$B$6/MonteCarlo!$B$5)+(MonteCarlo!$B$9+(L$1^2)/2)*$A32)/(L$1*SQRT($A32)))-(L$1*SQRT($A32)),TRUE),MonteCarlo!$B$5*EXP(-MonteCarlo!$B$9*$A32)*_xlfn.NORM.S.DIST(-(((LN(MonteCarlo!$B$6/MonteCarlo!$B$5)+(MonteCarlo!$B$9+(L$1^2)/2)*$A32)/(L$1*SQRT($A32)))-(L$1*SQRT($A32))),TRUE)-MonteCarlo!$B$6*_xlfn.NORM.S.DIST(-((LN(MonteCarlo!$B$6/MonteCarlo!$B$5)+(MonteCarlo!$B$9+(L$1^2)/2)*$A32)/(L$1*SQRT($A32))),TRUE)),"")</f>
        <v/>
      </c>
      <c r="M32" t="str">
        <f>IFERROR(IF(OR(MonteCarlo!$B$4="C",MonteCarlo!$B$4="c"),MonteCarlo!$B$6*_xlfn.NORM.S.DIST((LN(MonteCarlo!$B$6/MonteCarlo!$B$5)+(MonteCarlo!$B$9+(M$1^2)/2)*$A32)/(M$1*SQRT($A32)),TRUE)-MonteCarlo!$B$5*EXP(-MonteCarlo!$B$9*$A32)*_xlfn.NORM.S.DIST(((LN(MonteCarlo!$B$6/MonteCarlo!$B$5)+(MonteCarlo!$B$9+(M$1^2)/2)*$A32)/(M$1*SQRT($A32)))-(M$1*SQRT($A32)),TRUE),MonteCarlo!$B$5*EXP(-MonteCarlo!$B$9*$A32)*_xlfn.NORM.S.DIST(-(((LN(MonteCarlo!$B$6/MonteCarlo!$B$5)+(MonteCarlo!$B$9+(M$1^2)/2)*$A32)/(M$1*SQRT($A32)))-(M$1*SQRT($A32))),TRUE)-MonteCarlo!$B$6*_xlfn.NORM.S.DIST(-((LN(MonteCarlo!$B$6/MonteCarlo!$B$5)+(MonteCarlo!$B$9+(M$1^2)/2)*$A32)/(M$1*SQRT($A32))),TRUE)),"")</f>
        <v/>
      </c>
      <c r="N32" t="str">
        <f>IFERROR(IF(OR(MonteCarlo!$B$4="C",MonteCarlo!$B$4="c"),MonteCarlo!$B$6*_xlfn.NORM.S.DIST((LN(MonteCarlo!$B$6/MonteCarlo!$B$5)+(MonteCarlo!$B$9+(N$1^2)/2)*$A32)/(N$1*SQRT($A32)),TRUE)-MonteCarlo!$B$5*EXP(-MonteCarlo!$B$9*$A32)*_xlfn.NORM.S.DIST(((LN(MonteCarlo!$B$6/MonteCarlo!$B$5)+(MonteCarlo!$B$9+(N$1^2)/2)*$A32)/(N$1*SQRT($A32)))-(N$1*SQRT($A32)),TRUE),MonteCarlo!$B$5*EXP(-MonteCarlo!$B$9*$A32)*_xlfn.NORM.S.DIST(-(((LN(MonteCarlo!$B$6/MonteCarlo!$B$5)+(MonteCarlo!$B$9+(N$1^2)/2)*$A32)/(N$1*SQRT($A32)))-(N$1*SQRT($A32))),TRUE)-MonteCarlo!$B$6*_xlfn.NORM.S.DIST(-((LN(MonteCarlo!$B$6/MonteCarlo!$B$5)+(MonteCarlo!$B$9+(N$1^2)/2)*$A32)/(N$1*SQRT($A32))),TRUE)),"")</f>
        <v/>
      </c>
      <c r="O32" t="str">
        <f>IFERROR(IF(OR(MonteCarlo!$B$4="C",MonteCarlo!$B$4="c"),MonteCarlo!$B$6*_xlfn.NORM.S.DIST((LN(MonteCarlo!$B$6/MonteCarlo!$B$5)+(MonteCarlo!$B$9+(O$1^2)/2)*$A32)/(O$1*SQRT($A32)),TRUE)-MonteCarlo!$B$5*EXP(-MonteCarlo!$B$9*$A32)*_xlfn.NORM.S.DIST(((LN(MonteCarlo!$B$6/MonteCarlo!$B$5)+(MonteCarlo!$B$9+(O$1^2)/2)*$A32)/(O$1*SQRT($A32)))-(O$1*SQRT($A32)),TRUE),MonteCarlo!$B$5*EXP(-MonteCarlo!$B$9*$A32)*_xlfn.NORM.S.DIST(-(((LN(MonteCarlo!$B$6/MonteCarlo!$B$5)+(MonteCarlo!$B$9+(O$1^2)/2)*$A32)/(O$1*SQRT($A32)))-(O$1*SQRT($A32))),TRUE)-MonteCarlo!$B$6*_xlfn.NORM.S.DIST(-((LN(MonteCarlo!$B$6/MonteCarlo!$B$5)+(MonteCarlo!$B$9+(O$1^2)/2)*$A32)/(O$1*SQRT($A32))),TRUE)),"")</f>
        <v/>
      </c>
      <c r="P32" t="str">
        <f>IFERROR(IF(OR(MonteCarlo!$B$4="C",MonteCarlo!$B$4="c"),MonteCarlo!$B$6*_xlfn.NORM.S.DIST((LN(MonteCarlo!$B$6/MonteCarlo!$B$5)+(MonteCarlo!$B$9+(P$1^2)/2)*$A32)/(P$1*SQRT($A32)),TRUE)-MonteCarlo!$B$5*EXP(-MonteCarlo!$B$9*$A32)*_xlfn.NORM.S.DIST(((LN(MonteCarlo!$B$6/MonteCarlo!$B$5)+(MonteCarlo!$B$9+(P$1^2)/2)*$A32)/(P$1*SQRT($A32)))-(P$1*SQRT($A32)),TRUE),MonteCarlo!$B$5*EXP(-MonteCarlo!$B$9*$A32)*_xlfn.NORM.S.DIST(-(((LN(MonteCarlo!$B$6/MonteCarlo!$B$5)+(MonteCarlo!$B$9+(P$1^2)/2)*$A32)/(P$1*SQRT($A32)))-(P$1*SQRT($A32))),TRUE)-MonteCarlo!$B$6*_xlfn.NORM.S.DIST(-((LN(MonteCarlo!$B$6/MonteCarlo!$B$5)+(MonteCarlo!$B$9+(P$1^2)/2)*$A32)/(P$1*SQRT($A32))),TRUE)),"")</f>
        <v/>
      </c>
      <c r="Q32" t="str">
        <f>IFERROR(IF(OR(MonteCarlo!$B$4="C",MonteCarlo!$B$4="c"),MonteCarlo!$B$6*_xlfn.NORM.S.DIST((LN(MonteCarlo!$B$6/MonteCarlo!$B$5)+(MonteCarlo!$B$9+(Q$1^2)/2)*$A32)/(Q$1*SQRT($A32)),TRUE)-MonteCarlo!$B$5*EXP(-MonteCarlo!$B$9*$A32)*_xlfn.NORM.S.DIST(((LN(MonteCarlo!$B$6/MonteCarlo!$B$5)+(MonteCarlo!$B$9+(Q$1^2)/2)*$A32)/(Q$1*SQRT($A32)))-(Q$1*SQRT($A32)),TRUE),MonteCarlo!$B$5*EXP(-MonteCarlo!$B$9*$A32)*_xlfn.NORM.S.DIST(-(((LN(MonteCarlo!$B$6/MonteCarlo!$B$5)+(MonteCarlo!$B$9+(Q$1^2)/2)*$A32)/(Q$1*SQRT($A32)))-(Q$1*SQRT($A32))),TRUE)-MonteCarlo!$B$6*_xlfn.NORM.S.DIST(-((LN(MonteCarlo!$B$6/MonteCarlo!$B$5)+(MonteCarlo!$B$9+(Q$1^2)/2)*$A32)/(Q$1*SQRT($A32))),TRUE)),"")</f>
        <v/>
      </c>
      <c r="R32" t="str">
        <f>IFERROR(IF(OR(MonteCarlo!$B$4="C",MonteCarlo!$B$4="c"),MonteCarlo!$B$6*_xlfn.NORM.S.DIST((LN(MonteCarlo!$B$6/MonteCarlo!$B$5)+(MonteCarlo!$B$9+(R$1^2)/2)*$A32)/(R$1*SQRT($A32)),TRUE)-MonteCarlo!$B$5*EXP(-MonteCarlo!$B$9*$A32)*_xlfn.NORM.S.DIST(((LN(MonteCarlo!$B$6/MonteCarlo!$B$5)+(MonteCarlo!$B$9+(R$1^2)/2)*$A32)/(R$1*SQRT($A32)))-(R$1*SQRT($A32)),TRUE),MonteCarlo!$B$5*EXP(-MonteCarlo!$B$9*$A32)*_xlfn.NORM.S.DIST(-(((LN(MonteCarlo!$B$6/MonteCarlo!$B$5)+(MonteCarlo!$B$9+(R$1^2)/2)*$A32)/(R$1*SQRT($A32)))-(R$1*SQRT($A32))),TRUE)-MonteCarlo!$B$6*_xlfn.NORM.S.DIST(-((LN(MonteCarlo!$B$6/MonteCarlo!$B$5)+(MonteCarlo!$B$9+(R$1^2)/2)*$A32)/(R$1*SQRT($A32))),TRUE)),"")</f>
        <v/>
      </c>
      <c r="S32" t="str">
        <f>IFERROR(IF(OR(MonteCarlo!$B$4="C",MonteCarlo!$B$4="c"),MonteCarlo!$B$6*_xlfn.NORM.S.DIST((LN(MonteCarlo!$B$6/MonteCarlo!$B$5)+(MonteCarlo!$B$9+(S$1^2)/2)*$A32)/(S$1*SQRT($A32)),TRUE)-MonteCarlo!$B$5*EXP(-MonteCarlo!$B$9*$A32)*_xlfn.NORM.S.DIST(((LN(MonteCarlo!$B$6/MonteCarlo!$B$5)+(MonteCarlo!$B$9+(S$1^2)/2)*$A32)/(S$1*SQRT($A32)))-(S$1*SQRT($A32)),TRUE),MonteCarlo!$B$5*EXP(-MonteCarlo!$B$9*$A32)*_xlfn.NORM.S.DIST(-(((LN(MonteCarlo!$B$6/MonteCarlo!$B$5)+(MonteCarlo!$B$9+(S$1^2)/2)*$A32)/(S$1*SQRT($A32)))-(S$1*SQRT($A32))),TRUE)-MonteCarlo!$B$6*_xlfn.NORM.S.DIST(-((LN(MonteCarlo!$B$6/MonteCarlo!$B$5)+(MonteCarlo!$B$9+(S$1^2)/2)*$A32)/(S$1*SQRT($A32))),TRUE)),"")</f>
        <v/>
      </c>
      <c r="T32" t="str">
        <f>IFERROR(IF(OR(MonteCarlo!$B$4="C",MonteCarlo!$B$4="c"),MonteCarlo!$B$6*_xlfn.NORM.S.DIST((LN(MonteCarlo!$B$6/MonteCarlo!$B$5)+(MonteCarlo!$B$9+(T$1^2)/2)*$A32)/(T$1*SQRT($A32)),TRUE)-MonteCarlo!$B$5*EXP(-MonteCarlo!$B$9*$A32)*_xlfn.NORM.S.DIST(((LN(MonteCarlo!$B$6/MonteCarlo!$B$5)+(MonteCarlo!$B$9+(T$1^2)/2)*$A32)/(T$1*SQRT($A32)))-(T$1*SQRT($A32)),TRUE),MonteCarlo!$B$5*EXP(-MonteCarlo!$B$9*$A32)*_xlfn.NORM.S.DIST(-(((LN(MonteCarlo!$B$6/MonteCarlo!$B$5)+(MonteCarlo!$B$9+(T$1^2)/2)*$A32)/(T$1*SQRT($A32)))-(T$1*SQRT($A32))),TRUE)-MonteCarlo!$B$6*_xlfn.NORM.S.DIST(-((LN(MonteCarlo!$B$6/MonteCarlo!$B$5)+(MonteCarlo!$B$9+(T$1^2)/2)*$A32)/(T$1*SQRT($A32))),TRUE)),"")</f>
        <v/>
      </c>
      <c r="U32" t="str">
        <f>IFERROR(IF(OR(MonteCarlo!$B$4="C",MonteCarlo!$B$4="c"),MonteCarlo!$B$6*_xlfn.NORM.S.DIST((LN(MonteCarlo!$B$6/MonteCarlo!$B$5)+(MonteCarlo!$B$9+(U$1^2)/2)*$A32)/(U$1*SQRT($A32)),TRUE)-MonteCarlo!$B$5*EXP(-MonteCarlo!$B$9*$A32)*_xlfn.NORM.S.DIST(((LN(MonteCarlo!$B$6/MonteCarlo!$B$5)+(MonteCarlo!$B$9+(U$1^2)/2)*$A32)/(U$1*SQRT($A32)))-(U$1*SQRT($A32)),TRUE),MonteCarlo!$B$5*EXP(-MonteCarlo!$B$9*$A32)*_xlfn.NORM.S.DIST(-(((LN(MonteCarlo!$B$6/MonteCarlo!$B$5)+(MonteCarlo!$B$9+(U$1^2)/2)*$A32)/(U$1*SQRT($A32)))-(U$1*SQRT($A32))),TRUE)-MonteCarlo!$B$6*_xlfn.NORM.S.DIST(-((LN(MonteCarlo!$B$6/MonteCarlo!$B$5)+(MonteCarlo!$B$9+(U$1^2)/2)*$A32)/(U$1*SQRT($A32))),TRUE)),"")</f>
        <v/>
      </c>
      <c r="V32" t="str">
        <f>IFERROR(IF(OR(MonteCarlo!$B$4="C",MonteCarlo!$B$4="c"),MonteCarlo!$B$6*_xlfn.NORM.S.DIST((LN(MonteCarlo!$B$6/MonteCarlo!$B$5)+(MonteCarlo!$B$9+(V$1^2)/2)*$A32)/(V$1*SQRT($A32)),TRUE)-MonteCarlo!$B$5*EXP(-MonteCarlo!$B$9*$A32)*_xlfn.NORM.S.DIST(((LN(MonteCarlo!$B$6/MonteCarlo!$B$5)+(MonteCarlo!$B$9+(V$1^2)/2)*$A32)/(V$1*SQRT($A32)))-(V$1*SQRT($A32)),TRUE),MonteCarlo!$B$5*EXP(-MonteCarlo!$B$9*$A32)*_xlfn.NORM.S.DIST(-(((LN(MonteCarlo!$B$6/MonteCarlo!$B$5)+(MonteCarlo!$B$9+(V$1^2)/2)*$A32)/(V$1*SQRT($A32)))-(V$1*SQRT($A32))),TRUE)-MonteCarlo!$B$6*_xlfn.NORM.S.DIST(-((LN(MonteCarlo!$B$6/MonteCarlo!$B$5)+(MonteCarlo!$B$9+(V$1^2)/2)*$A32)/(V$1*SQRT($A32))),TRUE)),"")</f>
        <v/>
      </c>
      <c r="W32" t="str">
        <f>IFERROR(IF(OR(MonteCarlo!$B$4="C",MonteCarlo!$B$4="c"),MonteCarlo!$B$6*_xlfn.NORM.S.DIST((LN(MonteCarlo!$B$6/MonteCarlo!$B$5)+(MonteCarlo!$B$9+(W$1^2)/2)*$A32)/(W$1*SQRT($A32)),TRUE)-MonteCarlo!$B$5*EXP(-MonteCarlo!$B$9*$A32)*_xlfn.NORM.S.DIST(((LN(MonteCarlo!$B$6/MonteCarlo!$B$5)+(MonteCarlo!$B$9+(W$1^2)/2)*$A32)/(W$1*SQRT($A32)))-(W$1*SQRT($A32)),TRUE),MonteCarlo!$B$5*EXP(-MonteCarlo!$B$9*$A32)*_xlfn.NORM.S.DIST(-(((LN(MonteCarlo!$B$6/MonteCarlo!$B$5)+(MonteCarlo!$B$9+(W$1^2)/2)*$A32)/(W$1*SQRT($A32)))-(W$1*SQRT($A32))),TRUE)-MonteCarlo!$B$6*_xlfn.NORM.S.DIST(-((LN(MonteCarlo!$B$6/MonteCarlo!$B$5)+(MonteCarlo!$B$9+(W$1^2)/2)*$A32)/(W$1*SQRT($A32))),TRUE)),"")</f>
        <v/>
      </c>
      <c r="X32" t="str">
        <f>IFERROR(IF(OR(MonteCarlo!$B$4="C",MonteCarlo!$B$4="c"),MonteCarlo!$B$6*_xlfn.NORM.S.DIST((LN(MonteCarlo!$B$6/MonteCarlo!$B$5)+(MonteCarlo!$B$9+(X$1^2)/2)*$A32)/(X$1*SQRT($A32)),TRUE)-MonteCarlo!$B$5*EXP(-MonteCarlo!$B$9*$A32)*_xlfn.NORM.S.DIST(((LN(MonteCarlo!$B$6/MonteCarlo!$B$5)+(MonteCarlo!$B$9+(X$1^2)/2)*$A32)/(X$1*SQRT($A32)))-(X$1*SQRT($A32)),TRUE),MonteCarlo!$B$5*EXP(-MonteCarlo!$B$9*$A32)*_xlfn.NORM.S.DIST(-(((LN(MonteCarlo!$B$6/MonteCarlo!$B$5)+(MonteCarlo!$B$9+(X$1^2)/2)*$A32)/(X$1*SQRT($A32)))-(X$1*SQRT($A32))),TRUE)-MonteCarlo!$B$6*_xlfn.NORM.S.DIST(-((LN(MonteCarlo!$B$6/MonteCarlo!$B$5)+(MonteCarlo!$B$9+(X$1^2)/2)*$A32)/(X$1*SQRT($A32))),TRUE)),"")</f>
        <v/>
      </c>
      <c r="Y32" t="str">
        <f>IFERROR(IF(OR(MonteCarlo!$B$4="C",MonteCarlo!$B$4="c"),MonteCarlo!$B$6*_xlfn.NORM.S.DIST((LN(MonteCarlo!$B$6/MonteCarlo!$B$5)+(MonteCarlo!$B$9+(Y$1^2)/2)*$A32)/(Y$1*SQRT($A32)),TRUE)-MonteCarlo!$B$5*EXP(-MonteCarlo!$B$9*$A32)*_xlfn.NORM.S.DIST(((LN(MonteCarlo!$B$6/MonteCarlo!$B$5)+(MonteCarlo!$B$9+(Y$1^2)/2)*$A32)/(Y$1*SQRT($A32)))-(Y$1*SQRT($A32)),TRUE),MonteCarlo!$B$5*EXP(-MonteCarlo!$B$9*$A32)*_xlfn.NORM.S.DIST(-(((LN(MonteCarlo!$B$6/MonteCarlo!$B$5)+(MonteCarlo!$B$9+(Y$1^2)/2)*$A32)/(Y$1*SQRT($A32)))-(Y$1*SQRT($A32))),TRUE)-MonteCarlo!$B$6*_xlfn.NORM.S.DIST(-((LN(MonteCarlo!$B$6/MonteCarlo!$B$5)+(MonteCarlo!$B$9+(Y$1^2)/2)*$A32)/(Y$1*SQRT($A32))),TRUE)),"")</f>
        <v/>
      </c>
      <c r="Z32" t="str">
        <f>IFERROR(IF(OR(MonteCarlo!$B$4="C",MonteCarlo!$B$4="c"),MonteCarlo!$B$6*_xlfn.NORM.S.DIST((LN(MonteCarlo!$B$6/MonteCarlo!$B$5)+(MonteCarlo!$B$9+(Z$1^2)/2)*$A32)/(Z$1*SQRT($A32)),TRUE)-MonteCarlo!$B$5*EXP(-MonteCarlo!$B$9*$A32)*_xlfn.NORM.S.DIST(((LN(MonteCarlo!$B$6/MonteCarlo!$B$5)+(MonteCarlo!$B$9+(Z$1^2)/2)*$A32)/(Z$1*SQRT($A32)))-(Z$1*SQRT($A32)),TRUE),MonteCarlo!$B$5*EXP(-MonteCarlo!$B$9*$A32)*_xlfn.NORM.S.DIST(-(((LN(MonteCarlo!$B$6/MonteCarlo!$B$5)+(MonteCarlo!$B$9+(Z$1^2)/2)*$A32)/(Z$1*SQRT($A32)))-(Z$1*SQRT($A32))),TRUE)-MonteCarlo!$B$6*_xlfn.NORM.S.DIST(-((LN(MonteCarlo!$B$6/MonteCarlo!$B$5)+(MonteCarlo!$B$9+(Z$1^2)/2)*$A32)/(Z$1*SQRT($A32))),TRUE)),"")</f>
        <v/>
      </c>
      <c r="AA32" t="str">
        <f>IFERROR(IF(OR(MonteCarlo!$B$4="C",MonteCarlo!$B$4="c"),MonteCarlo!$B$6*_xlfn.NORM.S.DIST((LN(MonteCarlo!$B$6/MonteCarlo!$B$5)+(MonteCarlo!$B$9+(AA$1^2)/2)*$A32)/(AA$1*SQRT($A32)),TRUE)-MonteCarlo!$B$5*EXP(-MonteCarlo!$B$9*$A32)*_xlfn.NORM.S.DIST(((LN(MonteCarlo!$B$6/MonteCarlo!$B$5)+(MonteCarlo!$B$9+(AA$1^2)/2)*$A32)/(AA$1*SQRT($A32)))-(AA$1*SQRT($A32)),TRUE),MonteCarlo!$B$5*EXP(-MonteCarlo!$B$9*$A32)*_xlfn.NORM.S.DIST(-(((LN(MonteCarlo!$B$6/MonteCarlo!$B$5)+(MonteCarlo!$B$9+(AA$1^2)/2)*$A32)/(AA$1*SQRT($A32)))-(AA$1*SQRT($A32))),TRUE)-MonteCarlo!$B$6*_xlfn.NORM.S.DIST(-((LN(MonteCarlo!$B$6/MonteCarlo!$B$5)+(MonteCarlo!$B$9+(AA$1^2)/2)*$A32)/(AA$1*SQRT($A32))),TRUE)),"")</f>
        <v/>
      </c>
      <c r="AB32" t="str">
        <f>IFERROR(IF(OR(MonteCarlo!$B$4="C",MonteCarlo!$B$4="c"),MonteCarlo!$B$6*_xlfn.NORM.S.DIST((LN(MonteCarlo!$B$6/MonteCarlo!$B$5)+(MonteCarlo!$B$9+(AB$1^2)/2)*$A32)/(AB$1*SQRT($A32)),TRUE)-MonteCarlo!$B$5*EXP(-MonteCarlo!$B$9*$A32)*_xlfn.NORM.S.DIST(((LN(MonteCarlo!$B$6/MonteCarlo!$B$5)+(MonteCarlo!$B$9+(AB$1^2)/2)*$A32)/(AB$1*SQRT($A32)))-(AB$1*SQRT($A32)),TRUE),MonteCarlo!$B$5*EXP(-MonteCarlo!$B$9*$A32)*_xlfn.NORM.S.DIST(-(((LN(MonteCarlo!$B$6/MonteCarlo!$B$5)+(MonteCarlo!$B$9+(AB$1^2)/2)*$A32)/(AB$1*SQRT($A32)))-(AB$1*SQRT($A32))),TRUE)-MonteCarlo!$B$6*_xlfn.NORM.S.DIST(-((LN(MonteCarlo!$B$6/MonteCarlo!$B$5)+(MonteCarlo!$B$9+(AB$1^2)/2)*$A32)/(AB$1*SQRT($A32))),TRUE)),"")</f>
        <v/>
      </c>
      <c r="AC32" t="str">
        <f>IFERROR(IF(OR(MonteCarlo!$B$4="C",MonteCarlo!$B$4="c"),MonteCarlo!$B$6*_xlfn.NORM.S.DIST((LN(MonteCarlo!$B$6/MonteCarlo!$B$5)+(MonteCarlo!$B$9+(AC$1^2)/2)*$A32)/(AC$1*SQRT($A32)),TRUE)-MonteCarlo!$B$5*EXP(-MonteCarlo!$B$9*$A32)*_xlfn.NORM.S.DIST(((LN(MonteCarlo!$B$6/MonteCarlo!$B$5)+(MonteCarlo!$B$9+(AC$1^2)/2)*$A32)/(AC$1*SQRT($A32)))-(AC$1*SQRT($A32)),TRUE),MonteCarlo!$B$5*EXP(-MonteCarlo!$B$9*$A32)*_xlfn.NORM.S.DIST(-(((LN(MonteCarlo!$B$6/MonteCarlo!$B$5)+(MonteCarlo!$B$9+(AC$1^2)/2)*$A32)/(AC$1*SQRT($A32)))-(AC$1*SQRT($A32))),TRUE)-MonteCarlo!$B$6*_xlfn.NORM.S.DIST(-((LN(MonteCarlo!$B$6/MonteCarlo!$B$5)+(MonteCarlo!$B$9+(AC$1^2)/2)*$A32)/(AC$1*SQRT($A32))),TRUE)),"")</f>
        <v/>
      </c>
      <c r="AD32" t="str">
        <f>IFERROR(IF(OR(MonteCarlo!$B$4="C",MonteCarlo!$B$4="c"),MonteCarlo!$B$6*_xlfn.NORM.S.DIST((LN(MonteCarlo!$B$6/MonteCarlo!$B$5)+(MonteCarlo!$B$9+(AD$1^2)/2)*$A32)/(AD$1*SQRT($A32)),TRUE)-MonteCarlo!$B$5*EXP(-MonteCarlo!$B$9*$A32)*_xlfn.NORM.S.DIST(((LN(MonteCarlo!$B$6/MonteCarlo!$B$5)+(MonteCarlo!$B$9+(AD$1^2)/2)*$A32)/(AD$1*SQRT($A32)))-(AD$1*SQRT($A32)),TRUE),MonteCarlo!$B$5*EXP(-MonteCarlo!$B$9*$A32)*_xlfn.NORM.S.DIST(-(((LN(MonteCarlo!$B$6/MonteCarlo!$B$5)+(MonteCarlo!$B$9+(AD$1^2)/2)*$A32)/(AD$1*SQRT($A32)))-(AD$1*SQRT($A32))),TRUE)-MonteCarlo!$B$6*_xlfn.NORM.S.DIST(-((LN(MonteCarlo!$B$6/MonteCarlo!$B$5)+(MonteCarlo!$B$9+(AD$1^2)/2)*$A32)/(AD$1*SQRT($A32))),TRUE)),"")</f>
        <v/>
      </c>
      <c r="AE32" t="str">
        <f>IFERROR(IF(OR(MonteCarlo!$B$4="C",MonteCarlo!$B$4="c"),MonteCarlo!$B$6*_xlfn.NORM.S.DIST((LN(MonteCarlo!$B$6/MonteCarlo!$B$5)+(MonteCarlo!$B$9+(AE$1^2)/2)*$A32)/(AE$1*SQRT($A32)),TRUE)-MonteCarlo!$B$5*EXP(-MonteCarlo!$B$9*$A32)*_xlfn.NORM.S.DIST(((LN(MonteCarlo!$B$6/MonteCarlo!$B$5)+(MonteCarlo!$B$9+(AE$1^2)/2)*$A32)/(AE$1*SQRT($A32)))-(AE$1*SQRT($A32)),TRUE),MonteCarlo!$B$5*EXP(-MonteCarlo!$B$9*$A32)*_xlfn.NORM.S.DIST(-(((LN(MonteCarlo!$B$6/MonteCarlo!$B$5)+(MonteCarlo!$B$9+(AE$1^2)/2)*$A32)/(AE$1*SQRT($A32)))-(AE$1*SQRT($A32))),TRUE)-MonteCarlo!$B$6*_xlfn.NORM.S.DIST(-((LN(MonteCarlo!$B$6/MonteCarlo!$B$5)+(MonteCarlo!$B$9+(AE$1^2)/2)*$A32)/(AE$1*SQRT($A32))),TRUE)),"")</f>
        <v/>
      </c>
      <c r="AF32" t="str">
        <f>IFERROR(IF(OR(MonteCarlo!$B$4="C",MonteCarlo!$B$4="c"),MonteCarlo!$B$6*_xlfn.NORM.S.DIST((LN(MonteCarlo!$B$6/MonteCarlo!$B$5)+(MonteCarlo!$B$9+(AF$1^2)/2)*$A32)/(AF$1*SQRT($A32)),TRUE)-MonteCarlo!$B$5*EXP(-MonteCarlo!$B$9*$A32)*_xlfn.NORM.S.DIST(((LN(MonteCarlo!$B$6/MonteCarlo!$B$5)+(MonteCarlo!$B$9+(AF$1^2)/2)*$A32)/(AF$1*SQRT($A32)))-(AF$1*SQRT($A32)),TRUE),MonteCarlo!$B$5*EXP(-MonteCarlo!$B$9*$A32)*_xlfn.NORM.S.DIST(-(((LN(MonteCarlo!$B$6/MonteCarlo!$B$5)+(MonteCarlo!$B$9+(AF$1^2)/2)*$A32)/(AF$1*SQRT($A32)))-(AF$1*SQRT($A32))),TRUE)-MonteCarlo!$B$6*_xlfn.NORM.S.DIST(-((LN(MonteCarlo!$B$6/MonteCarlo!$B$5)+(MonteCarlo!$B$9+(AF$1^2)/2)*$A32)/(AF$1*SQRT($A32))),TRUE)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F32"/>
  <sheetViews>
    <sheetView workbookViewId="0"/>
  </sheetViews>
  <sheetFormatPr defaultRowHeight="15" x14ac:dyDescent="0.25"/>
  <cols>
    <col min="2" max="2" width="12" bestFit="1" customWidth="1"/>
  </cols>
  <sheetData>
    <row r="2" spans="2:32" x14ac:dyDescent="0.25">
      <c r="B2" t="str">
        <f>IFERROR(IF(OR(MonteCarlo!$B$4="C",MonteCarlo!$B$4="c"),_xlfn.NORM.S.DIST((LN(B$1 / MonteCarlo!$B$5) + (MonteCarlo!$B$9 + MonteCarlo!$B$7 ^ 2 / 2) *$A2) / (MonteCarlo!$B$7 * SQRT($A2)),TRUE),_xlfn.NORM.S.DIST((LN(B$1 / MonteCarlo!$B$5) + (MonteCarlo!$B$9 - MonteCarlo!$B$7 ^ 2 / 2) *$A2) / (MonteCarlo!$B$7 * SQRT($A2)),TRUE)-1),"")</f>
        <v/>
      </c>
      <c r="C2" t="str">
        <f>IFERROR(IF(OR(MonteCarlo!$B$4="C",MonteCarlo!$B$4="c"),_xlfn.NORM.S.DIST((LN(C$1 / MonteCarlo!$B$5) + (MonteCarlo!$B$9 + MonteCarlo!$B$7 ^ 2 / 2) *$A2) / (MonteCarlo!$B$7 * SQRT($A2)),TRUE),_xlfn.NORM.S.DIST((LN(C$1 / MonteCarlo!$B$5) + (MonteCarlo!$B$9 - MonteCarlo!$B$7 ^ 2 / 2) *$A2) / (MonteCarlo!$B$7 * SQRT($A2)),TRUE)-1),"")</f>
        <v/>
      </c>
      <c r="D2" t="str">
        <f>IFERROR(IF(OR(MonteCarlo!$B$4="C",MonteCarlo!$B$4="c"),_xlfn.NORM.S.DIST((LN(D$1 / MonteCarlo!$B$5) + (MonteCarlo!$B$9 + MonteCarlo!$B$7 ^ 2 / 2) *$A2) / (MonteCarlo!$B$7 * SQRT($A2)),TRUE),_xlfn.NORM.S.DIST((LN(D$1 / MonteCarlo!$B$5) + (MonteCarlo!$B$9 - MonteCarlo!$B$7 ^ 2 / 2) *$A2) / (MonteCarlo!$B$7 * SQRT($A2)),TRUE)-1),"")</f>
        <v/>
      </c>
      <c r="E2" t="str">
        <f>IFERROR(IF(OR(MonteCarlo!$B$4="C",MonteCarlo!$B$4="c"),_xlfn.NORM.S.DIST((LN(E$1 / MonteCarlo!$B$5) + (MonteCarlo!$B$9 + MonteCarlo!$B$7 ^ 2 / 2) *$A2) / (MonteCarlo!$B$7 * SQRT($A2)),TRUE),_xlfn.NORM.S.DIST((LN(E$1 / MonteCarlo!$B$5) + (MonteCarlo!$B$9 - MonteCarlo!$B$7 ^ 2 / 2) *$A2) / (MonteCarlo!$B$7 * SQRT($A2)),TRUE)-1),"")</f>
        <v/>
      </c>
      <c r="F2" t="str">
        <f>IFERROR(IF(OR(MonteCarlo!$B$4="C",MonteCarlo!$B$4="c"),_xlfn.NORM.S.DIST((LN(F$1 / MonteCarlo!$B$5) + (MonteCarlo!$B$9 + MonteCarlo!$B$7 ^ 2 / 2) *$A2) / (MonteCarlo!$B$7 * SQRT($A2)),TRUE),_xlfn.NORM.S.DIST((LN(F$1 / MonteCarlo!$B$5) + (MonteCarlo!$B$9 - MonteCarlo!$B$7 ^ 2 / 2) *$A2) / (MonteCarlo!$B$7 * SQRT($A2)),TRUE)-1),"")</f>
        <v/>
      </c>
      <c r="G2" t="str">
        <f>IFERROR(IF(OR(MonteCarlo!$B$4="C",MonteCarlo!$B$4="c"),_xlfn.NORM.S.DIST((LN(G$1 / MonteCarlo!$B$5) + (MonteCarlo!$B$9 + MonteCarlo!$B$7 ^ 2 / 2) *$A2) / (MonteCarlo!$B$7 * SQRT($A2)),TRUE),_xlfn.NORM.S.DIST((LN(G$1 / MonteCarlo!$B$5) + (MonteCarlo!$B$9 - MonteCarlo!$B$7 ^ 2 / 2) *$A2) / (MonteCarlo!$B$7 * SQRT($A2)),TRUE)-1),"")</f>
        <v/>
      </c>
      <c r="H2" t="str">
        <f>IFERROR(IF(OR(MonteCarlo!$B$4="C",MonteCarlo!$B$4="c"),_xlfn.NORM.S.DIST((LN(H$1 / MonteCarlo!$B$5) + (MonteCarlo!$B$9 + MonteCarlo!$B$7 ^ 2 / 2) *$A2) / (MonteCarlo!$B$7 * SQRT($A2)),TRUE),_xlfn.NORM.S.DIST((LN(H$1 / MonteCarlo!$B$5) + (MonteCarlo!$B$9 - MonteCarlo!$B$7 ^ 2 / 2) *$A2) / (MonteCarlo!$B$7 * SQRT($A2)),TRUE)-1),"")</f>
        <v/>
      </c>
      <c r="I2" t="str">
        <f>IFERROR(IF(OR(MonteCarlo!$B$4="C",MonteCarlo!$B$4="c"),_xlfn.NORM.S.DIST((LN(I$1 / MonteCarlo!$B$5) + (MonteCarlo!$B$9 + MonteCarlo!$B$7 ^ 2 / 2) *$A2) / (MonteCarlo!$B$7 * SQRT($A2)),TRUE),_xlfn.NORM.S.DIST((LN(I$1 / MonteCarlo!$B$5) + (MonteCarlo!$B$9 - MonteCarlo!$B$7 ^ 2 / 2) *$A2) / (MonteCarlo!$B$7 * SQRT($A2)),TRUE)-1),"")</f>
        <v/>
      </c>
      <c r="J2" t="str">
        <f>IFERROR(IF(OR(MonteCarlo!$B$4="C",MonteCarlo!$B$4="c"),_xlfn.NORM.S.DIST((LN(J$1 / MonteCarlo!$B$5) + (MonteCarlo!$B$9 + MonteCarlo!$B$7 ^ 2 / 2) *$A2) / (MonteCarlo!$B$7 * SQRT($A2)),TRUE),_xlfn.NORM.S.DIST((LN(J$1 / MonteCarlo!$B$5) + (MonteCarlo!$B$9 - MonteCarlo!$B$7 ^ 2 / 2) *$A2) / (MonteCarlo!$B$7 * SQRT($A2)),TRUE)-1),"")</f>
        <v/>
      </c>
      <c r="K2" t="str">
        <f>IFERROR(IF(OR(MonteCarlo!$B$4="C",MonteCarlo!$B$4="c"),_xlfn.NORM.S.DIST((LN(K$1 / MonteCarlo!$B$5) + (MonteCarlo!$B$9 + MonteCarlo!$B$7 ^ 2 / 2) *$A2) / (MonteCarlo!$B$7 * SQRT($A2)),TRUE),_xlfn.NORM.S.DIST((LN(K$1 / MonteCarlo!$B$5) + (MonteCarlo!$B$9 - MonteCarlo!$B$7 ^ 2 / 2) *$A2) / (MonteCarlo!$B$7 * SQRT($A2)),TRUE)-1),"")</f>
        <v/>
      </c>
      <c r="L2" t="str">
        <f>IFERROR(IF(OR(MonteCarlo!$B$4="C",MonteCarlo!$B$4="c"),_xlfn.NORM.S.DIST((LN(L$1 / MonteCarlo!$B$5) + (MonteCarlo!$B$9 + MonteCarlo!$B$7 ^ 2 / 2) *$A2) / (MonteCarlo!$B$7 * SQRT($A2)),TRUE),_xlfn.NORM.S.DIST((LN(L$1 / MonteCarlo!$B$5) + (MonteCarlo!$B$9 - MonteCarlo!$B$7 ^ 2 / 2) *$A2) / (MonteCarlo!$B$7 * SQRT($A2)),TRUE)-1),"")</f>
        <v/>
      </c>
      <c r="M2" t="str">
        <f>IFERROR(IF(OR(MonteCarlo!$B$4="C",MonteCarlo!$B$4="c"),_xlfn.NORM.S.DIST((LN(M$1 / MonteCarlo!$B$5) + (MonteCarlo!$B$9 + MonteCarlo!$B$7 ^ 2 / 2) *$A2) / (MonteCarlo!$B$7 * SQRT($A2)),TRUE),_xlfn.NORM.S.DIST((LN(M$1 / MonteCarlo!$B$5) + (MonteCarlo!$B$9 - MonteCarlo!$B$7 ^ 2 / 2) *$A2) / (MonteCarlo!$B$7 * SQRT($A2)),TRUE)-1),"")</f>
        <v/>
      </c>
      <c r="N2" t="str">
        <f>IFERROR(IF(OR(MonteCarlo!$B$4="C",MonteCarlo!$B$4="c"),_xlfn.NORM.S.DIST((LN(N$1 / MonteCarlo!$B$5) + (MonteCarlo!$B$9 + MonteCarlo!$B$7 ^ 2 / 2) *$A2) / (MonteCarlo!$B$7 * SQRT($A2)),TRUE),_xlfn.NORM.S.DIST((LN(N$1 / MonteCarlo!$B$5) + (MonteCarlo!$B$9 - MonteCarlo!$B$7 ^ 2 / 2) *$A2) / (MonteCarlo!$B$7 * SQRT($A2)),TRUE)-1),"")</f>
        <v/>
      </c>
      <c r="O2" t="str">
        <f>IFERROR(IF(OR(MonteCarlo!$B$4="C",MonteCarlo!$B$4="c"),_xlfn.NORM.S.DIST((LN(O$1 / MonteCarlo!$B$5) + (MonteCarlo!$B$9 + MonteCarlo!$B$7 ^ 2 / 2) *$A2) / (MonteCarlo!$B$7 * SQRT($A2)),TRUE),_xlfn.NORM.S.DIST((LN(O$1 / MonteCarlo!$B$5) + (MonteCarlo!$B$9 - MonteCarlo!$B$7 ^ 2 / 2) *$A2) / (MonteCarlo!$B$7 * SQRT($A2)),TRUE)-1),"")</f>
        <v/>
      </c>
      <c r="P2" t="str">
        <f>IFERROR(IF(OR(MonteCarlo!$B$4="C",MonteCarlo!$B$4="c"),_xlfn.NORM.S.DIST((LN(P$1 / MonteCarlo!$B$5) + (MonteCarlo!$B$9 + MonteCarlo!$B$7 ^ 2 / 2) *$A2) / (MonteCarlo!$B$7 * SQRT($A2)),TRUE),_xlfn.NORM.S.DIST((LN(P$1 / MonteCarlo!$B$5) + (MonteCarlo!$B$9 - MonteCarlo!$B$7 ^ 2 / 2) *$A2) / (MonteCarlo!$B$7 * SQRT($A2)),TRUE)-1),"")</f>
        <v/>
      </c>
      <c r="Q2" t="str">
        <f>IFERROR(IF(OR(MonteCarlo!$B$4="C",MonteCarlo!$B$4="c"),_xlfn.NORM.S.DIST((LN(Q$1 / MonteCarlo!$B$5) + (MonteCarlo!$B$9 + MonteCarlo!$B$7 ^ 2 / 2) *$A2) / (MonteCarlo!$B$7 * SQRT($A2)),TRUE),_xlfn.NORM.S.DIST((LN(Q$1 / MonteCarlo!$B$5) + (MonteCarlo!$B$9 - MonteCarlo!$B$7 ^ 2 / 2) *$A2) / (MonteCarlo!$B$7 * SQRT($A2)),TRUE)-1),"")</f>
        <v/>
      </c>
      <c r="R2" t="str">
        <f>IFERROR(IF(OR(MonteCarlo!$B$4="C",MonteCarlo!$B$4="c"),_xlfn.NORM.S.DIST((LN(R$1 / MonteCarlo!$B$5) + (MonteCarlo!$B$9 + MonteCarlo!$B$7 ^ 2 / 2) *$A2) / (MonteCarlo!$B$7 * SQRT($A2)),TRUE),_xlfn.NORM.S.DIST((LN(R$1 / MonteCarlo!$B$5) + (MonteCarlo!$B$9 - MonteCarlo!$B$7 ^ 2 / 2) *$A2) / (MonteCarlo!$B$7 * SQRT($A2)),TRUE)-1),"")</f>
        <v/>
      </c>
      <c r="S2" t="str">
        <f>IFERROR(IF(OR(MonteCarlo!$B$4="C",MonteCarlo!$B$4="c"),_xlfn.NORM.S.DIST((LN(S$1 / MonteCarlo!$B$5) + (MonteCarlo!$B$9 + MonteCarlo!$B$7 ^ 2 / 2) *$A2) / (MonteCarlo!$B$7 * SQRT($A2)),TRUE),_xlfn.NORM.S.DIST((LN(S$1 / MonteCarlo!$B$5) + (MonteCarlo!$B$9 - MonteCarlo!$B$7 ^ 2 / 2) *$A2) / (MonteCarlo!$B$7 * SQRT($A2)),TRUE)-1),"")</f>
        <v/>
      </c>
      <c r="T2" t="str">
        <f>IFERROR(IF(OR(MonteCarlo!$B$4="C",MonteCarlo!$B$4="c"),_xlfn.NORM.S.DIST((LN(T$1 / MonteCarlo!$B$5) + (MonteCarlo!$B$9 + MonteCarlo!$B$7 ^ 2 / 2) *$A2) / (MonteCarlo!$B$7 * SQRT($A2)),TRUE),_xlfn.NORM.S.DIST((LN(T$1 / MonteCarlo!$B$5) + (MonteCarlo!$B$9 - MonteCarlo!$B$7 ^ 2 / 2) *$A2) / (MonteCarlo!$B$7 * SQRT($A2)),TRUE)-1),"")</f>
        <v/>
      </c>
      <c r="U2" t="str">
        <f>IFERROR(IF(OR(MonteCarlo!$B$4="C",MonteCarlo!$B$4="c"),_xlfn.NORM.S.DIST((LN(U$1 / MonteCarlo!$B$5) + (MonteCarlo!$B$9 + MonteCarlo!$B$7 ^ 2 / 2) *$A2) / (MonteCarlo!$B$7 * SQRT($A2)),TRUE),_xlfn.NORM.S.DIST((LN(U$1 / MonteCarlo!$B$5) + (MonteCarlo!$B$9 - MonteCarlo!$B$7 ^ 2 / 2) *$A2) / (MonteCarlo!$B$7 * SQRT($A2)),TRUE)-1),"")</f>
        <v/>
      </c>
      <c r="V2" t="str">
        <f>IFERROR(IF(OR(MonteCarlo!$B$4="C",MonteCarlo!$B$4="c"),_xlfn.NORM.S.DIST((LN(V$1 / MonteCarlo!$B$5) + (MonteCarlo!$B$9 + MonteCarlo!$B$7 ^ 2 / 2) *$A2) / (MonteCarlo!$B$7 * SQRT($A2)),TRUE),_xlfn.NORM.S.DIST((LN(V$1 / MonteCarlo!$B$5) + (MonteCarlo!$B$9 - MonteCarlo!$B$7 ^ 2 / 2) *$A2) / (MonteCarlo!$B$7 * SQRT($A2)),TRUE)-1),"")</f>
        <v/>
      </c>
      <c r="W2" t="str">
        <f>IFERROR(IF(OR(MonteCarlo!$B$4="C",MonteCarlo!$B$4="c"),_xlfn.NORM.S.DIST((LN(W$1 / MonteCarlo!$B$5) + (MonteCarlo!$B$9 + MonteCarlo!$B$7 ^ 2 / 2) *$A2) / (MonteCarlo!$B$7 * SQRT($A2)),TRUE),_xlfn.NORM.S.DIST((LN(W$1 / MonteCarlo!$B$5) + (MonteCarlo!$B$9 - MonteCarlo!$B$7 ^ 2 / 2) *$A2) / (MonteCarlo!$B$7 * SQRT($A2)),TRUE)-1),"")</f>
        <v/>
      </c>
      <c r="X2" t="str">
        <f>IFERROR(IF(OR(MonteCarlo!$B$4="C",MonteCarlo!$B$4="c"),_xlfn.NORM.S.DIST((LN(X$1 / MonteCarlo!$B$5) + (MonteCarlo!$B$9 + MonteCarlo!$B$7 ^ 2 / 2) *$A2) / (MonteCarlo!$B$7 * SQRT($A2)),TRUE),_xlfn.NORM.S.DIST((LN(X$1 / MonteCarlo!$B$5) + (MonteCarlo!$B$9 - MonteCarlo!$B$7 ^ 2 / 2) *$A2) / (MonteCarlo!$B$7 * SQRT($A2)),TRUE)-1),"")</f>
        <v/>
      </c>
      <c r="Y2" t="str">
        <f>IFERROR(IF(OR(MonteCarlo!$B$4="C",MonteCarlo!$B$4="c"),_xlfn.NORM.S.DIST((LN(Y$1 / MonteCarlo!$B$5) + (MonteCarlo!$B$9 + MonteCarlo!$B$7 ^ 2 / 2) *$A2) / (MonteCarlo!$B$7 * SQRT($A2)),TRUE),_xlfn.NORM.S.DIST((LN(Y$1 / MonteCarlo!$B$5) + (MonteCarlo!$B$9 - MonteCarlo!$B$7 ^ 2 / 2) *$A2) / (MonteCarlo!$B$7 * SQRT($A2)),TRUE)-1),"")</f>
        <v/>
      </c>
      <c r="Z2" t="str">
        <f>IFERROR(IF(OR(MonteCarlo!$B$4="C",MonteCarlo!$B$4="c"),_xlfn.NORM.S.DIST((LN(Z$1 / MonteCarlo!$B$5) + (MonteCarlo!$B$9 + MonteCarlo!$B$7 ^ 2 / 2) *$A2) / (MonteCarlo!$B$7 * SQRT($A2)),TRUE),_xlfn.NORM.S.DIST((LN(Z$1 / MonteCarlo!$B$5) + (MonteCarlo!$B$9 - MonteCarlo!$B$7 ^ 2 / 2) *$A2) / (MonteCarlo!$B$7 * SQRT($A2)),TRUE)-1),"")</f>
        <v/>
      </c>
      <c r="AA2" t="str">
        <f>IFERROR(IF(OR(MonteCarlo!$B$4="C",MonteCarlo!$B$4="c"),_xlfn.NORM.S.DIST((LN(AA$1 / MonteCarlo!$B$5) + (MonteCarlo!$B$9 + MonteCarlo!$B$7 ^ 2 / 2) *$A2) / (MonteCarlo!$B$7 * SQRT($A2)),TRUE),_xlfn.NORM.S.DIST((LN(AA$1 / MonteCarlo!$B$5) + (MonteCarlo!$B$9 - MonteCarlo!$B$7 ^ 2 / 2) *$A2) / (MonteCarlo!$B$7 * SQRT($A2)),TRUE)-1),"")</f>
        <v/>
      </c>
      <c r="AB2" t="str">
        <f>IFERROR(IF(OR(MonteCarlo!$B$4="C",MonteCarlo!$B$4="c"),_xlfn.NORM.S.DIST((LN(AB$1 / MonteCarlo!$B$5) + (MonteCarlo!$B$9 + MonteCarlo!$B$7 ^ 2 / 2) *$A2) / (MonteCarlo!$B$7 * SQRT($A2)),TRUE),_xlfn.NORM.S.DIST((LN(AB$1 / MonteCarlo!$B$5) + (MonteCarlo!$B$9 - MonteCarlo!$B$7 ^ 2 / 2) *$A2) / (MonteCarlo!$B$7 * SQRT($A2)),TRUE)-1),"")</f>
        <v/>
      </c>
      <c r="AC2" t="str">
        <f>IFERROR(IF(OR(MonteCarlo!$B$4="C",MonteCarlo!$B$4="c"),_xlfn.NORM.S.DIST((LN(AC$1 / MonteCarlo!$B$5) + (MonteCarlo!$B$9 + MonteCarlo!$B$7 ^ 2 / 2) *$A2) / (MonteCarlo!$B$7 * SQRT($A2)),TRUE),_xlfn.NORM.S.DIST((LN(AC$1 / MonteCarlo!$B$5) + (MonteCarlo!$B$9 - MonteCarlo!$B$7 ^ 2 / 2) *$A2) / (MonteCarlo!$B$7 * SQRT($A2)),TRUE)-1),"")</f>
        <v/>
      </c>
      <c r="AD2" t="str">
        <f>IFERROR(IF(OR(MonteCarlo!$B$4="C",MonteCarlo!$B$4="c"),_xlfn.NORM.S.DIST((LN(AD$1 / MonteCarlo!$B$5) + (MonteCarlo!$B$9 + MonteCarlo!$B$7 ^ 2 / 2) *$A2) / (MonteCarlo!$B$7 * SQRT($A2)),TRUE),_xlfn.NORM.S.DIST((LN(AD$1 / MonteCarlo!$B$5) + (MonteCarlo!$B$9 - MonteCarlo!$B$7 ^ 2 / 2) *$A2) / (MonteCarlo!$B$7 * SQRT($A2)),TRUE)-1),"")</f>
        <v/>
      </c>
      <c r="AE2" t="str">
        <f>IFERROR(IF(OR(MonteCarlo!$B$4="C",MonteCarlo!$B$4="c"),_xlfn.NORM.S.DIST((LN(AE$1 / MonteCarlo!$B$5) + (MonteCarlo!$B$9 + MonteCarlo!$B$7 ^ 2 / 2) *$A2) / (MonteCarlo!$B$7 * SQRT($A2)),TRUE),_xlfn.NORM.S.DIST((LN(AE$1 / MonteCarlo!$B$5) + (MonteCarlo!$B$9 - MonteCarlo!$B$7 ^ 2 / 2) *$A2) / (MonteCarlo!$B$7 * SQRT($A2)),TRUE)-1),"")</f>
        <v/>
      </c>
      <c r="AF2" t="str">
        <f>IFERROR(IF(OR(MonteCarlo!$B$4="C",MonteCarlo!$B$4="c"),_xlfn.NORM.S.DIST((LN(AF$1 / MonteCarlo!$B$5) + (MonteCarlo!$B$9 + MonteCarlo!$B$7 ^ 2 / 2) *$A2) / (MonteCarlo!$B$7 * SQRT($A2)),TRUE),_xlfn.NORM.S.DIST((LN(AF$1 / MonteCarlo!$B$5) + (MonteCarlo!$B$9 - MonteCarlo!$B$7 ^ 2 / 2) *$A2) / (MonteCarlo!$B$7 * SQRT($A2)),TRUE)-1),"")</f>
        <v/>
      </c>
    </row>
    <row r="3" spans="2:32" x14ac:dyDescent="0.25">
      <c r="B3" t="str">
        <f>IFERROR(IF(OR(MonteCarlo!$B$4="C",MonteCarlo!$B$4="c"),_xlfn.NORM.S.DIST((LN(B$1 / MonteCarlo!$B$5) + (MonteCarlo!$B$9 + MonteCarlo!$B$7 ^ 2 / 2) *$A3) / (MonteCarlo!$B$7 * SQRT($A3)),TRUE),_xlfn.NORM.S.DIST((LN(B$1 / MonteCarlo!$B$5) + (MonteCarlo!$B$9 - MonteCarlo!$B$7 ^ 2 / 2) *$A3) / (MonteCarlo!$B$7 * SQRT($A3)),TRUE)-1),"")</f>
        <v/>
      </c>
      <c r="C3" t="str">
        <f>IFERROR(IF(OR(MonteCarlo!$B$4="C",MonteCarlo!$B$4="c"),_xlfn.NORM.S.DIST((LN(C$1 / MonteCarlo!$B$5) + (MonteCarlo!$B$9 + MonteCarlo!$B$7 ^ 2 / 2) *$A3) / (MonteCarlo!$B$7 * SQRT($A3)),TRUE),_xlfn.NORM.S.DIST((LN(C$1 / MonteCarlo!$B$5) + (MonteCarlo!$B$9 - MonteCarlo!$B$7 ^ 2 / 2) *$A3) / (MonteCarlo!$B$7 * SQRT($A3)),TRUE)-1),"")</f>
        <v/>
      </c>
      <c r="D3" t="str">
        <f>IFERROR(IF(OR(MonteCarlo!$B$4="C",MonteCarlo!$B$4="c"),_xlfn.NORM.S.DIST((LN(D$1 / MonteCarlo!$B$5) + (MonteCarlo!$B$9 + MonteCarlo!$B$7 ^ 2 / 2) *$A3) / (MonteCarlo!$B$7 * SQRT($A3)),TRUE),_xlfn.NORM.S.DIST((LN(D$1 / MonteCarlo!$B$5) + (MonteCarlo!$B$9 - MonteCarlo!$B$7 ^ 2 / 2) *$A3) / (MonteCarlo!$B$7 * SQRT($A3)),TRUE)-1),"")</f>
        <v/>
      </c>
      <c r="E3" t="str">
        <f>IFERROR(IF(OR(MonteCarlo!$B$4="C",MonteCarlo!$B$4="c"),_xlfn.NORM.S.DIST((LN(E$1 / MonteCarlo!$B$5) + (MonteCarlo!$B$9 + MonteCarlo!$B$7 ^ 2 / 2) *$A3) / (MonteCarlo!$B$7 * SQRT($A3)),TRUE),_xlfn.NORM.S.DIST((LN(E$1 / MonteCarlo!$B$5) + (MonteCarlo!$B$9 - MonteCarlo!$B$7 ^ 2 / 2) *$A3) / (MonteCarlo!$B$7 * SQRT($A3)),TRUE)-1),"")</f>
        <v/>
      </c>
      <c r="F3" t="str">
        <f>IFERROR(IF(OR(MonteCarlo!$B$4="C",MonteCarlo!$B$4="c"),_xlfn.NORM.S.DIST((LN(F$1 / MonteCarlo!$B$5) + (MonteCarlo!$B$9 + MonteCarlo!$B$7 ^ 2 / 2) *$A3) / (MonteCarlo!$B$7 * SQRT($A3)),TRUE),_xlfn.NORM.S.DIST((LN(F$1 / MonteCarlo!$B$5) + (MonteCarlo!$B$9 - MonteCarlo!$B$7 ^ 2 / 2) *$A3) / (MonteCarlo!$B$7 * SQRT($A3)),TRUE)-1),"")</f>
        <v/>
      </c>
      <c r="G3" t="str">
        <f>IFERROR(IF(OR(MonteCarlo!$B$4="C",MonteCarlo!$B$4="c"),_xlfn.NORM.S.DIST((LN(G$1 / MonteCarlo!$B$5) + (MonteCarlo!$B$9 + MonteCarlo!$B$7 ^ 2 / 2) *$A3) / (MonteCarlo!$B$7 * SQRT($A3)),TRUE),_xlfn.NORM.S.DIST((LN(G$1 / MonteCarlo!$B$5) + (MonteCarlo!$B$9 - MonteCarlo!$B$7 ^ 2 / 2) *$A3) / (MonteCarlo!$B$7 * SQRT($A3)),TRUE)-1),"")</f>
        <v/>
      </c>
      <c r="H3" t="str">
        <f>IFERROR(IF(OR(MonteCarlo!$B$4="C",MonteCarlo!$B$4="c"),_xlfn.NORM.S.DIST((LN(H$1 / MonteCarlo!$B$5) + (MonteCarlo!$B$9 + MonteCarlo!$B$7 ^ 2 / 2) *$A3) / (MonteCarlo!$B$7 * SQRT($A3)),TRUE),_xlfn.NORM.S.DIST((LN(H$1 / MonteCarlo!$B$5) + (MonteCarlo!$B$9 - MonteCarlo!$B$7 ^ 2 / 2) *$A3) / (MonteCarlo!$B$7 * SQRT($A3)),TRUE)-1),"")</f>
        <v/>
      </c>
      <c r="I3" t="str">
        <f>IFERROR(IF(OR(MonteCarlo!$B$4="C",MonteCarlo!$B$4="c"),_xlfn.NORM.S.DIST((LN(I$1 / MonteCarlo!$B$5) + (MonteCarlo!$B$9 + MonteCarlo!$B$7 ^ 2 / 2) *$A3) / (MonteCarlo!$B$7 * SQRT($A3)),TRUE),_xlfn.NORM.S.DIST((LN(I$1 / MonteCarlo!$B$5) + (MonteCarlo!$B$9 - MonteCarlo!$B$7 ^ 2 / 2) *$A3) / (MonteCarlo!$B$7 * SQRT($A3)),TRUE)-1),"")</f>
        <v/>
      </c>
      <c r="J3" t="str">
        <f>IFERROR(IF(OR(MonteCarlo!$B$4="C",MonteCarlo!$B$4="c"),_xlfn.NORM.S.DIST((LN(J$1 / MonteCarlo!$B$5) + (MonteCarlo!$B$9 + MonteCarlo!$B$7 ^ 2 / 2) *$A3) / (MonteCarlo!$B$7 * SQRT($A3)),TRUE),_xlfn.NORM.S.DIST((LN(J$1 / MonteCarlo!$B$5) + (MonteCarlo!$B$9 - MonteCarlo!$B$7 ^ 2 / 2) *$A3) / (MonteCarlo!$B$7 * SQRT($A3)),TRUE)-1),"")</f>
        <v/>
      </c>
      <c r="K3" t="str">
        <f>IFERROR(IF(OR(MonteCarlo!$B$4="C",MonteCarlo!$B$4="c"),_xlfn.NORM.S.DIST((LN(K$1 / MonteCarlo!$B$5) + (MonteCarlo!$B$9 + MonteCarlo!$B$7 ^ 2 / 2) *$A3) / (MonteCarlo!$B$7 * SQRT($A3)),TRUE),_xlfn.NORM.S.DIST((LN(K$1 / MonteCarlo!$B$5) + (MonteCarlo!$B$9 - MonteCarlo!$B$7 ^ 2 / 2) *$A3) / (MonteCarlo!$B$7 * SQRT($A3)),TRUE)-1),"")</f>
        <v/>
      </c>
      <c r="L3" t="str">
        <f>IFERROR(IF(OR(MonteCarlo!$B$4="C",MonteCarlo!$B$4="c"),_xlfn.NORM.S.DIST((LN(L$1 / MonteCarlo!$B$5) + (MonteCarlo!$B$9 + MonteCarlo!$B$7 ^ 2 / 2) *$A3) / (MonteCarlo!$B$7 * SQRT($A3)),TRUE),_xlfn.NORM.S.DIST((LN(L$1 / MonteCarlo!$B$5) + (MonteCarlo!$B$9 - MonteCarlo!$B$7 ^ 2 / 2) *$A3) / (MonteCarlo!$B$7 * SQRT($A3)),TRUE)-1),"")</f>
        <v/>
      </c>
      <c r="M3" t="str">
        <f>IFERROR(IF(OR(MonteCarlo!$B$4="C",MonteCarlo!$B$4="c"),_xlfn.NORM.S.DIST((LN(M$1 / MonteCarlo!$B$5) + (MonteCarlo!$B$9 + MonteCarlo!$B$7 ^ 2 / 2) *$A3) / (MonteCarlo!$B$7 * SQRT($A3)),TRUE),_xlfn.NORM.S.DIST((LN(M$1 / MonteCarlo!$B$5) + (MonteCarlo!$B$9 - MonteCarlo!$B$7 ^ 2 / 2) *$A3) / (MonteCarlo!$B$7 * SQRT($A3)),TRUE)-1),"")</f>
        <v/>
      </c>
      <c r="N3" t="str">
        <f>IFERROR(IF(OR(MonteCarlo!$B$4="C",MonteCarlo!$B$4="c"),_xlfn.NORM.S.DIST((LN(N$1 / MonteCarlo!$B$5) + (MonteCarlo!$B$9 + MonteCarlo!$B$7 ^ 2 / 2) *$A3) / (MonteCarlo!$B$7 * SQRT($A3)),TRUE),_xlfn.NORM.S.DIST((LN(N$1 / MonteCarlo!$B$5) + (MonteCarlo!$B$9 - MonteCarlo!$B$7 ^ 2 / 2) *$A3) / (MonteCarlo!$B$7 * SQRT($A3)),TRUE)-1),"")</f>
        <v/>
      </c>
      <c r="O3" t="str">
        <f>IFERROR(IF(OR(MonteCarlo!$B$4="C",MonteCarlo!$B$4="c"),_xlfn.NORM.S.DIST((LN(O$1 / MonteCarlo!$B$5) + (MonteCarlo!$B$9 + MonteCarlo!$B$7 ^ 2 / 2) *$A3) / (MonteCarlo!$B$7 * SQRT($A3)),TRUE),_xlfn.NORM.S.DIST((LN(O$1 / MonteCarlo!$B$5) + (MonteCarlo!$B$9 - MonteCarlo!$B$7 ^ 2 / 2) *$A3) / (MonteCarlo!$B$7 * SQRT($A3)),TRUE)-1),"")</f>
        <v/>
      </c>
      <c r="P3" t="str">
        <f>IFERROR(IF(OR(MonteCarlo!$B$4="C",MonteCarlo!$B$4="c"),_xlfn.NORM.S.DIST((LN(P$1 / MonteCarlo!$B$5) + (MonteCarlo!$B$9 + MonteCarlo!$B$7 ^ 2 / 2) *$A3) / (MonteCarlo!$B$7 * SQRT($A3)),TRUE),_xlfn.NORM.S.DIST((LN(P$1 / MonteCarlo!$B$5) + (MonteCarlo!$B$9 - MonteCarlo!$B$7 ^ 2 / 2) *$A3) / (MonteCarlo!$B$7 * SQRT($A3)),TRUE)-1),"")</f>
        <v/>
      </c>
      <c r="Q3" t="str">
        <f>IFERROR(IF(OR(MonteCarlo!$B$4="C",MonteCarlo!$B$4="c"),_xlfn.NORM.S.DIST((LN(Q$1 / MonteCarlo!$B$5) + (MonteCarlo!$B$9 + MonteCarlo!$B$7 ^ 2 / 2) *$A3) / (MonteCarlo!$B$7 * SQRT($A3)),TRUE),_xlfn.NORM.S.DIST((LN(Q$1 / MonteCarlo!$B$5) + (MonteCarlo!$B$9 - MonteCarlo!$B$7 ^ 2 / 2) *$A3) / (MonteCarlo!$B$7 * SQRT($A3)),TRUE)-1),"")</f>
        <v/>
      </c>
      <c r="R3" t="str">
        <f>IFERROR(IF(OR(MonteCarlo!$B$4="C",MonteCarlo!$B$4="c"),_xlfn.NORM.S.DIST((LN(R$1 / MonteCarlo!$B$5) + (MonteCarlo!$B$9 + MonteCarlo!$B$7 ^ 2 / 2) *$A3) / (MonteCarlo!$B$7 * SQRT($A3)),TRUE),_xlfn.NORM.S.DIST((LN(R$1 / MonteCarlo!$B$5) + (MonteCarlo!$B$9 - MonteCarlo!$B$7 ^ 2 / 2) *$A3) / (MonteCarlo!$B$7 * SQRT($A3)),TRUE)-1),"")</f>
        <v/>
      </c>
      <c r="S3" t="str">
        <f>IFERROR(IF(OR(MonteCarlo!$B$4="C",MonteCarlo!$B$4="c"),_xlfn.NORM.S.DIST((LN(S$1 / MonteCarlo!$B$5) + (MonteCarlo!$B$9 + MonteCarlo!$B$7 ^ 2 / 2) *$A3) / (MonteCarlo!$B$7 * SQRT($A3)),TRUE),_xlfn.NORM.S.DIST((LN(S$1 / MonteCarlo!$B$5) + (MonteCarlo!$B$9 - MonteCarlo!$B$7 ^ 2 / 2) *$A3) / (MonteCarlo!$B$7 * SQRT($A3)),TRUE)-1),"")</f>
        <v/>
      </c>
      <c r="T3" t="str">
        <f>IFERROR(IF(OR(MonteCarlo!$B$4="C",MonteCarlo!$B$4="c"),_xlfn.NORM.S.DIST((LN(T$1 / MonteCarlo!$B$5) + (MonteCarlo!$B$9 + MonteCarlo!$B$7 ^ 2 / 2) *$A3) / (MonteCarlo!$B$7 * SQRT($A3)),TRUE),_xlfn.NORM.S.DIST((LN(T$1 / MonteCarlo!$B$5) + (MonteCarlo!$B$9 - MonteCarlo!$B$7 ^ 2 / 2) *$A3) / (MonteCarlo!$B$7 * SQRT($A3)),TRUE)-1),"")</f>
        <v/>
      </c>
      <c r="U3" t="str">
        <f>IFERROR(IF(OR(MonteCarlo!$B$4="C",MonteCarlo!$B$4="c"),_xlfn.NORM.S.DIST((LN(U$1 / MonteCarlo!$B$5) + (MonteCarlo!$B$9 + MonteCarlo!$B$7 ^ 2 / 2) *$A3) / (MonteCarlo!$B$7 * SQRT($A3)),TRUE),_xlfn.NORM.S.DIST((LN(U$1 / MonteCarlo!$B$5) + (MonteCarlo!$B$9 - MonteCarlo!$B$7 ^ 2 / 2) *$A3) / (MonteCarlo!$B$7 * SQRT($A3)),TRUE)-1),"")</f>
        <v/>
      </c>
      <c r="V3" t="str">
        <f>IFERROR(IF(OR(MonteCarlo!$B$4="C",MonteCarlo!$B$4="c"),_xlfn.NORM.S.DIST((LN(V$1 / MonteCarlo!$B$5) + (MonteCarlo!$B$9 + MonteCarlo!$B$7 ^ 2 / 2) *$A3) / (MonteCarlo!$B$7 * SQRT($A3)),TRUE),_xlfn.NORM.S.DIST((LN(V$1 / MonteCarlo!$B$5) + (MonteCarlo!$B$9 - MonteCarlo!$B$7 ^ 2 / 2) *$A3) / (MonteCarlo!$B$7 * SQRT($A3)),TRUE)-1),"")</f>
        <v/>
      </c>
      <c r="W3" t="str">
        <f>IFERROR(IF(OR(MonteCarlo!$B$4="C",MonteCarlo!$B$4="c"),_xlfn.NORM.S.DIST((LN(W$1 / MonteCarlo!$B$5) + (MonteCarlo!$B$9 + MonteCarlo!$B$7 ^ 2 / 2) *$A3) / (MonteCarlo!$B$7 * SQRT($A3)),TRUE),_xlfn.NORM.S.DIST((LN(W$1 / MonteCarlo!$B$5) + (MonteCarlo!$B$9 - MonteCarlo!$B$7 ^ 2 / 2) *$A3) / (MonteCarlo!$B$7 * SQRT($A3)),TRUE)-1),"")</f>
        <v/>
      </c>
      <c r="X3" t="str">
        <f>IFERROR(IF(OR(MonteCarlo!$B$4="C",MonteCarlo!$B$4="c"),_xlfn.NORM.S.DIST((LN(X$1 / MonteCarlo!$B$5) + (MonteCarlo!$B$9 + MonteCarlo!$B$7 ^ 2 / 2) *$A3) / (MonteCarlo!$B$7 * SQRT($A3)),TRUE),_xlfn.NORM.S.DIST((LN(X$1 / MonteCarlo!$B$5) + (MonteCarlo!$B$9 - MonteCarlo!$B$7 ^ 2 / 2) *$A3) / (MonteCarlo!$B$7 * SQRT($A3)),TRUE)-1),"")</f>
        <v/>
      </c>
      <c r="Y3" t="str">
        <f>IFERROR(IF(OR(MonteCarlo!$B$4="C",MonteCarlo!$B$4="c"),_xlfn.NORM.S.DIST((LN(Y$1 / MonteCarlo!$B$5) + (MonteCarlo!$B$9 + MonteCarlo!$B$7 ^ 2 / 2) *$A3) / (MonteCarlo!$B$7 * SQRT($A3)),TRUE),_xlfn.NORM.S.DIST((LN(Y$1 / MonteCarlo!$B$5) + (MonteCarlo!$B$9 - MonteCarlo!$B$7 ^ 2 / 2) *$A3) / (MonteCarlo!$B$7 * SQRT($A3)),TRUE)-1),"")</f>
        <v/>
      </c>
      <c r="Z3" t="str">
        <f>IFERROR(IF(OR(MonteCarlo!$B$4="C",MonteCarlo!$B$4="c"),_xlfn.NORM.S.DIST((LN(Z$1 / MonteCarlo!$B$5) + (MonteCarlo!$B$9 + MonteCarlo!$B$7 ^ 2 / 2) *$A3) / (MonteCarlo!$B$7 * SQRT($A3)),TRUE),_xlfn.NORM.S.DIST((LN(Z$1 / MonteCarlo!$B$5) + (MonteCarlo!$B$9 - MonteCarlo!$B$7 ^ 2 / 2) *$A3) / (MonteCarlo!$B$7 * SQRT($A3)),TRUE)-1),"")</f>
        <v/>
      </c>
      <c r="AA3" t="str">
        <f>IFERROR(IF(OR(MonteCarlo!$B$4="C",MonteCarlo!$B$4="c"),_xlfn.NORM.S.DIST((LN(AA$1 / MonteCarlo!$B$5) + (MonteCarlo!$B$9 + MonteCarlo!$B$7 ^ 2 / 2) *$A3) / (MonteCarlo!$B$7 * SQRT($A3)),TRUE),_xlfn.NORM.S.DIST((LN(AA$1 / MonteCarlo!$B$5) + (MonteCarlo!$B$9 - MonteCarlo!$B$7 ^ 2 / 2) *$A3) / (MonteCarlo!$B$7 * SQRT($A3)),TRUE)-1),"")</f>
        <v/>
      </c>
      <c r="AB3" t="str">
        <f>IFERROR(IF(OR(MonteCarlo!$B$4="C",MonteCarlo!$B$4="c"),_xlfn.NORM.S.DIST((LN(AB$1 / MonteCarlo!$B$5) + (MonteCarlo!$B$9 + MonteCarlo!$B$7 ^ 2 / 2) *$A3) / (MonteCarlo!$B$7 * SQRT($A3)),TRUE),_xlfn.NORM.S.DIST((LN(AB$1 / MonteCarlo!$B$5) + (MonteCarlo!$B$9 - MonteCarlo!$B$7 ^ 2 / 2) *$A3) / (MonteCarlo!$B$7 * SQRT($A3)),TRUE)-1),"")</f>
        <v/>
      </c>
      <c r="AC3" t="str">
        <f>IFERROR(IF(OR(MonteCarlo!$B$4="C",MonteCarlo!$B$4="c"),_xlfn.NORM.S.DIST((LN(AC$1 / MonteCarlo!$B$5) + (MonteCarlo!$B$9 + MonteCarlo!$B$7 ^ 2 / 2) *$A3) / (MonteCarlo!$B$7 * SQRT($A3)),TRUE),_xlfn.NORM.S.DIST((LN(AC$1 / MonteCarlo!$B$5) + (MonteCarlo!$B$9 - MonteCarlo!$B$7 ^ 2 / 2) *$A3) / (MonteCarlo!$B$7 * SQRT($A3)),TRUE)-1),"")</f>
        <v/>
      </c>
      <c r="AD3" t="str">
        <f>IFERROR(IF(OR(MonteCarlo!$B$4="C",MonteCarlo!$B$4="c"),_xlfn.NORM.S.DIST((LN(AD$1 / MonteCarlo!$B$5) + (MonteCarlo!$B$9 + MonteCarlo!$B$7 ^ 2 / 2) *$A3) / (MonteCarlo!$B$7 * SQRT($A3)),TRUE),_xlfn.NORM.S.DIST((LN(AD$1 / MonteCarlo!$B$5) + (MonteCarlo!$B$9 - MonteCarlo!$B$7 ^ 2 / 2) *$A3) / (MonteCarlo!$B$7 * SQRT($A3)),TRUE)-1),"")</f>
        <v/>
      </c>
      <c r="AE3" t="str">
        <f>IFERROR(IF(OR(MonteCarlo!$B$4="C",MonteCarlo!$B$4="c"),_xlfn.NORM.S.DIST((LN(AE$1 / MonteCarlo!$B$5) + (MonteCarlo!$B$9 + MonteCarlo!$B$7 ^ 2 / 2) *$A3) / (MonteCarlo!$B$7 * SQRT($A3)),TRUE),_xlfn.NORM.S.DIST((LN(AE$1 / MonteCarlo!$B$5) + (MonteCarlo!$B$9 - MonteCarlo!$B$7 ^ 2 / 2) *$A3) / (MonteCarlo!$B$7 * SQRT($A3)),TRUE)-1),"")</f>
        <v/>
      </c>
      <c r="AF3" t="str">
        <f>IFERROR(IF(OR(MonteCarlo!$B$4="C",MonteCarlo!$B$4="c"),_xlfn.NORM.S.DIST((LN(AF$1 / MonteCarlo!$B$5) + (MonteCarlo!$B$9 + MonteCarlo!$B$7 ^ 2 / 2) *$A3) / (MonteCarlo!$B$7 * SQRT($A3)),TRUE),_xlfn.NORM.S.DIST((LN(AF$1 / MonteCarlo!$B$5) + (MonteCarlo!$B$9 - MonteCarlo!$B$7 ^ 2 / 2) *$A3) / (MonteCarlo!$B$7 * SQRT($A3)),TRUE)-1),"")</f>
        <v/>
      </c>
    </row>
    <row r="4" spans="2:32" x14ac:dyDescent="0.25">
      <c r="B4" t="str">
        <f>IFERROR(IF(OR(MonteCarlo!$B$4="C",MonteCarlo!$B$4="c"),_xlfn.NORM.S.DIST((LN(B$1 / MonteCarlo!$B$5) + (MonteCarlo!$B$9 + MonteCarlo!$B$7 ^ 2 / 2) *$A4) / (MonteCarlo!$B$7 * SQRT($A4)),TRUE),_xlfn.NORM.S.DIST((LN(B$1 / MonteCarlo!$B$5) + (MonteCarlo!$B$9 - MonteCarlo!$B$7 ^ 2 / 2) *$A4) / (MonteCarlo!$B$7 * SQRT($A4)),TRUE)-1),"")</f>
        <v/>
      </c>
      <c r="C4" t="str">
        <f>IFERROR(IF(OR(MonteCarlo!$B$4="C",MonteCarlo!$B$4="c"),_xlfn.NORM.S.DIST((LN(C$1 / MonteCarlo!$B$5) + (MonteCarlo!$B$9 + MonteCarlo!$B$7 ^ 2 / 2) *$A4) / (MonteCarlo!$B$7 * SQRT($A4)),TRUE),_xlfn.NORM.S.DIST((LN(C$1 / MonteCarlo!$B$5) + (MonteCarlo!$B$9 - MonteCarlo!$B$7 ^ 2 / 2) *$A4) / (MonteCarlo!$B$7 * SQRT($A4)),TRUE)-1),"")</f>
        <v/>
      </c>
      <c r="D4" t="str">
        <f>IFERROR(IF(OR(MonteCarlo!$B$4="C",MonteCarlo!$B$4="c"),_xlfn.NORM.S.DIST((LN(D$1 / MonteCarlo!$B$5) + (MonteCarlo!$B$9 + MonteCarlo!$B$7 ^ 2 / 2) *$A4) / (MonteCarlo!$B$7 * SQRT($A4)),TRUE),_xlfn.NORM.S.DIST((LN(D$1 / MonteCarlo!$B$5) + (MonteCarlo!$B$9 - MonteCarlo!$B$7 ^ 2 / 2) *$A4) / (MonteCarlo!$B$7 * SQRT($A4)),TRUE)-1),"")</f>
        <v/>
      </c>
      <c r="E4" t="str">
        <f>IFERROR(IF(OR(MonteCarlo!$B$4="C",MonteCarlo!$B$4="c"),_xlfn.NORM.S.DIST((LN(E$1 / MonteCarlo!$B$5) + (MonteCarlo!$B$9 + MonteCarlo!$B$7 ^ 2 / 2) *$A4) / (MonteCarlo!$B$7 * SQRT($A4)),TRUE),_xlfn.NORM.S.DIST((LN(E$1 / MonteCarlo!$B$5) + (MonteCarlo!$B$9 - MonteCarlo!$B$7 ^ 2 / 2) *$A4) / (MonteCarlo!$B$7 * SQRT($A4)),TRUE)-1),"")</f>
        <v/>
      </c>
      <c r="F4" t="str">
        <f>IFERROR(IF(OR(MonteCarlo!$B$4="C",MonteCarlo!$B$4="c"),_xlfn.NORM.S.DIST((LN(F$1 / MonteCarlo!$B$5) + (MonteCarlo!$B$9 + MonteCarlo!$B$7 ^ 2 / 2) *$A4) / (MonteCarlo!$B$7 * SQRT($A4)),TRUE),_xlfn.NORM.S.DIST((LN(F$1 / MonteCarlo!$B$5) + (MonteCarlo!$B$9 - MonteCarlo!$B$7 ^ 2 / 2) *$A4) / (MonteCarlo!$B$7 * SQRT($A4)),TRUE)-1),"")</f>
        <v/>
      </c>
      <c r="G4" t="str">
        <f>IFERROR(IF(OR(MonteCarlo!$B$4="C",MonteCarlo!$B$4="c"),_xlfn.NORM.S.DIST((LN(G$1 / MonteCarlo!$B$5) + (MonteCarlo!$B$9 + MonteCarlo!$B$7 ^ 2 / 2) *$A4) / (MonteCarlo!$B$7 * SQRT($A4)),TRUE),_xlfn.NORM.S.DIST((LN(G$1 / MonteCarlo!$B$5) + (MonteCarlo!$B$9 - MonteCarlo!$B$7 ^ 2 / 2) *$A4) / (MonteCarlo!$B$7 * SQRT($A4)),TRUE)-1),"")</f>
        <v/>
      </c>
      <c r="H4" t="str">
        <f>IFERROR(IF(OR(MonteCarlo!$B$4="C",MonteCarlo!$B$4="c"),_xlfn.NORM.S.DIST((LN(H$1 / MonteCarlo!$B$5) + (MonteCarlo!$B$9 + MonteCarlo!$B$7 ^ 2 / 2) *$A4) / (MonteCarlo!$B$7 * SQRT($A4)),TRUE),_xlfn.NORM.S.DIST((LN(H$1 / MonteCarlo!$B$5) + (MonteCarlo!$B$9 - MonteCarlo!$B$7 ^ 2 / 2) *$A4) / (MonteCarlo!$B$7 * SQRT($A4)),TRUE)-1),"")</f>
        <v/>
      </c>
      <c r="I4" t="str">
        <f>IFERROR(IF(OR(MonteCarlo!$B$4="C",MonteCarlo!$B$4="c"),_xlfn.NORM.S.DIST((LN(I$1 / MonteCarlo!$B$5) + (MonteCarlo!$B$9 + MonteCarlo!$B$7 ^ 2 / 2) *$A4) / (MonteCarlo!$B$7 * SQRT($A4)),TRUE),_xlfn.NORM.S.DIST((LN(I$1 / MonteCarlo!$B$5) + (MonteCarlo!$B$9 - MonteCarlo!$B$7 ^ 2 / 2) *$A4) / (MonteCarlo!$B$7 * SQRT($A4)),TRUE)-1),"")</f>
        <v/>
      </c>
      <c r="J4" t="str">
        <f>IFERROR(IF(OR(MonteCarlo!$B$4="C",MonteCarlo!$B$4="c"),_xlfn.NORM.S.DIST((LN(J$1 / MonteCarlo!$B$5) + (MonteCarlo!$B$9 + MonteCarlo!$B$7 ^ 2 / 2) *$A4) / (MonteCarlo!$B$7 * SQRT($A4)),TRUE),_xlfn.NORM.S.DIST((LN(J$1 / MonteCarlo!$B$5) + (MonteCarlo!$B$9 - MonteCarlo!$B$7 ^ 2 / 2) *$A4) / (MonteCarlo!$B$7 * SQRT($A4)),TRUE)-1),"")</f>
        <v/>
      </c>
      <c r="K4" t="str">
        <f>IFERROR(IF(OR(MonteCarlo!$B$4="C",MonteCarlo!$B$4="c"),_xlfn.NORM.S.DIST((LN(K$1 / MonteCarlo!$B$5) + (MonteCarlo!$B$9 + MonteCarlo!$B$7 ^ 2 / 2) *$A4) / (MonteCarlo!$B$7 * SQRT($A4)),TRUE),_xlfn.NORM.S.DIST((LN(K$1 / MonteCarlo!$B$5) + (MonteCarlo!$B$9 - MonteCarlo!$B$7 ^ 2 / 2) *$A4) / (MonteCarlo!$B$7 * SQRT($A4)),TRUE)-1),"")</f>
        <v/>
      </c>
      <c r="L4" t="str">
        <f>IFERROR(IF(OR(MonteCarlo!$B$4="C",MonteCarlo!$B$4="c"),_xlfn.NORM.S.DIST((LN(L$1 / MonteCarlo!$B$5) + (MonteCarlo!$B$9 + MonteCarlo!$B$7 ^ 2 / 2) *$A4) / (MonteCarlo!$B$7 * SQRT($A4)),TRUE),_xlfn.NORM.S.DIST((LN(L$1 / MonteCarlo!$B$5) + (MonteCarlo!$B$9 - MonteCarlo!$B$7 ^ 2 / 2) *$A4) / (MonteCarlo!$B$7 * SQRT($A4)),TRUE)-1),"")</f>
        <v/>
      </c>
      <c r="M4" t="str">
        <f>IFERROR(IF(OR(MonteCarlo!$B$4="C",MonteCarlo!$B$4="c"),_xlfn.NORM.S.DIST((LN(M$1 / MonteCarlo!$B$5) + (MonteCarlo!$B$9 + MonteCarlo!$B$7 ^ 2 / 2) *$A4) / (MonteCarlo!$B$7 * SQRT($A4)),TRUE),_xlfn.NORM.S.DIST((LN(M$1 / MonteCarlo!$B$5) + (MonteCarlo!$B$9 - MonteCarlo!$B$7 ^ 2 / 2) *$A4) / (MonteCarlo!$B$7 * SQRT($A4)),TRUE)-1),"")</f>
        <v/>
      </c>
      <c r="N4" t="str">
        <f>IFERROR(IF(OR(MonteCarlo!$B$4="C",MonteCarlo!$B$4="c"),_xlfn.NORM.S.DIST((LN(N$1 / MonteCarlo!$B$5) + (MonteCarlo!$B$9 + MonteCarlo!$B$7 ^ 2 / 2) *$A4) / (MonteCarlo!$B$7 * SQRT($A4)),TRUE),_xlfn.NORM.S.DIST((LN(N$1 / MonteCarlo!$B$5) + (MonteCarlo!$B$9 - MonteCarlo!$B$7 ^ 2 / 2) *$A4) / (MonteCarlo!$B$7 * SQRT($A4)),TRUE)-1),"")</f>
        <v/>
      </c>
      <c r="O4" t="str">
        <f>IFERROR(IF(OR(MonteCarlo!$B$4="C",MonteCarlo!$B$4="c"),_xlfn.NORM.S.DIST((LN(O$1 / MonteCarlo!$B$5) + (MonteCarlo!$B$9 + MonteCarlo!$B$7 ^ 2 / 2) *$A4) / (MonteCarlo!$B$7 * SQRT($A4)),TRUE),_xlfn.NORM.S.DIST((LN(O$1 / MonteCarlo!$B$5) + (MonteCarlo!$B$9 - MonteCarlo!$B$7 ^ 2 / 2) *$A4) / (MonteCarlo!$B$7 * SQRT($A4)),TRUE)-1),"")</f>
        <v/>
      </c>
      <c r="P4" t="str">
        <f>IFERROR(IF(OR(MonteCarlo!$B$4="C",MonteCarlo!$B$4="c"),_xlfn.NORM.S.DIST((LN(P$1 / MonteCarlo!$B$5) + (MonteCarlo!$B$9 + MonteCarlo!$B$7 ^ 2 / 2) *$A4) / (MonteCarlo!$B$7 * SQRT($A4)),TRUE),_xlfn.NORM.S.DIST((LN(P$1 / MonteCarlo!$B$5) + (MonteCarlo!$B$9 - MonteCarlo!$B$7 ^ 2 / 2) *$A4) / (MonteCarlo!$B$7 * SQRT($A4)),TRUE)-1),"")</f>
        <v/>
      </c>
      <c r="Q4" t="str">
        <f>IFERROR(IF(OR(MonteCarlo!$B$4="C",MonteCarlo!$B$4="c"),_xlfn.NORM.S.DIST((LN(Q$1 / MonteCarlo!$B$5) + (MonteCarlo!$B$9 + MonteCarlo!$B$7 ^ 2 / 2) *$A4) / (MonteCarlo!$B$7 * SQRT($A4)),TRUE),_xlfn.NORM.S.DIST((LN(Q$1 / MonteCarlo!$B$5) + (MonteCarlo!$B$9 - MonteCarlo!$B$7 ^ 2 / 2) *$A4) / (MonteCarlo!$B$7 * SQRT($A4)),TRUE)-1),"")</f>
        <v/>
      </c>
      <c r="R4" t="str">
        <f>IFERROR(IF(OR(MonteCarlo!$B$4="C",MonteCarlo!$B$4="c"),_xlfn.NORM.S.DIST((LN(R$1 / MonteCarlo!$B$5) + (MonteCarlo!$B$9 + MonteCarlo!$B$7 ^ 2 / 2) *$A4) / (MonteCarlo!$B$7 * SQRT($A4)),TRUE),_xlfn.NORM.S.DIST((LN(R$1 / MonteCarlo!$B$5) + (MonteCarlo!$B$9 - MonteCarlo!$B$7 ^ 2 / 2) *$A4) / (MonteCarlo!$B$7 * SQRT($A4)),TRUE)-1),"")</f>
        <v/>
      </c>
      <c r="S4" t="str">
        <f>IFERROR(IF(OR(MonteCarlo!$B$4="C",MonteCarlo!$B$4="c"),_xlfn.NORM.S.DIST((LN(S$1 / MonteCarlo!$B$5) + (MonteCarlo!$B$9 + MonteCarlo!$B$7 ^ 2 / 2) *$A4) / (MonteCarlo!$B$7 * SQRT($A4)),TRUE),_xlfn.NORM.S.DIST((LN(S$1 / MonteCarlo!$B$5) + (MonteCarlo!$B$9 - MonteCarlo!$B$7 ^ 2 / 2) *$A4) / (MonteCarlo!$B$7 * SQRT($A4)),TRUE)-1),"")</f>
        <v/>
      </c>
      <c r="T4" t="str">
        <f>IFERROR(IF(OR(MonteCarlo!$B$4="C",MonteCarlo!$B$4="c"),_xlfn.NORM.S.DIST((LN(T$1 / MonteCarlo!$B$5) + (MonteCarlo!$B$9 + MonteCarlo!$B$7 ^ 2 / 2) *$A4) / (MonteCarlo!$B$7 * SQRT($A4)),TRUE),_xlfn.NORM.S.DIST((LN(T$1 / MonteCarlo!$B$5) + (MonteCarlo!$B$9 - MonteCarlo!$B$7 ^ 2 / 2) *$A4) / (MonteCarlo!$B$7 * SQRT($A4)),TRUE)-1),"")</f>
        <v/>
      </c>
      <c r="U4" t="str">
        <f>IFERROR(IF(OR(MonteCarlo!$B$4="C",MonteCarlo!$B$4="c"),_xlfn.NORM.S.DIST((LN(U$1 / MonteCarlo!$B$5) + (MonteCarlo!$B$9 + MonteCarlo!$B$7 ^ 2 / 2) *$A4) / (MonteCarlo!$B$7 * SQRT($A4)),TRUE),_xlfn.NORM.S.DIST((LN(U$1 / MonteCarlo!$B$5) + (MonteCarlo!$B$9 - MonteCarlo!$B$7 ^ 2 / 2) *$A4) / (MonteCarlo!$B$7 * SQRT($A4)),TRUE)-1),"")</f>
        <v/>
      </c>
      <c r="V4" t="str">
        <f>IFERROR(IF(OR(MonteCarlo!$B$4="C",MonteCarlo!$B$4="c"),_xlfn.NORM.S.DIST((LN(V$1 / MonteCarlo!$B$5) + (MonteCarlo!$B$9 + MonteCarlo!$B$7 ^ 2 / 2) *$A4) / (MonteCarlo!$B$7 * SQRT($A4)),TRUE),_xlfn.NORM.S.DIST((LN(V$1 / MonteCarlo!$B$5) + (MonteCarlo!$B$9 - MonteCarlo!$B$7 ^ 2 / 2) *$A4) / (MonteCarlo!$B$7 * SQRT($A4)),TRUE)-1),"")</f>
        <v/>
      </c>
      <c r="W4" t="str">
        <f>IFERROR(IF(OR(MonteCarlo!$B$4="C",MonteCarlo!$B$4="c"),_xlfn.NORM.S.DIST((LN(W$1 / MonteCarlo!$B$5) + (MonteCarlo!$B$9 + MonteCarlo!$B$7 ^ 2 / 2) *$A4) / (MonteCarlo!$B$7 * SQRT($A4)),TRUE),_xlfn.NORM.S.DIST((LN(W$1 / MonteCarlo!$B$5) + (MonteCarlo!$B$9 - MonteCarlo!$B$7 ^ 2 / 2) *$A4) / (MonteCarlo!$B$7 * SQRT($A4)),TRUE)-1),"")</f>
        <v/>
      </c>
      <c r="X4" t="str">
        <f>IFERROR(IF(OR(MonteCarlo!$B$4="C",MonteCarlo!$B$4="c"),_xlfn.NORM.S.DIST((LN(X$1 / MonteCarlo!$B$5) + (MonteCarlo!$B$9 + MonteCarlo!$B$7 ^ 2 / 2) *$A4) / (MonteCarlo!$B$7 * SQRT($A4)),TRUE),_xlfn.NORM.S.DIST((LN(X$1 / MonteCarlo!$B$5) + (MonteCarlo!$B$9 - MonteCarlo!$B$7 ^ 2 / 2) *$A4) / (MonteCarlo!$B$7 * SQRT($A4)),TRUE)-1),"")</f>
        <v/>
      </c>
      <c r="Y4" t="str">
        <f>IFERROR(IF(OR(MonteCarlo!$B$4="C",MonteCarlo!$B$4="c"),_xlfn.NORM.S.DIST((LN(Y$1 / MonteCarlo!$B$5) + (MonteCarlo!$B$9 + MonteCarlo!$B$7 ^ 2 / 2) *$A4) / (MonteCarlo!$B$7 * SQRT($A4)),TRUE),_xlfn.NORM.S.DIST((LN(Y$1 / MonteCarlo!$B$5) + (MonteCarlo!$B$9 - MonteCarlo!$B$7 ^ 2 / 2) *$A4) / (MonteCarlo!$B$7 * SQRT($A4)),TRUE)-1),"")</f>
        <v/>
      </c>
      <c r="Z4" t="str">
        <f>IFERROR(IF(OR(MonteCarlo!$B$4="C",MonteCarlo!$B$4="c"),_xlfn.NORM.S.DIST((LN(Z$1 / MonteCarlo!$B$5) + (MonteCarlo!$B$9 + MonteCarlo!$B$7 ^ 2 / 2) *$A4) / (MonteCarlo!$B$7 * SQRT($A4)),TRUE),_xlfn.NORM.S.DIST((LN(Z$1 / MonteCarlo!$B$5) + (MonteCarlo!$B$9 - MonteCarlo!$B$7 ^ 2 / 2) *$A4) / (MonteCarlo!$B$7 * SQRT($A4)),TRUE)-1),"")</f>
        <v/>
      </c>
      <c r="AA4" t="str">
        <f>IFERROR(IF(OR(MonteCarlo!$B$4="C",MonteCarlo!$B$4="c"),_xlfn.NORM.S.DIST((LN(AA$1 / MonteCarlo!$B$5) + (MonteCarlo!$B$9 + MonteCarlo!$B$7 ^ 2 / 2) *$A4) / (MonteCarlo!$B$7 * SQRT($A4)),TRUE),_xlfn.NORM.S.DIST((LN(AA$1 / MonteCarlo!$B$5) + (MonteCarlo!$B$9 - MonteCarlo!$B$7 ^ 2 / 2) *$A4) / (MonteCarlo!$B$7 * SQRT($A4)),TRUE)-1),"")</f>
        <v/>
      </c>
      <c r="AB4" t="str">
        <f>IFERROR(IF(OR(MonteCarlo!$B$4="C",MonteCarlo!$B$4="c"),_xlfn.NORM.S.DIST((LN(AB$1 / MonteCarlo!$B$5) + (MonteCarlo!$B$9 + MonteCarlo!$B$7 ^ 2 / 2) *$A4) / (MonteCarlo!$B$7 * SQRT($A4)),TRUE),_xlfn.NORM.S.DIST((LN(AB$1 / MonteCarlo!$B$5) + (MonteCarlo!$B$9 - MonteCarlo!$B$7 ^ 2 / 2) *$A4) / (MonteCarlo!$B$7 * SQRT($A4)),TRUE)-1),"")</f>
        <v/>
      </c>
      <c r="AC4" t="str">
        <f>IFERROR(IF(OR(MonteCarlo!$B$4="C",MonteCarlo!$B$4="c"),_xlfn.NORM.S.DIST((LN(AC$1 / MonteCarlo!$B$5) + (MonteCarlo!$B$9 + MonteCarlo!$B$7 ^ 2 / 2) *$A4) / (MonteCarlo!$B$7 * SQRT($A4)),TRUE),_xlfn.NORM.S.DIST((LN(AC$1 / MonteCarlo!$B$5) + (MonteCarlo!$B$9 - MonteCarlo!$B$7 ^ 2 / 2) *$A4) / (MonteCarlo!$B$7 * SQRT($A4)),TRUE)-1),"")</f>
        <v/>
      </c>
      <c r="AD4" t="str">
        <f>IFERROR(IF(OR(MonteCarlo!$B$4="C",MonteCarlo!$B$4="c"),_xlfn.NORM.S.DIST((LN(AD$1 / MonteCarlo!$B$5) + (MonteCarlo!$B$9 + MonteCarlo!$B$7 ^ 2 / 2) *$A4) / (MonteCarlo!$B$7 * SQRT($A4)),TRUE),_xlfn.NORM.S.DIST((LN(AD$1 / MonteCarlo!$B$5) + (MonteCarlo!$B$9 - MonteCarlo!$B$7 ^ 2 / 2) *$A4) / (MonteCarlo!$B$7 * SQRT($A4)),TRUE)-1),"")</f>
        <v/>
      </c>
      <c r="AE4" t="str">
        <f>IFERROR(IF(OR(MonteCarlo!$B$4="C",MonteCarlo!$B$4="c"),_xlfn.NORM.S.DIST((LN(AE$1 / MonteCarlo!$B$5) + (MonteCarlo!$B$9 + MonteCarlo!$B$7 ^ 2 / 2) *$A4) / (MonteCarlo!$B$7 * SQRT($A4)),TRUE),_xlfn.NORM.S.DIST((LN(AE$1 / MonteCarlo!$B$5) + (MonteCarlo!$B$9 - MonteCarlo!$B$7 ^ 2 / 2) *$A4) / (MonteCarlo!$B$7 * SQRT($A4)),TRUE)-1),"")</f>
        <v/>
      </c>
      <c r="AF4" t="str">
        <f>IFERROR(IF(OR(MonteCarlo!$B$4="C",MonteCarlo!$B$4="c"),_xlfn.NORM.S.DIST((LN(AF$1 / MonteCarlo!$B$5) + (MonteCarlo!$B$9 + MonteCarlo!$B$7 ^ 2 / 2) *$A4) / (MonteCarlo!$B$7 * SQRT($A4)),TRUE),_xlfn.NORM.S.DIST((LN(AF$1 / MonteCarlo!$B$5) + (MonteCarlo!$B$9 - MonteCarlo!$B$7 ^ 2 / 2) *$A4) / (MonteCarlo!$B$7 * SQRT($A4)),TRUE)-1),"")</f>
        <v/>
      </c>
    </row>
    <row r="5" spans="2:32" x14ac:dyDescent="0.25">
      <c r="B5" t="str">
        <f>IFERROR(IF(OR(MonteCarlo!$B$4="C",MonteCarlo!$B$4="c"),_xlfn.NORM.S.DIST((LN(B$1 / MonteCarlo!$B$5) + (MonteCarlo!$B$9 + MonteCarlo!$B$7 ^ 2 / 2) *$A5) / (MonteCarlo!$B$7 * SQRT($A5)),TRUE),_xlfn.NORM.S.DIST((LN(B$1 / MonteCarlo!$B$5) + (MonteCarlo!$B$9 - MonteCarlo!$B$7 ^ 2 / 2) *$A5) / (MonteCarlo!$B$7 * SQRT($A5)),TRUE)-1),"")</f>
        <v/>
      </c>
      <c r="C5" t="str">
        <f>IFERROR(IF(OR(MonteCarlo!$B$4="C",MonteCarlo!$B$4="c"),_xlfn.NORM.S.DIST((LN(C$1 / MonteCarlo!$B$5) + (MonteCarlo!$B$9 + MonteCarlo!$B$7 ^ 2 / 2) *$A5) / (MonteCarlo!$B$7 * SQRT($A5)),TRUE),_xlfn.NORM.S.DIST((LN(C$1 / MonteCarlo!$B$5) + (MonteCarlo!$B$9 - MonteCarlo!$B$7 ^ 2 / 2) *$A5) / (MonteCarlo!$B$7 * SQRT($A5)),TRUE)-1),"")</f>
        <v/>
      </c>
      <c r="D5" t="str">
        <f>IFERROR(IF(OR(MonteCarlo!$B$4="C",MonteCarlo!$B$4="c"),_xlfn.NORM.S.DIST((LN(D$1 / MonteCarlo!$B$5) + (MonteCarlo!$B$9 + MonteCarlo!$B$7 ^ 2 / 2) *$A5) / (MonteCarlo!$B$7 * SQRT($A5)),TRUE),_xlfn.NORM.S.DIST((LN(D$1 / MonteCarlo!$B$5) + (MonteCarlo!$B$9 - MonteCarlo!$B$7 ^ 2 / 2) *$A5) / (MonteCarlo!$B$7 * SQRT($A5)),TRUE)-1),"")</f>
        <v/>
      </c>
      <c r="E5" t="str">
        <f>IFERROR(IF(OR(MonteCarlo!$B$4="C",MonteCarlo!$B$4="c"),_xlfn.NORM.S.DIST((LN(E$1 / MonteCarlo!$B$5) + (MonteCarlo!$B$9 + MonteCarlo!$B$7 ^ 2 / 2) *$A5) / (MonteCarlo!$B$7 * SQRT($A5)),TRUE),_xlfn.NORM.S.DIST((LN(E$1 / MonteCarlo!$B$5) + (MonteCarlo!$B$9 - MonteCarlo!$B$7 ^ 2 / 2) *$A5) / (MonteCarlo!$B$7 * SQRT($A5)),TRUE)-1),"")</f>
        <v/>
      </c>
      <c r="F5" t="str">
        <f>IFERROR(IF(OR(MonteCarlo!$B$4="C",MonteCarlo!$B$4="c"),_xlfn.NORM.S.DIST((LN(F$1 / MonteCarlo!$B$5) + (MonteCarlo!$B$9 + MonteCarlo!$B$7 ^ 2 / 2) *$A5) / (MonteCarlo!$B$7 * SQRT($A5)),TRUE),_xlfn.NORM.S.DIST((LN(F$1 / MonteCarlo!$B$5) + (MonteCarlo!$B$9 - MonteCarlo!$B$7 ^ 2 / 2) *$A5) / (MonteCarlo!$B$7 * SQRT($A5)),TRUE)-1),"")</f>
        <v/>
      </c>
      <c r="G5" t="str">
        <f>IFERROR(IF(OR(MonteCarlo!$B$4="C",MonteCarlo!$B$4="c"),_xlfn.NORM.S.DIST((LN(G$1 / MonteCarlo!$B$5) + (MonteCarlo!$B$9 + MonteCarlo!$B$7 ^ 2 / 2) *$A5) / (MonteCarlo!$B$7 * SQRT($A5)),TRUE),_xlfn.NORM.S.DIST((LN(G$1 / MonteCarlo!$B$5) + (MonteCarlo!$B$9 - MonteCarlo!$B$7 ^ 2 / 2) *$A5) / (MonteCarlo!$B$7 * SQRT($A5)),TRUE)-1),"")</f>
        <v/>
      </c>
      <c r="H5" t="str">
        <f>IFERROR(IF(OR(MonteCarlo!$B$4="C",MonteCarlo!$B$4="c"),_xlfn.NORM.S.DIST((LN(H$1 / MonteCarlo!$B$5) + (MonteCarlo!$B$9 + MonteCarlo!$B$7 ^ 2 / 2) *$A5) / (MonteCarlo!$B$7 * SQRT($A5)),TRUE),_xlfn.NORM.S.DIST((LN(H$1 / MonteCarlo!$B$5) + (MonteCarlo!$B$9 - MonteCarlo!$B$7 ^ 2 / 2) *$A5) / (MonteCarlo!$B$7 * SQRT($A5)),TRUE)-1),"")</f>
        <v/>
      </c>
      <c r="I5" t="str">
        <f>IFERROR(IF(OR(MonteCarlo!$B$4="C",MonteCarlo!$B$4="c"),_xlfn.NORM.S.DIST((LN(I$1 / MonteCarlo!$B$5) + (MonteCarlo!$B$9 + MonteCarlo!$B$7 ^ 2 / 2) *$A5) / (MonteCarlo!$B$7 * SQRT($A5)),TRUE),_xlfn.NORM.S.DIST((LN(I$1 / MonteCarlo!$B$5) + (MonteCarlo!$B$9 - MonteCarlo!$B$7 ^ 2 / 2) *$A5) / (MonteCarlo!$B$7 * SQRT($A5)),TRUE)-1),"")</f>
        <v/>
      </c>
      <c r="J5" t="str">
        <f>IFERROR(IF(OR(MonteCarlo!$B$4="C",MonteCarlo!$B$4="c"),_xlfn.NORM.S.DIST((LN(J$1 / MonteCarlo!$B$5) + (MonteCarlo!$B$9 + MonteCarlo!$B$7 ^ 2 / 2) *$A5) / (MonteCarlo!$B$7 * SQRT($A5)),TRUE),_xlfn.NORM.S.DIST((LN(J$1 / MonteCarlo!$B$5) + (MonteCarlo!$B$9 - MonteCarlo!$B$7 ^ 2 / 2) *$A5) / (MonteCarlo!$B$7 * SQRT($A5)),TRUE)-1),"")</f>
        <v/>
      </c>
      <c r="K5" t="str">
        <f>IFERROR(IF(OR(MonteCarlo!$B$4="C",MonteCarlo!$B$4="c"),_xlfn.NORM.S.DIST((LN(K$1 / MonteCarlo!$B$5) + (MonteCarlo!$B$9 + MonteCarlo!$B$7 ^ 2 / 2) *$A5) / (MonteCarlo!$B$7 * SQRT($A5)),TRUE),_xlfn.NORM.S.DIST((LN(K$1 / MonteCarlo!$B$5) + (MonteCarlo!$B$9 - MonteCarlo!$B$7 ^ 2 / 2) *$A5) / (MonteCarlo!$B$7 * SQRT($A5)),TRUE)-1),"")</f>
        <v/>
      </c>
      <c r="L5" t="str">
        <f>IFERROR(IF(OR(MonteCarlo!$B$4="C",MonteCarlo!$B$4="c"),_xlfn.NORM.S.DIST((LN(L$1 / MonteCarlo!$B$5) + (MonteCarlo!$B$9 + MonteCarlo!$B$7 ^ 2 / 2) *$A5) / (MonteCarlo!$B$7 * SQRT($A5)),TRUE),_xlfn.NORM.S.DIST((LN(L$1 / MonteCarlo!$B$5) + (MonteCarlo!$B$9 - MonteCarlo!$B$7 ^ 2 / 2) *$A5) / (MonteCarlo!$B$7 * SQRT($A5)),TRUE)-1),"")</f>
        <v/>
      </c>
      <c r="M5" t="str">
        <f>IFERROR(IF(OR(MonteCarlo!$B$4="C",MonteCarlo!$B$4="c"),_xlfn.NORM.S.DIST((LN(M$1 / MonteCarlo!$B$5) + (MonteCarlo!$B$9 + MonteCarlo!$B$7 ^ 2 / 2) *$A5) / (MonteCarlo!$B$7 * SQRT($A5)),TRUE),_xlfn.NORM.S.DIST((LN(M$1 / MonteCarlo!$B$5) + (MonteCarlo!$B$9 - MonteCarlo!$B$7 ^ 2 / 2) *$A5) / (MonteCarlo!$B$7 * SQRT($A5)),TRUE)-1),"")</f>
        <v/>
      </c>
      <c r="N5" t="str">
        <f>IFERROR(IF(OR(MonteCarlo!$B$4="C",MonteCarlo!$B$4="c"),_xlfn.NORM.S.DIST((LN(N$1 / MonteCarlo!$B$5) + (MonteCarlo!$B$9 + MonteCarlo!$B$7 ^ 2 / 2) *$A5) / (MonteCarlo!$B$7 * SQRT($A5)),TRUE),_xlfn.NORM.S.DIST((LN(N$1 / MonteCarlo!$B$5) + (MonteCarlo!$B$9 - MonteCarlo!$B$7 ^ 2 / 2) *$A5) / (MonteCarlo!$B$7 * SQRT($A5)),TRUE)-1),"")</f>
        <v/>
      </c>
      <c r="O5" t="str">
        <f>IFERROR(IF(OR(MonteCarlo!$B$4="C",MonteCarlo!$B$4="c"),_xlfn.NORM.S.DIST((LN(O$1 / MonteCarlo!$B$5) + (MonteCarlo!$B$9 + MonteCarlo!$B$7 ^ 2 / 2) *$A5) / (MonteCarlo!$B$7 * SQRT($A5)),TRUE),_xlfn.NORM.S.DIST((LN(O$1 / MonteCarlo!$B$5) + (MonteCarlo!$B$9 - MonteCarlo!$B$7 ^ 2 / 2) *$A5) / (MonteCarlo!$B$7 * SQRT($A5)),TRUE)-1),"")</f>
        <v/>
      </c>
      <c r="P5" t="str">
        <f>IFERROR(IF(OR(MonteCarlo!$B$4="C",MonteCarlo!$B$4="c"),_xlfn.NORM.S.DIST((LN(P$1 / MonteCarlo!$B$5) + (MonteCarlo!$B$9 + MonteCarlo!$B$7 ^ 2 / 2) *$A5) / (MonteCarlo!$B$7 * SQRT($A5)),TRUE),_xlfn.NORM.S.DIST((LN(P$1 / MonteCarlo!$B$5) + (MonteCarlo!$B$9 - MonteCarlo!$B$7 ^ 2 / 2) *$A5) / (MonteCarlo!$B$7 * SQRT($A5)),TRUE)-1),"")</f>
        <v/>
      </c>
      <c r="Q5" t="str">
        <f>IFERROR(IF(OR(MonteCarlo!$B$4="C",MonteCarlo!$B$4="c"),_xlfn.NORM.S.DIST((LN(Q$1 / MonteCarlo!$B$5) + (MonteCarlo!$B$9 + MonteCarlo!$B$7 ^ 2 / 2) *$A5) / (MonteCarlo!$B$7 * SQRT($A5)),TRUE),_xlfn.NORM.S.DIST((LN(Q$1 / MonteCarlo!$B$5) + (MonteCarlo!$B$9 - MonteCarlo!$B$7 ^ 2 / 2) *$A5) / (MonteCarlo!$B$7 * SQRT($A5)),TRUE)-1),"")</f>
        <v/>
      </c>
      <c r="R5" t="str">
        <f>IFERROR(IF(OR(MonteCarlo!$B$4="C",MonteCarlo!$B$4="c"),_xlfn.NORM.S.DIST((LN(R$1 / MonteCarlo!$B$5) + (MonteCarlo!$B$9 + MonteCarlo!$B$7 ^ 2 / 2) *$A5) / (MonteCarlo!$B$7 * SQRT($A5)),TRUE),_xlfn.NORM.S.DIST((LN(R$1 / MonteCarlo!$B$5) + (MonteCarlo!$B$9 - MonteCarlo!$B$7 ^ 2 / 2) *$A5) / (MonteCarlo!$B$7 * SQRT($A5)),TRUE)-1),"")</f>
        <v/>
      </c>
      <c r="S5" t="str">
        <f>IFERROR(IF(OR(MonteCarlo!$B$4="C",MonteCarlo!$B$4="c"),_xlfn.NORM.S.DIST((LN(S$1 / MonteCarlo!$B$5) + (MonteCarlo!$B$9 + MonteCarlo!$B$7 ^ 2 / 2) *$A5) / (MonteCarlo!$B$7 * SQRT($A5)),TRUE),_xlfn.NORM.S.DIST((LN(S$1 / MonteCarlo!$B$5) + (MonteCarlo!$B$9 - MonteCarlo!$B$7 ^ 2 / 2) *$A5) / (MonteCarlo!$B$7 * SQRT($A5)),TRUE)-1),"")</f>
        <v/>
      </c>
      <c r="T5" t="str">
        <f>IFERROR(IF(OR(MonteCarlo!$B$4="C",MonteCarlo!$B$4="c"),_xlfn.NORM.S.DIST((LN(T$1 / MonteCarlo!$B$5) + (MonteCarlo!$B$9 + MonteCarlo!$B$7 ^ 2 / 2) *$A5) / (MonteCarlo!$B$7 * SQRT($A5)),TRUE),_xlfn.NORM.S.DIST((LN(T$1 / MonteCarlo!$B$5) + (MonteCarlo!$B$9 - MonteCarlo!$B$7 ^ 2 / 2) *$A5) / (MonteCarlo!$B$7 * SQRT($A5)),TRUE)-1),"")</f>
        <v/>
      </c>
      <c r="U5" t="str">
        <f>IFERROR(IF(OR(MonteCarlo!$B$4="C",MonteCarlo!$B$4="c"),_xlfn.NORM.S.DIST((LN(U$1 / MonteCarlo!$B$5) + (MonteCarlo!$B$9 + MonteCarlo!$B$7 ^ 2 / 2) *$A5) / (MonteCarlo!$B$7 * SQRT($A5)),TRUE),_xlfn.NORM.S.DIST((LN(U$1 / MonteCarlo!$B$5) + (MonteCarlo!$B$9 - MonteCarlo!$B$7 ^ 2 / 2) *$A5) / (MonteCarlo!$B$7 * SQRT($A5)),TRUE)-1),"")</f>
        <v/>
      </c>
      <c r="V5" t="str">
        <f>IFERROR(IF(OR(MonteCarlo!$B$4="C",MonteCarlo!$B$4="c"),_xlfn.NORM.S.DIST((LN(V$1 / MonteCarlo!$B$5) + (MonteCarlo!$B$9 + MonteCarlo!$B$7 ^ 2 / 2) *$A5) / (MonteCarlo!$B$7 * SQRT($A5)),TRUE),_xlfn.NORM.S.DIST((LN(V$1 / MonteCarlo!$B$5) + (MonteCarlo!$B$9 - MonteCarlo!$B$7 ^ 2 / 2) *$A5) / (MonteCarlo!$B$7 * SQRT($A5)),TRUE)-1),"")</f>
        <v/>
      </c>
      <c r="W5" t="str">
        <f>IFERROR(IF(OR(MonteCarlo!$B$4="C",MonteCarlo!$B$4="c"),_xlfn.NORM.S.DIST((LN(W$1 / MonteCarlo!$B$5) + (MonteCarlo!$B$9 + MonteCarlo!$B$7 ^ 2 / 2) *$A5) / (MonteCarlo!$B$7 * SQRT($A5)),TRUE),_xlfn.NORM.S.DIST((LN(W$1 / MonteCarlo!$B$5) + (MonteCarlo!$B$9 - MonteCarlo!$B$7 ^ 2 / 2) *$A5) / (MonteCarlo!$B$7 * SQRT($A5)),TRUE)-1),"")</f>
        <v/>
      </c>
      <c r="X5" t="str">
        <f>IFERROR(IF(OR(MonteCarlo!$B$4="C",MonteCarlo!$B$4="c"),_xlfn.NORM.S.DIST((LN(X$1 / MonteCarlo!$B$5) + (MonteCarlo!$B$9 + MonteCarlo!$B$7 ^ 2 / 2) *$A5) / (MonteCarlo!$B$7 * SQRT($A5)),TRUE),_xlfn.NORM.S.DIST((LN(X$1 / MonteCarlo!$B$5) + (MonteCarlo!$B$9 - MonteCarlo!$B$7 ^ 2 / 2) *$A5) / (MonteCarlo!$B$7 * SQRT($A5)),TRUE)-1),"")</f>
        <v/>
      </c>
      <c r="Y5" t="str">
        <f>IFERROR(IF(OR(MonteCarlo!$B$4="C",MonteCarlo!$B$4="c"),_xlfn.NORM.S.DIST((LN(Y$1 / MonteCarlo!$B$5) + (MonteCarlo!$B$9 + MonteCarlo!$B$7 ^ 2 / 2) *$A5) / (MonteCarlo!$B$7 * SQRT($A5)),TRUE),_xlfn.NORM.S.DIST((LN(Y$1 / MonteCarlo!$B$5) + (MonteCarlo!$B$9 - MonteCarlo!$B$7 ^ 2 / 2) *$A5) / (MonteCarlo!$B$7 * SQRT($A5)),TRUE)-1),"")</f>
        <v/>
      </c>
      <c r="Z5" t="str">
        <f>IFERROR(IF(OR(MonteCarlo!$B$4="C",MonteCarlo!$B$4="c"),_xlfn.NORM.S.DIST((LN(Z$1 / MonteCarlo!$B$5) + (MonteCarlo!$B$9 + MonteCarlo!$B$7 ^ 2 / 2) *$A5) / (MonteCarlo!$B$7 * SQRT($A5)),TRUE),_xlfn.NORM.S.DIST((LN(Z$1 / MonteCarlo!$B$5) + (MonteCarlo!$B$9 - MonteCarlo!$B$7 ^ 2 / 2) *$A5) / (MonteCarlo!$B$7 * SQRT($A5)),TRUE)-1),"")</f>
        <v/>
      </c>
      <c r="AA5" t="str">
        <f>IFERROR(IF(OR(MonteCarlo!$B$4="C",MonteCarlo!$B$4="c"),_xlfn.NORM.S.DIST((LN(AA$1 / MonteCarlo!$B$5) + (MonteCarlo!$B$9 + MonteCarlo!$B$7 ^ 2 / 2) *$A5) / (MonteCarlo!$B$7 * SQRT($A5)),TRUE),_xlfn.NORM.S.DIST((LN(AA$1 / MonteCarlo!$B$5) + (MonteCarlo!$B$9 - MonteCarlo!$B$7 ^ 2 / 2) *$A5) / (MonteCarlo!$B$7 * SQRT($A5)),TRUE)-1),"")</f>
        <v/>
      </c>
      <c r="AB5" t="str">
        <f>IFERROR(IF(OR(MonteCarlo!$B$4="C",MonteCarlo!$B$4="c"),_xlfn.NORM.S.DIST((LN(AB$1 / MonteCarlo!$B$5) + (MonteCarlo!$B$9 + MonteCarlo!$B$7 ^ 2 / 2) *$A5) / (MonteCarlo!$B$7 * SQRT($A5)),TRUE),_xlfn.NORM.S.DIST((LN(AB$1 / MonteCarlo!$B$5) + (MonteCarlo!$B$9 - MonteCarlo!$B$7 ^ 2 / 2) *$A5) / (MonteCarlo!$B$7 * SQRT($A5)),TRUE)-1),"")</f>
        <v/>
      </c>
      <c r="AC5" t="str">
        <f>IFERROR(IF(OR(MonteCarlo!$B$4="C",MonteCarlo!$B$4="c"),_xlfn.NORM.S.DIST((LN(AC$1 / MonteCarlo!$B$5) + (MonteCarlo!$B$9 + MonteCarlo!$B$7 ^ 2 / 2) *$A5) / (MonteCarlo!$B$7 * SQRT($A5)),TRUE),_xlfn.NORM.S.DIST((LN(AC$1 / MonteCarlo!$B$5) + (MonteCarlo!$B$9 - MonteCarlo!$B$7 ^ 2 / 2) *$A5) / (MonteCarlo!$B$7 * SQRT($A5)),TRUE)-1),"")</f>
        <v/>
      </c>
      <c r="AD5" t="str">
        <f>IFERROR(IF(OR(MonteCarlo!$B$4="C",MonteCarlo!$B$4="c"),_xlfn.NORM.S.DIST((LN(AD$1 / MonteCarlo!$B$5) + (MonteCarlo!$B$9 + MonteCarlo!$B$7 ^ 2 / 2) *$A5) / (MonteCarlo!$B$7 * SQRT($A5)),TRUE),_xlfn.NORM.S.DIST((LN(AD$1 / MonteCarlo!$B$5) + (MonteCarlo!$B$9 - MonteCarlo!$B$7 ^ 2 / 2) *$A5) / (MonteCarlo!$B$7 * SQRT($A5)),TRUE)-1),"")</f>
        <v/>
      </c>
      <c r="AE5" t="str">
        <f>IFERROR(IF(OR(MonteCarlo!$B$4="C",MonteCarlo!$B$4="c"),_xlfn.NORM.S.DIST((LN(AE$1 / MonteCarlo!$B$5) + (MonteCarlo!$B$9 + MonteCarlo!$B$7 ^ 2 / 2) *$A5) / (MonteCarlo!$B$7 * SQRT($A5)),TRUE),_xlfn.NORM.S.DIST((LN(AE$1 / MonteCarlo!$B$5) + (MonteCarlo!$B$9 - MonteCarlo!$B$7 ^ 2 / 2) *$A5) / (MonteCarlo!$B$7 * SQRT($A5)),TRUE)-1),"")</f>
        <v/>
      </c>
      <c r="AF5" t="str">
        <f>IFERROR(IF(OR(MonteCarlo!$B$4="C",MonteCarlo!$B$4="c"),_xlfn.NORM.S.DIST((LN(AF$1 / MonteCarlo!$B$5) + (MonteCarlo!$B$9 + MonteCarlo!$B$7 ^ 2 / 2) *$A5) / (MonteCarlo!$B$7 * SQRT($A5)),TRUE),_xlfn.NORM.S.DIST((LN(AF$1 / MonteCarlo!$B$5) + (MonteCarlo!$B$9 - MonteCarlo!$B$7 ^ 2 / 2) *$A5) / (MonteCarlo!$B$7 * SQRT($A5)),TRUE)-1),"")</f>
        <v/>
      </c>
    </row>
    <row r="6" spans="2:32" x14ac:dyDescent="0.25">
      <c r="B6" t="str">
        <f>IFERROR(IF(OR(MonteCarlo!$B$4="C",MonteCarlo!$B$4="c"),_xlfn.NORM.S.DIST((LN(B$1 / MonteCarlo!$B$5) + (MonteCarlo!$B$9 + MonteCarlo!$B$7 ^ 2 / 2) *$A6) / (MonteCarlo!$B$7 * SQRT($A6)),TRUE),_xlfn.NORM.S.DIST((LN(B$1 / MonteCarlo!$B$5) + (MonteCarlo!$B$9 - MonteCarlo!$B$7 ^ 2 / 2) *$A6) / (MonteCarlo!$B$7 * SQRT($A6)),TRUE)-1),"")</f>
        <v/>
      </c>
      <c r="C6" t="str">
        <f>IFERROR(IF(OR(MonteCarlo!$B$4="C",MonteCarlo!$B$4="c"),_xlfn.NORM.S.DIST((LN(C$1 / MonteCarlo!$B$5) + (MonteCarlo!$B$9 + MonteCarlo!$B$7 ^ 2 / 2) *$A6) / (MonteCarlo!$B$7 * SQRT($A6)),TRUE),_xlfn.NORM.S.DIST((LN(C$1 / MonteCarlo!$B$5) + (MonteCarlo!$B$9 - MonteCarlo!$B$7 ^ 2 / 2) *$A6) / (MonteCarlo!$B$7 * SQRT($A6)),TRUE)-1),"")</f>
        <v/>
      </c>
      <c r="D6" t="str">
        <f>IFERROR(IF(OR(MonteCarlo!$B$4="C",MonteCarlo!$B$4="c"),_xlfn.NORM.S.DIST((LN(D$1 / MonteCarlo!$B$5) + (MonteCarlo!$B$9 + MonteCarlo!$B$7 ^ 2 / 2) *$A6) / (MonteCarlo!$B$7 * SQRT($A6)),TRUE),_xlfn.NORM.S.DIST((LN(D$1 / MonteCarlo!$B$5) + (MonteCarlo!$B$9 - MonteCarlo!$B$7 ^ 2 / 2) *$A6) / (MonteCarlo!$B$7 * SQRT($A6)),TRUE)-1),"")</f>
        <v/>
      </c>
      <c r="E6" t="str">
        <f>IFERROR(IF(OR(MonteCarlo!$B$4="C",MonteCarlo!$B$4="c"),_xlfn.NORM.S.DIST((LN(E$1 / MonteCarlo!$B$5) + (MonteCarlo!$B$9 + MonteCarlo!$B$7 ^ 2 / 2) *$A6) / (MonteCarlo!$B$7 * SQRT($A6)),TRUE),_xlfn.NORM.S.DIST((LN(E$1 / MonteCarlo!$B$5) + (MonteCarlo!$B$9 - MonteCarlo!$B$7 ^ 2 / 2) *$A6) / (MonteCarlo!$B$7 * SQRT($A6)),TRUE)-1),"")</f>
        <v/>
      </c>
      <c r="F6" t="str">
        <f>IFERROR(IF(OR(MonteCarlo!$B$4="C",MonteCarlo!$B$4="c"),_xlfn.NORM.S.DIST((LN(F$1 / MonteCarlo!$B$5) + (MonteCarlo!$B$9 + MonteCarlo!$B$7 ^ 2 / 2) *$A6) / (MonteCarlo!$B$7 * SQRT($A6)),TRUE),_xlfn.NORM.S.DIST((LN(F$1 / MonteCarlo!$B$5) + (MonteCarlo!$B$9 - MonteCarlo!$B$7 ^ 2 / 2) *$A6) / (MonteCarlo!$B$7 * SQRT($A6)),TRUE)-1),"")</f>
        <v/>
      </c>
      <c r="G6" t="str">
        <f>IFERROR(IF(OR(MonteCarlo!$B$4="C",MonteCarlo!$B$4="c"),_xlfn.NORM.S.DIST((LN(G$1 / MonteCarlo!$B$5) + (MonteCarlo!$B$9 + MonteCarlo!$B$7 ^ 2 / 2) *$A6) / (MonteCarlo!$B$7 * SQRT($A6)),TRUE),_xlfn.NORM.S.DIST((LN(G$1 / MonteCarlo!$B$5) + (MonteCarlo!$B$9 - MonteCarlo!$B$7 ^ 2 / 2) *$A6) / (MonteCarlo!$B$7 * SQRT($A6)),TRUE)-1),"")</f>
        <v/>
      </c>
      <c r="H6" t="str">
        <f>IFERROR(IF(OR(MonteCarlo!$B$4="C",MonteCarlo!$B$4="c"),_xlfn.NORM.S.DIST((LN(H$1 / MonteCarlo!$B$5) + (MonteCarlo!$B$9 + MonteCarlo!$B$7 ^ 2 / 2) *$A6) / (MonteCarlo!$B$7 * SQRT($A6)),TRUE),_xlfn.NORM.S.DIST((LN(H$1 / MonteCarlo!$B$5) + (MonteCarlo!$B$9 - MonteCarlo!$B$7 ^ 2 / 2) *$A6) / (MonteCarlo!$B$7 * SQRT($A6)),TRUE)-1),"")</f>
        <v/>
      </c>
      <c r="I6" t="str">
        <f>IFERROR(IF(OR(MonteCarlo!$B$4="C",MonteCarlo!$B$4="c"),_xlfn.NORM.S.DIST((LN(I$1 / MonteCarlo!$B$5) + (MonteCarlo!$B$9 + MonteCarlo!$B$7 ^ 2 / 2) *$A6) / (MonteCarlo!$B$7 * SQRT($A6)),TRUE),_xlfn.NORM.S.DIST((LN(I$1 / MonteCarlo!$B$5) + (MonteCarlo!$B$9 - MonteCarlo!$B$7 ^ 2 / 2) *$A6) / (MonteCarlo!$B$7 * SQRT($A6)),TRUE)-1),"")</f>
        <v/>
      </c>
      <c r="J6" t="str">
        <f>IFERROR(IF(OR(MonteCarlo!$B$4="C",MonteCarlo!$B$4="c"),_xlfn.NORM.S.DIST((LN(J$1 / MonteCarlo!$B$5) + (MonteCarlo!$B$9 + MonteCarlo!$B$7 ^ 2 / 2) *$A6) / (MonteCarlo!$B$7 * SQRT($A6)),TRUE),_xlfn.NORM.S.DIST((LN(J$1 / MonteCarlo!$B$5) + (MonteCarlo!$B$9 - MonteCarlo!$B$7 ^ 2 / 2) *$A6) / (MonteCarlo!$B$7 * SQRT($A6)),TRUE)-1),"")</f>
        <v/>
      </c>
      <c r="K6" t="str">
        <f>IFERROR(IF(OR(MonteCarlo!$B$4="C",MonteCarlo!$B$4="c"),_xlfn.NORM.S.DIST((LN(K$1 / MonteCarlo!$B$5) + (MonteCarlo!$B$9 + MonteCarlo!$B$7 ^ 2 / 2) *$A6) / (MonteCarlo!$B$7 * SQRT($A6)),TRUE),_xlfn.NORM.S.DIST((LN(K$1 / MonteCarlo!$B$5) + (MonteCarlo!$B$9 - MonteCarlo!$B$7 ^ 2 / 2) *$A6) / (MonteCarlo!$B$7 * SQRT($A6)),TRUE)-1),"")</f>
        <v/>
      </c>
      <c r="L6" t="str">
        <f>IFERROR(IF(OR(MonteCarlo!$B$4="C",MonteCarlo!$B$4="c"),_xlfn.NORM.S.DIST((LN(L$1 / MonteCarlo!$B$5) + (MonteCarlo!$B$9 + MonteCarlo!$B$7 ^ 2 / 2) *$A6) / (MonteCarlo!$B$7 * SQRT($A6)),TRUE),_xlfn.NORM.S.DIST((LN(L$1 / MonteCarlo!$B$5) + (MonteCarlo!$B$9 - MonteCarlo!$B$7 ^ 2 / 2) *$A6) / (MonteCarlo!$B$7 * SQRT($A6)),TRUE)-1),"")</f>
        <v/>
      </c>
      <c r="M6" t="str">
        <f>IFERROR(IF(OR(MonteCarlo!$B$4="C",MonteCarlo!$B$4="c"),_xlfn.NORM.S.DIST((LN(M$1 / MonteCarlo!$B$5) + (MonteCarlo!$B$9 + MonteCarlo!$B$7 ^ 2 / 2) *$A6) / (MonteCarlo!$B$7 * SQRT($A6)),TRUE),_xlfn.NORM.S.DIST((LN(M$1 / MonteCarlo!$B$5) + (MonteCarlo!$B$9 - MonteCarlo!$B$7 ^ 2 / 2) *$A6) / (MonteCarlo!$B$7 * SQRT($A6)),TRUE)-1),"")</f>
        <v/>
      </c>
      <c r="N6" t="str">
        <f>IFERROR(IF(OR(MonteCarlo!$B$4="C",MonteCarlo!$B$4="c"),_xlfn.NORM.S.DIST((LN(N$1 / MonteCarlo!$B$5) + (MonteCarlo!$B$9 + MonteCarlo!$B$7 ^ 2 / 2) *$A6) / (MonteCarlo!$B$7 * SQRT($A6)),TRUE),_xlfn.NORM.S.DIST((LN(N$1 / MonteCarlo!$B$5) + (MonteCarlo!$B$9 - MonteCarlo!$B$7 ^ 2 / 2) *$A6) / (MonteCarlo!$B$7 * SQRT($A6)),TRUE)-1),"")</f>
        <v/>
      </c>
      <c r="O6" t="str">
        <f>IFERROR(IF(OR(MonteCarlo!$B$4="C",MonteCarlo!$B$4="c"),_xlfn.NORM.S.DIST((LN(O$1 / MonteCarlo!$B$5) + (MonteCarlo!$B$9 + MonteCarlo!$B$7 ^ 2 / 2) *$A6) / (MonteCarlo!$B$7 * SQRT($A6)),TRUE),_xlfn.NORM.S.DIST((LN(O$1 / MonteCarlo!$B$5) + (MonteCarlo!$B$9 - MonteCarlo!$B$7 ^ 2 / 2) *$A6) / (MonteCarlo!$B$7 * SQRT($A6)),TRUE)-1),"")</f>
        <v/>
      </c>
      <c r="P6" t="str">
        <f>IFERROR(IF(OR(MonteCarlo!$B$4="C",MonteCarlo!$B$4="c"),_xlfn.NORM.S.DIST((LN(P$1 / MonteCarlo!$B$5) + (MonteCarlo!$B$9 + MonteCarlo!$B$7 ^ 2 / 2) *$A6) / (MonteCarlo!$B$7 * SQRT($A6)),TRUE),_xlfn.NORM.S.DIST((LN(P$1 / MonteCarlo!$B$5) + (MonteCarlo!$B$9 - MonteCarlo!$B$7 ^ 2 / 2) *$A6) / (MonteCarlo!$B$7 * SQRT($A6)),TRUE)-1),"")</f>
        <v/>
      </c>
      <c r="Q6" t="str">
        <f>IFERROR(IF(OR(MonteCarlo!$B$4="C",MonteCarlo!$B$4="c"),_xlfn.NORM.S.DIST((LN(Q$1 / MonteCarlo!$B$5) + (MonteCarlo!$B$9 + MonteCarlo!$B$7 ^ 2 / 2) *$A6) / (MonteCarlo!$B$7 * SQRT($A6)),TRUE),_xlfn.NORM.S.DIST((LN(Q$1 / MonteCarlo!$B$5) + (MonteCarlo!$B$9 - MonteCarlo!$B$7 ^ 2 / 2) *$A6) / (MonteCarlo!$B$7 * SQRT($A6)),TRUE)-1),"")</f>
        <v/>
      </c>
      <c r="R6" t="str">
        <f>IFERROR(IF(OR(MonteCarlo!$B$4="C",MonteCarlo!$B$4="c"),_xlfn.NORM.S.DIST((LN(R$1 / MonteCarlo!$B$5) + (MonteCarlo!$B$9 + MonteCarlo!$B$7 ^ 2 / 2) *$A6) / (MonteCarlo!$B$7 * SQRT($A6)),TRUE),_xlfn.NORM.S.DIST((LN(R$1 / MonteCarlo!$B$5) + (MonteCarlo!$B$9 - MonteCarlo!$B$7 ^ 2 / 2) *$A6) / (MonteCarlo!$B$7 * SQRT($A6)),TRUE)-1),"")</f>
        <v/>
      </c>
      <c r="S6" t="str">
        <f>IFERROR(IF(OR(MonteCarlo!$B$4="C",MonteCarlo!$B$4="c"),_xlfn.NORM.S.DIST((LN(S$1 / MonteCarlo!$B$5) + (MonteCarlo!$B$9 + MonteCarlo!$B$7 ^ 2 / 2) *$A6) / (MonteCarlo!$B$7 * SQRT($A6)),TRUE),_xlfn.NORM.S.DIST((LN(S$1 / MonteCarlo!$B$5) + (MonteCarlo!$B$9 - MonteCarlo!$B$7 ^ 2 / 2) *$A6) / (MonteCarlo!$B$7 * SQRT($A6)),TRUE)-1),"")</f>
        <v/>
      </c>
      <c r="T6" t="str">
        <f>IFERROR(IF(OR(MonteCarlo!$B$4="C",MonteCarlo!$B$4="c"),_xlfn.NORM.S.DIST((LN(T$1 / MonteCarlo!$B$5) + (MonteCarlo!$B$9 + MonteCarlo!$B$7 ^ 2 / 2) *$A6) / (MonteCarlo!$B$7 * SQRT($A6)),TRUE),_xlfn.NORM.S.DIST((LN(T$1 / MonteCarlo!$B$5) + (MonteCarlo!$B$9 - MonteCarlo!$B$7 ^ 2 / 2) *$A6) / (MonteCarlo!$B$7 * SQRT($A6)),TRUE)-1),"")</f>
        <v/>
      </c>
      <c r="U6" t="str">
        <f>IFERROR(IF(OR(MonteCarlo!$B$4="C",MonteCarlo!$B$4="c"),_xlfn.NORM.S.DIST((LN(U$1 / MonteCarlo!$B$5) + (MonteCarlo!$B$9 + MonteCarlo!$B$7 ^ 2 / 2) *$A6) / (MonteCarlo!$B$7 * SQRT($A6)),TRUE),_xlfn.NORM.S.DIST((LN(U$1 / MonteCarlo!$B$5) + (MonteCarlo!$B$9 - MonteCarlo!$B$7 ^ 2 / 2) *$A6) / (MonteCarlo!$B$7 * SQRT($A6)),TRUE)-1),"")</f>
        <v/>
      </c>
      <c r="V6" t="str">
        <f>IFERROR(IF(OR(MonteCarlo!$B$4="C",MonteCarlo!$B$4="c"),_xlfn.NORM.S.DIST((LN(V$1 / MonteCarlo!$B$5) + (MonteCarlo!$B$9 + MonteCarlo!$B$7 ^ 2 / 2) *$A6) / (MonteCarlo!$B$7 * SQRT($A6)),TRUE),_xlfn.NORM.S.DIST((LN(V$1 / MonteCarlo!$B$5) + (MonteCarlo!$B$9 - MonteCarlo!$B$7 ^ 2 / 2) *$A6) / (MonteCarlo!$B$7 * SQRT($A6)),TRUE)-1),"")</f>
        <v/>
      </c>
      <c r="W6" t="str">
        <f>IFERROR(IF(OR(MonteCarlo!$B$4="C",MonteCarlo!$B$4="c"),_xlfn.NORM.S.DIST((LN(W$1 / MonteCarlo!$B$5) + (MonteCarlo!$B$9 + MonteCarlo!$B$7 ^ 2 / 2) *$A6) / (MonteCarlo!$B$7 * SQRT($A6)),TRUE),_xlfn.NORM.S.DIST((LN(W$1 / MonteCarlo!$B$5) + (MonteCarlo!$B$9 - MonteCarlo!$B$7 ^ 2 / 2) *$A6) / (MonteCarlo!$B$7 * SQRT($A6)),TRUE)-1),"")</f>
        <v/>
      </c>
      <c r="X6" t="str">
        <f>IFERROR(IF(OR(MonteCarlo!$B$4="C",MonteCarlo!$B$4="c"),_xlfn.NORM.S.DIST((LN(X$1 / MonteCarlo!$B$5) + (MonteCarlo!$B$9 + MonteCarlo!$B$7 ^ 2 / 2) *$A6) / (MonteCarlo!$B$7 * SQRT($A6)),TRUE),_xlfn.NORM.S.DIST((LN(X$1 / MonteCarlo!$B$5) + (MonteCarlo!$B$9 - MonteCarlo!$B$7 ^ 2 / 2) *$A6) / (MonteCarlo!$B$7 * SQRT($A6)),TRUE)-1),"")</f>
        <v/>
      </c>
      <c r="Y6" t="str">
        <f>IFERROR(IF(OR(MonteCarlo!$B$4="C",MonteCarlo!$B$4="c"),_xlfn.NORM.S.DIST((LN(Y$1 / MonteCarlo!$B$5) + (MonteCarlo!$B$9 + MonteCarlo!$B$7 ^ 2 / 2) *$A6) / (MonteCarlo!$B$7 * SQRT($A6)),TRUE),_xlfn.NORM.S.DIST((LN(Y$1 / MonteCarlo!$B$5) + (MonteCarlo!$B$9 - MonteCarlo!$B$7 ^ 2 / 2) *$A6) / (MonteCarlo!$B$7 * SQRT($A6)),TRUE)-1),"")</f>
        <v/>
      </c>
      <c r="Z6" t="str">
        <f>IFERROR(IF(OR(MonteCarlo!$B$4="C",MonteCarlo!$B$4="c"),_xlfn.NORM.S.DIST((LN(Z$1 / MonteCarlo!$B$5) + (MonteCarlo!$B$9 + MonteCarlo!$B$7 ^ 2 / 2) *$A6) / (MonteCarlo!$B$7 * SQRT($A6)),TRUE),_xlfn.NORM.S.DIST((LN(Z$1 / MonteCarlo!$B$5) + (MonteCarlo!$B$9 - MonteCarlo!$B$7 ^ 2 / 2) *$A6) / (MonteCarlo!$B$7 * SQRT($A6)),TRUE)-1),"")</f>
        <v/>
      </c>
      <c r="AA6" t="str">
        <f>IFERROR(IF(OR(MonteCarlo!$B$4="C",MonteCarlo!$B$4="c"),_xlfn.NORM.S.DIST((LN(AA$1 / MonteCarlo!$B$5) + (MonteCarlo!$B$9 + MonteCarlo!$B$7 ^ 2 / 2) *$A6) / (MonteCarlo!$B$7 * SQRT($A6)),TRUE),_xlfn.NORM.S.DIST((LN(AA$1 / MonteCarlo!$B$5) + (MonteCarlo!$B$9 - MonteCarlo!$B$7 ^ 2 / 2) *$A6) / (MonteCarlo!$B$7 * SQRT($A6)),TRUE)-1),"")</f>
        <v/>
      </c>
      <c r="AB6" t="str">
        <f>IFERROR(IF(OR(MonteCarlo!$B$4="C",MonteCarlo!$B$4="c"),_xlfn.NORM.S.DIST((LN(AB$1 / MonteCarlo!$B$5) + (MonteCarlo!$B$9 + MonteCarlo!$B$7 ^ 2 / 2) *$A6) / (MonteCarlo!$B$7 * SQRT($A6)),TRUE),_xlfn.NORM.S.DIST((LN(AB$1 / MonteCarlo!$B$5) + (MonteCarlo!$B$9 - MonteCarlo!$B$7 ^ 2 / 2) *$A6) / (MonteCarlo!$B$7 * SQRT($A6)),TRUE)-1),"")</f>
        <v/>
      </c>
      <c r="AC6" t="str">
        <f>IFERROR(IF(OR(MonteCarlo!$B$4="C",MonteCarlo!$B$4="c"),_xlfn.NORM.S.DIST((LN(AC$1 / MonteCarlo!$B$5) + (MonteCarlo!$B$9 + MonteCarlo!$B$7 ^ 2 / 2) *$A6) / (MonteCarlo!$B$7 * SQRT($A6)),TRUE),_xlfn.NORM.S.DIST((LN(AC$1 / MonteCarlo!$B$5) + (MonteCarlo!$B$9 - MonteCarlo!$B$7 ^ 2 / 2) *$A6) / (MonteCarlo!$B$7 * SQRT($A6)),TRUE)-1),"")</f>
        <v/>
      </c>
      <c r="AD6" t="str">
        <f>IFERROR(IF(OR(MonteCarlo!$B$4="C",MonteCarlo!$B$4="c"),_xlfn.NORM.S.DIST((LN(AD$1 / MonteCarlo!$B$5) + (MonteCarlo!$B$9 + MonteCarlo!$B$7 ^ 2 / 2) *$A6) / (MonteCarlo!$B$7 * SQRT($A6)),TRUE),_xlfn.NORM.S.DIST((LN(AD$1 / MonteCarlo!$B$5) + (MonteCarlo!$B$9 - MonteCarlo!$B$7 ^ 2 / 2) *$A6) / (MonteCarlo!$B$7 * SQRT($A6)),TRUE)-1),"")</f>
        <v/>
      </c>
      <c r="AE6" t="str">
        <f>IFERROR(IF(OR(MonteCarlo!$B$4="C",MonteCarlo!$B$4="c"),_xlfn.NORM.S.DIST((LN(AE$1 / MonteCarlo!$B$5) + (MonteCarlo!$B$9 + MonteCarlo!$B$7 ^ 2 / 2) *$A6) / (MonteCarlo!$B$7 * SQRT($A6)),TRUE),_xlfn.NORM.S.DIST((LN(AE$1 / MonteCarlo!$B$5) + (MonteCarlo!$B$9 - MonteCarlo!$B$7 ^ 2 / 2) *$A6) / (MonteCarlo!$B$7 * SQRT($A6)),TRUE)-1),"")</f>
        <v/>
      </c>
      <c r="AF6" t="str">
        <f>IFERROR(IF(OR(MonteCarlo!$B$4="C",MonteCarlo!$B$4="c"),_xlfn.NORM.S.DIST((LN(AF$1 / MonteCarlo!$B$5) + (MonteCarlo!$B$9 + MonteCarlo!$B$7 ^ 2 / 2) *$A6) / (MonteCarlo!$B$7 * SQRT($A6)),TRUE),_xlfn.NORM.S.DIST((LN(AF$1 / MonteCarlo!$B$5) + (MonteCarlo!$B$9 - MonteCarlo!$B$7 ^ 2 / 2) *$A6) / (MonteCarlo!$B$7 * SQRT($A6)),TRUE)-1),"")</f>
        <v/>
      </c>
    </row>
    <row r="7" spans="2:32" x14ac:dyDescent="0.25">
      <c r="B7" t="str">
        <f>IFERROR(IF(OR(MonteCarlo!$B$4="C",MonteCarlo!$B$4="c"),_xlfn.NORM.S.DIST((LN(B$1 / MonteCarlo!$B$5) + (MonteCarlo!$B$9 + MonteCarlo!$B$7 ^ 2 / 2) *$A7) / (MonteCarlo!$B$7 * SQRT($A7)),TRUE),_xlfn.NORM.S.DIST((LN(B$1 / MonteCarlo!$B$5) + (MonteCarlo!$B$9 - MonteCarlo!$B$7 ^ 2 / 2) *$A7) / (MonteCarlo!$B$7 * SQRT($A7)),TRUE)-1),"")</f>
        <v/>
      </c>
      <c r="C7" t="str">
        <f>IFERROR(IF(OR(MonteCarlo!$B$4="C",MonteCarlo!$B$4="c"),_xlfn.NORM.S.DIST((LN(C$1 / MonteCarlo!$B$5) + (MonteCarlo!$B$9 + MonteCarlo!$B$7 ^ 2 / 2) *$A7) / (MonteCarlo!$B$7 * SQRT($A7)),TRUE),_xlfn.NORM.S.DIST((LN(C$1 / MonteCarlo!$B$5) + (MonteCarlo!$B$9 - MonteCarlo!$B$7 ^ 2 / 2) *$A7) / (MonteCarlo!$B$7 * SQRT($A7)),TRUE)-1),"")</f>
        <v/>
      </c>
      <c r="D7" t="str">
        <f>IFERROR(IF(OR(MonteCarlo!$B$4="C",MonteCarlo!$B$4="c"),_xlfn.NORM.S.DIST((LN(D$1 / MonteCarlo!$B$5) + (MonteCarlo!$B$9 + MonteCarlo!$B$7 ^ 2 / 2) *$A7) / (MonteCarlo!$B$7 * SQRT($A7)),TRUE),_xlfn.NORM.S.DIST((LN(D$1 / MonteCarlo!$B$5) + (MonteCarlo!$B$9 - MonteCarlo!$B$7 ^ 2 / 2) *$A7) / (MonteCarlo!$B$7 * SQRT($A7)),TRUE)-1),"")</f>
        <v/>
      </c>
      <c r="E7" t="str">
        <f>IFERROR(IF(OR(MonteCarlo!$B$4="C",MonteCarlo!$B$4="c"),_xlfn.NORM.S.DIST((LN(E$1 / MonteCarlo!$B$5) + (MonteCarlo!$B$9 + MonteCarlo!$B$7 ^ 2 / 2) *$A7) / (MonteCarlo!$B$7 * SQRT($A7)),TRUE),_xlfn.NORM.S.DIST((LN(E$1 / MonteCarlo!$B$5) + (MonteCarlo!$B$9 - MonteCarlo!$B$7 ^ 2 / 2) *$A7) / (MonteCarlo!$B$7 * SQRT($A7)),TRUE)-1),"")</f>
        <v/>
      </c>
      <c r="F7" t="str">
        <f>IFERROR(IF(OR(MonteCarlo!$B$4="C",MonteCarlo!$B$4="c"),_xlfn.NORM.S.DIST((LN(F$1 / MonteCarlo!$B$5) + (MonteCarlo!$B$9 + MonteCarlo!$B$7 ^ 2 / 2) *$A7) / (MonteCarlo!$B$7 * SQRT($A7)),TRUE),_xlfn.NORM.S.DIST((LN(F$1 / MonteCarlo!$B$5) + (MonteCarlo!$B$9 - MonteCarlo!$B$7 ^ 2 / 2) *$A7) / (MonteCarlo!$B$7 * SQRT($A7)),TRUE)-1),"")</f>
        <v/>
      </c>
      <c r="G7" t="str">
        <f>IFERROR(IF(OR(MonteCarlo!$B$4="C",MonteCarlo!$B$4="c"),_xlfn.NORM.S.DIST((LN(G$1 / MonteCarlo!$B$5) + (MonteCarlo!$B$9 + MonteCarlo!$B$7 ^ 2 / 2) *$A7) / (MonteCarlo!$B$7 * SQRT($A7)),TRUE),_xlfn.NORM.S.DIST((LN(G$1 / MonteCarlo!$B$5) + (MonteCarlo!$B$9 - MonteCarlo!$B$7 ^ 2 / 2) *$A7) / (MonteCarlo!$B$7 * SQRT($A7)),TRUE)-1),"")</f>
        <v/>
      </c>
      <c r="H7" t="str">
        <f>IFERROR(IF(OR(MonteCarlo!$B$4="C",MonteCarlo!$B$4="c"),_xlfn.NORM.S.DIST((LN(H$1 / MonteCarlo!$B$5) + (MonteCarlo!$B$9 + MonteCarlo!$B$7 ^ 2 / 2) *$A7) / (MonteCarlo!$B$7 * SQRT($A7)),TRUE),_xlfn.NORM.S.DIST((LN(H$1 / MonteCarlo!$B$5) + (MonteCarlo!$B$9 - MonteCarlo!$B$7 ^ 2 / 2) *$A7) / (MonteCarlo!$B$7 * SQRT($A7)),TRUE)-1),"")</f>
        <v/>
      </c>
      <c r="I7" t="str">
        <f>IFERROR(IF(OR(MonteCarlo!$B$4="C",MonteCarlo!$B$4="c"),_xlfn.NORM.S.DIST((LN(I$1 / MonteCarlo!$B$5) + (MonteCarlo!$B$9 + MonteCarlo!$B$7 ^ 2 / 2) *$A7) / (MonteCarlo!$B$7 * SQRT($A7)),TRUE),_xlfn.NORM.S.DIST((LN(I$1 / MonteCarlo!$B$5) + (MonteCarlo!$B$9 - MonteCarlo!$B$7 ^ 2 / 2) *$A7) / (MonteCarlo!$B$7 * SQRT($A7)),TRUE)-1),"")</f>
        <v/>
      </c>
      <c r="J7" t="str">
        <f>IFERROR(IF(OR(MonteCarlo!$B$4="C",MonteCarlo!$B$4="c"),_xlfn.NORM.S.DIST((LN(J$1 / MonteCarlo!$B$5) + (MonteCarlo!$B$9 + MonteCarlo!$B$7 ^ 2 / 2) *$A7) / (MonteCarlo!$B$7 * SQRT($A7)),TRUE),_xlfn.NORM.S.DIST((LN(J$1 / MonteCarlo!$B$5) + (MonteCarlo!$B$9 - MonteCarlo!$B$7 ^ 2 / 2) *$A7) / (MonteCarlo!$B$7 * SQRT($A7)),TRUE)-1),"")</f>
        <v/>
      </c>
      <c r="K7" t="str">
        <f>IFERROR(IF(OR(MonteCarlo!$B$4="C",MonteCarlo!$B$4="c"),_xlfn.NORM.S.DIST((LN(K$1 / MonteCarlo!$B$5) + (MonteCarlo!$B$9 + MonteCarlo!$B$7 ^ 2 / 2) *$A7) / (MonteCarlo!$B$7 * SQRT($A7)),TRUE),_xlfn.NORM.S.DIST((LN(K$1 / MonteCarlo!$B$5) + (MonteCarlo!$B$9 - MonteCarlo!$B$7 ^ 2 / 2) *$A7) / (MonteCarlo!$B$7 * SQRT($A7)),TRUE)-1),"")</f>
        <v/>
      </c>
      <c r="L7" t="str">
        <f>IFERROR(IF(OR(MonteCarlo!$B$4="C",MonteCarlo!$B$4="c"),_xlfn.NORM.S.DIST((LN(L$1 / MonteCarlo!$B$5) + (MonteCarlo!$B$9 + MonteCarlo!$B$7 ^ 2 / 2) *$A7) / (MonteCarlo!$B$7 * SQRT($A7)),TRUE),_xlfn.NORM.S.DIST((LN(L$1 / MonteCarlo!$B$5) + (MonteCarlo!$B$9 - MonteCarlo!$B$7 ^ 2 / 2) *$A7) / (MonteCarlo!$B$7 * SQRT($A7)),TRUE)-1),"")</f>
        <v/>
      </c>
      <c r="M7" t="str">
        <f>IFERROR(IF(OR(MonteCarlo!$B$4="C",MonteCarlo!$B$4="c"),_xlfn.NORM.S.DIST((LN(M$1 / MonteCarlo!$B$5) + (MonteCarlo!$B$9 + MonteCarlo!$B$7 ^ 2 / 2) *$A7) / (MonteCarlo!$B$7 * SQRT($A7)),TRUE),_xlfn.NORM.S.DIST((LN(M$1 / MonteCarlo!$B$5) + (MonteCarlo!$B$9 - MonteCarlo!$B$7 ^ 2 / 2) *$A7) / (MonteCarlo!$B$7 * SQRT($A7)),TRUE)-1),"")</f>
        <v/>
      </c>
      <c r="N7" t="str">
        <f>IFERROR(IF(OR(MonteCarlo!$B$4="C",MonteCarlo!$B$4="c"),_xlfn.NORM.S.DIST((LN(N$1 / MonteCarlo!$B$5) + (MonteCarlo!$B$9 + MonteCarlo!$B$7 ^ 2 / 2) *$A7) / (MonteCarlo!$B$7 * SQRT($A7)),TRUE),_xlfn.NORM.S.DIST((LN(N$1 / MonteCarlo!$B$5) + (MonteCarlo!$B$9 - MonteCarlo!$B$7 ^ 2 / 2) *$A7) / (MonteCarlo!$B$7 * SQRT($A7)),TRUE)-1),"")</f>
        <v/>
      </c>
      <c r="O7" t="str">
        <f>IFERROR(IF(OR(MonteCarlo!$B$4="C",MonteCarlo!$B$4="c"),_xlfn.NORM.S.DIST((LN(O$1 / MonteCarlo!$B$5) + (MonteCarlo!$B$9 + MonteCarlo!$B$7 ^ 2 / 2) *$A7) / (MonteCarlo!$B$7 * SQRT($A7)),TRUE),_xlfn.NORM.S.DIST((LN(O$1 / MonteCarlo!$B$5) + (MonteCarlo!$B$9 - MonteCarlo!$B$7 ^ 2 / 2) *$A7) / (MonteCarlo!$B$7 * SQRT($A7)),TRUE)-1),"")</f>
        <v/>
      </c>
      <c r="P7" t="str">
        <f>IFERROR(IF(OR(MonteCarlo!$B$4="C",MonteCarlo!$B$4="c"),_xlfn.NORM.S.DIST((LN(P$1 / MonteCarlo!$B$5) + (MonteCarlo!$B$9 + MonteCarlo!$B$7 ^ 2 / 2) *$A7) / (MonteCarlo!$B$7 * SQRT($A7)),TRUE),_xlfn.NORM.S.DIST((LN(P$1 / MonteCarlo!$B$5) + (MonteCarlo!$B$9 - MonteCarlo!$B$7 ^ 2 / 2) *$A7) / (MonteCarlo!$B$7 * SQRT($A7)),TRUE)-1),"")</f>
        <v/>
      </c>
      <c r="Q7" t="str">
        <f>IFERROR(IF(OR(MonteCarlo!$B$4="C",MonteCarlo!$B$4="c"),_xlfn.NORM.S.DIST((LN(Q$1 / MonteCarlo!$B$5) + (MonteCarlo!$B$9 + MonteCarlo!$B$7 ^ 2 / 2) *$A7) / (MonteCarlo!$B$7 * SQRT($A7)),TRUE),_xlfn.NORM.S.DIST((LN(Q$1 / MonteCarlo!$B$5) + (MonteCarlo!$B$9 - MonteCarlo!$B$7 ^ 2 / 2) *$A7) / (MonteCarlo!$B$7 * SQRT($A7)),TRUE)-1),"")</f>
        <v/>
      </c>
      <c r="R7" t="str">
        <f>IFERROR(IF(OR(MonteCarlo!$B$4="C",MonteCarlo!$B$4="c"),_xlfn.NORM.S.DIST((LN(R$1 / MonteCarlo!$B$5) + (MonteCarlo!$B$9 + MonteCarlo!$B$7 ^ 2 / 2) *$A7) / (MonteCarlo!$B$7 * SQRT($A7)),TRUE),_xlfn.NORM.S.DIST((LN(R$1 / MonteCarlo!$B$5) + (MonteCarlo!$B$9 - MonteCarlo!$B$7 ^ 2 / 2) *$A7) / (MonteCarlo!$B$7 * SQRT($A7)),TRUE)-1),"")</f>
        <v/>
      </c>
      <c r="S7" t="str">
        <f>IFERROR(IF(OR(MonteCarlo!$B$4="C",MonteCarlo!$B$4="c"),_xlfn.NORM.S.DIST((LN(S$1 / MonteCarlo!$B$5) + (MonteCarlo!$B$9 + MonteCarlo!$B$7 ^ 2 / 2) *$A7) / (MonteCarlo!$B$7 * SQRT($A7)),TRUE),_xlfn.NORM.S.DIST((LN(S$1 / MonteCarlo!$B$5) + (MonteCarlo!$B$9 - MonteCarlo!$B$7 ^ 2 / 2) *$A7) / (MonteCarlo!$B$7 * SQRT($A7)),TRUE)-1),"")</f>
        <v/>
      </c>
      <c r="T7" t="str">
        <f>IFERROR(IF(OR(MonteCarlo!$B$4="C",MonteCarlo!$B$4="c"),_xlfn.NORM.S.DIST((LN(T$1 / MonteCarlo!$B$5) + (MonteCarlo!$B$9 + MonteCarlo!$B$7 ^ 2 / 2) *$A7) / (MonteCarlo!$B$7 * SQRT($A7)),TRUE),_xlfn.NORM.S.DIST((LN(T$1 / MonteCarlo!$B$5) + (MonteCarlo!$B$9 - MonteCarlo!$B$7 ^ 2 / 2) *$A7) / (MonteCarlo!$B$7 * SQRT($A7)),TRUE)-1),"")</f>
        <v/>
      </c>
      <c r="U7" t="str">
        <f>IFERROR(IF(OR(MonteCarlo!$B$4="C",MonteCarlo!$B$4="c"),_xlfn.NORM.S.DIST((LN(U$1 / MonteCarlo!$B$5) + (MonteCarlo!$B$9 + MonteCarlo!$B$7 ^ 2 / 2) *$A7) / (MonteCarlo!$B$7 * SQRT($A7)),TRUE),_xlfn.NORM.S.DIST((LN(U$1 / MonteCarlo!$B$5) + (MonteCarlo!$B$9 - MonteCarlo!$B$7 ^ 2 / 2) *$A7) / (MonteCarlo!$B$7 * SQRT($A7)),TRUE)-1),"")</f>
        <v/>
      </c>
      <c r="V7" t="str">
        <f>IFERROR(IF(OR(MonteCarlo!$B$4="C",MonteCarlo!$B$4="c"),_xlfn.NORM.S.DIST((LN(V$1 / MonteCarlo!$B$5) + (MonteCarlo!$B$9 + MonteCarlo!$B$7 ^ 2 / 2) *$A7) / (MonteCarlo!$B$7 * SQRT($A7)),TRUE),_xlfn.NORM.S.DIST((LN(V$1 / MonteCarlo!$B$5) + (MonteCarlo!$B$9 - MonteCarlo!$B$7 ^ 2 / 2) *$A7) / (MonteCarlo!$B$7 * SQRT($A7)),TRUE)-1),"")</f>
        <v/>
      </c>
      <c r="W7" t="str">
        <f>IFERROR(IF(OR(MonteCarlo!$B$4="C",MonteCarlo!$B$4="c"),_xlfn.NORM.S.DIST((LN(W$1 / MonteCarlo!$B$5) + (MonteCarlo!$B$9 + MonteCarlo!$B$7 ^ 2 / 2) *$A7) / (MonteCarlo!$B$7 * SQRT($A7)),TRUE),_xlfn.NORM.S.DIST((LN(W$1 / MonteCarlo!$B$5) + (MonteCarlo!$B$9 - MonteCarlo!$B$7 ^ 2 / 2) *$A7) / (MonteCarlo!$B$7 * SQRT($A7)),TRUE)-1),"")</f>
        <v/>
      </c>
      <c r="X7" t="str">
        <f>IFERROR(IF(OR(MonteCarlo!$B$4="C",MonteCarlo!$B$4="c"),_xlfn.NORM.S.DIST((LN(X$1 / MonteCarlo!$B$5) + (MonteCarlo!$B$9 + MonteCarlo!$B$7 ^ 2 / 2) *$A7) / (MonteCarlo!$B$7 * SQRT($A7)),TRUE),_xlfn.NORM.S.DIST((LN(X$1 / MonteCarlo!$B$5) + (MonteCarlo!$B$9 - MonteCarlo!$B$7 ^ 2 / 2) *$A7) / (MonteCarlo!$B$7 * SQRT($A7)),TRUE)-1),"")</f>
        <v/>
      </c>
      <c r="Y7" t="str">
        <f>IFERROR(IF(OR(MonteCarlo!$B$4="C",MonteCarlo!$B$4="c"),_xlfn.NORM.S.DIST((LN(Y$1 / MonteCarlo!$B$5) + (MonteCarlo!$B$9 + MonteCarlo!$B$7 ^ 2 / 2) *$A7) / (MonteCarlo!$B$7 * SQRT($A7)),TRUE),_xlfn.NORM.S.DIST((LN(Y$1 / MonteCarlo!$B$5) + (MonteCarlo!$B$9 - MonteCarlo!$B$7 ^ 2 / 2) *$A7) / (MonteCarlo!$B$7 * SQRT($A7)),TRUE)-1),"")</f>
        <v/>
      </c>
      <c r="Z7" t="str">
        <f>IFERROR(IF(OR(MonteCarlo!$B$4="C",MonteCarlo!$B$4="c"),_xlfn.NORM.S.DIST((LN(Z$1 / MonteCarlo!$B$5) + (MonteCarlo!$B$9 + MonteCarlo!$B$7 ^ 2 / 2) *$A7) / (MonteCarlo!$B$7 * SQRT($A7)),TRUE),_xlfn.NORM.S.DIST((LN(Z$1 / MonteCarlo!$B$5) + (MonteCarlo!$B$9 - MonteCarlo!$B$7 ^ 2 / 2) *$A7) / (MonteCarlo!$B$7 * SQRT($A7)),TRUE)-1),"")</f>
        <v/>
      </c>
      <c r="AA7" t="str">
        <f>IFERROR(IF(OR(MonteCarlo!$B$4="C",MonteCarlo!$B$4="c"),_xlfn.NORM.S.DIST((LN(AA$1 / MonteCarlo!$B$5) + (MonteCarlo!$B$9 + MonteCarlo!$B$7 ^ 2 / 2) *$A7) / (MonteCarlo!$B$7 * SQRT($A7)),TRUE),_xlfn.NORM.S.DIST((LN(AA$1 / MonteCarlo!$B$5) + (MonteCarlo!$B$9 - MonteCarlo!$B$7 ^ 2 / 2) *$A7) / (MonteCarlo!$B$7 * SQRT($A7)),TRUE)-1),"")</f>
        <v/>
      </c>
      <c r="AB7" t="str">
        <f>IFERROR(IF(OR(MonteCarlo!$B$4="C",MonteCarlo!$B$4="c"),_xlfn.NORM.S.DIST((LN(AB$1 / MonteCarlo!$B$5) + (MonteCarlo!$B$9 + MonteCarlo!$B$7 ^ 2 / 2) *$A7) / (MonteCarlo!$B$7 * SQRT($A7)),TRUE),_xlfn.NORM.S.DIST((LN(AB$1 / MonteCarlo!$B$5) + (MonteCarlo!$B$9 - MonteCarlo!$B$7 ^ 2 / 2) *$A7) / (MonteCarlo!$B$7 * SQRT($A7)),TRUE)-1),"")</f>
        <v/>
      </c>
      <c r="AC7" t="str">
        <f>IFERROR(IF(OR(MonteCarlo!$B$4="C",MonteCarlo!$B$4="c"),_xlfn.NORM.S.DIST((LN(AC$1 / MonteCarlo!$B$5) + (MonteCarlo!$B$9 + MonteCarlo!$B$7 ^ 2 / 2) *$A7) / (MonteCarlo!$B$7 * SQRT($A7)),TRUE),_xlfn.NORM.S.DIST((LN(AC$1 / MonteCarlo!$B$5) + (MonteCarlo!$B$9 - MonteCarlo!$B$7 ^ 2 / 2) *$A7) / (MonteCarlo!$B$7 * SQRT($A7)),TRUE)-1),"")</f>
        <v/>
      </c>
      <c r="AD7" t="str">
        <f>IFERROR(IF(OR(MonteCarlo!$B$4="C",MonteCarlo!$B$4="c"),_xlfn.NORM.S.DIST((LN(AD$1 / MonteCarlo!$B$5) + (MonteCarlo!$B$9 + MonteCarlo!$B$7 ^ 2 / 2) *$A7) / (MonteCarlo!$B$7 * SQRT($A7)),TRUE),_xlfn.NORM.S.DIST((LN(AD$1 / MonteCarlo!$B$5) + (MonteCarlo!$B$9 - MonteCarlo!$B$7 ^ 2 / 2) *$A7) / (MonteCarlo!$B$7 * SQRT($A7)),TRUE)-1),"")</f>
        <v/>
      </c>
      <c r="AE7" t="str">
        <f>IFERROR(IF(OR(MonteCarlo!$B$4="C",MonteCarlo!$B$4="c"),_xlfn.NORM.S.DIST((LN(AE$1 / MonteCarlo!$B$5) + (MonteCarlo!$B$9 + MonteCarlo!$B$7 ^ 2 / 2) *$A7) / (MonteCarlo!$B$7 * SQRT($A7)),TRUE),_xlfn.NORM.S.DIST((LN(AE$1 / MonteCarlo!$B$5) + (MonteCarlo!$B$9 - MonteCarlo!$B$7 ^ 2 / 2) *$A7) / (MonteCarlo!$B$7 * SQRT($A7)),TRUE)-1),"")</f>
        <v/>
      </c>
      <c r="AF7" t="str">
        <f>IFERROR(IF(OR(MonteCarlo!$B$4="C",MonteCarlo!$B$4="c"),_xlfn.NORM.S.DIST((LN(AF$1 / MonteCarlo!$B$5) + (MonteCarlo!$B$9 + MonteCarlo!$B$7 ^ 2 / 2) *$A7) / (MonteCarlo!$B$7 * SQRT($A7)),TRUE),_xlfn.NORM.S.DIST((LN(AF$1 / MonteCarlo!$B$5) + (MonteCarlo!$B$9 - MonteCarlo!$B$7 ^ 2 / 2) *$A7) / (MonteCarlo!$B$7 * SQRT($A7)),TRUE)-1),"")</f>
        <v/>
      </c>
    </row>
    <row r="8" spans="2:32" x14ac:dyDescent="0.25">
      <c r="B8" t="str">
        <f>IFERROR(IF(OR(MonteCarlo!$B$4="C",MonteCarlo!$B$4="c"),_xlfn.NORM.S.DIST((LN(B$1 / MonteCarlo!$B$5) + (MonteCarlo!$B$9 + MonteCarlo!$B$7 ^ 2 / 2) *$A8) / (MonteCarlo!$B$7 * SQRT($A8)),TRUE),_xlfn.NORM.S.DIST((LN(B$1 / MonteCarlo!$B$5) + (MonteCarlo!$B$9 - MonteCarlo!$B$7 ^ 2 / 2) *$A8) / (MonteCarlo!$B$7 * SQRT($A8)),TRUE)-1),"")</f>
        <v/>
      </c>
      <c r="C8" t="str">
        <f>IFERROR(IF(OR(MonteCarlo!$B$4="C",MonteCarlo!$B$4="c"),_xlfn.NORM.S.DIST((LN(C$1 / MonteCarlo!$B$5) + (MonteCarlo!$B$9 + MonteCarlo!$B$7 ^ 2 / 2) *$A8) / (MonteCarlo!$B$7 * SQRT($A8)),TRUE),_xlfn.NORM.S.DIST((LN(C$1 / MonteCarlo!$B$5) + (MonteCarlo!$B$9 - MonteCarlo!$B$7 ^ 2 / 2) *$A8) / (MonteCarlo!$B$7 * SQRT($A8)),TRUE)-1),"")</f>
        <v/>
      </c>
      <c r="D8" t="str">
        <f>IFERROR(IF(OR(MonteCarlo!$B$4="C",MonteCarlo!$B$4="c"),_xlfn.NORM.S.DIST((LN(D$1 / MonteCarlo!$B$5) + (MonteCarlo!$B$9 + MonteCarlo!$B$7 ^ 2 / 2) *$A8) / (MonteCarlo!$B$7 * SQRT($A8)),TRUE),_xlfn.NORM.S.DIST((LN(D$1 / MonteCarlo!$B$5) + (MonteCarlo!$B$9 - MonteCarlo!$B$7 ^ 2 / 2) *$A8) / (MonteCarlo!$B$7 * SQRT($A8)),TRUE)-1),"")</f>
        <v/>
      </c>
      <c r="E8" t="str">
        <f>IFERROR(IF(OR(MonteCarlo!$B$4="C",MonteCarlo!$B$4="c"),_xlfn.NORM.S.DIST((LN(E$1 / MonteCarlo!$B$5) + (MonteCarlo!$B$9 + MonteCarlo!$B$7 ^ 2 / 2) *$A8) / (MonteCarlo!$B$7 * SQRT($A8)),TRUE),_xlfn.NORM.S.DIST((LN(E$1 / MonteCarlo!$B$5) + (MonteCarlo!$B$9 - MonteCarlo!$B$7 ^ 2 / 2) *$A8) / (MonteCarlo!$B$7 * SQRT($A8)),TRUE)-1),"")</f>
        <v/>
      </c>
      <c r="F8" t="str">
        <f>IFERROR(IF(OR(MonteCarlo!$B$4="C",MonteCarlo!$B$4="c"),_xlfn.NORM.S.DIST((LN(F$1 / MonteCarlo!$B$5) + (MonteCarlo!$B$9 + MonteCarlo!$B$7 ^ 2 / 2) *$A8) / (MonteCarlo!$B$7 * SQRT($A8)),TRUE),_xlfn.NORM.S.DIST((LN(F$1 / MonteCarlo!$B$5) + (MonteCarlo!$B$9 - MonteCarlo!$B$7 ^ 2 / 2) *$A8) / (MonteCarlo!$B$7 * SQRT($A8)),TRUE)-1),"")</f>
        <v/>
      </c>
      <c r="G8" t="str">
        <f>IFERROR(IF(OR(MonteCarlo!$B$4="C",MonteCarlo!$B$4="c"),_xlfn.NORM.S.DIST((LN(G$1 / MonteCarlo!$B$5) + (MonteCarlo!$B$9 + MonteCarlo!$B$7 ^ 2 / 2) *$A8) / (MonteCarlo!$B$7 * SQRT($A8)),TRUE),_xlfn.NORM.S.DIST((LN(G$1 / MonteCarlo!$B$5) + (MonteCarlo!$B$9 - MonteCarlo!$B$7 ^ 2 / 2) *$A8) / (MonteCarlo!$B$7 * SQRT($A8)),TRUE)-1),"")</f>
        <v/>
      </c>
      <c r="H8" t="str">
        <f>IFERROR(IF(OR(MonteCarlo!$B$4="C",MonteCarlo!$B$4="c"),_xlfn.NORM.S.DIST((LN(H$1 / MonteCarlo!$B$5) + (MonteCarlo!$B$9 + MonteCarlo!$B$7 ^ 2 / 2) *$A8) / (MonteCarlo!$B$7 * SQRT($A8)),TRUE),_xlfn.NORM.S.DIST((LN(H$1 / MonteCarlo!$B$5) + (MonteCarlo!$B$9 - MonteCarlo!$B$7 ^ 2 / 2) *$A8) / (MonteCarlo!$B$7 * SQRT($A8)),TRUE)-1),"")</f>
        <v/>
      </c>
      <c r="I8" t="str">
        <f>IFERROR(IF(OR(MonteCarlo!$B$4="C",MonteCarlo!$B$4="c"),_xlfn.NORM.S.DIST((LN(I$1 / MonteCarlo!$B$5) + (MonteCarlo!$B$9 + MonteCarlo!$B$7 ^ 2 / 2) *$A8) / (MonteCarlo!$B$7 * SQRT($A8)),TRUE),_xlfn.NORM.S.DIST((LN(I$1 / MonteCarlo!$B$5) + (MonteCarlo!$B$9 - MonteCarlo!$B$7 ^ 2 / 2) *$A8) / (MonteCarlo!$B$7 * SQRT($A8)),TRUE)-1),"")</f>
        <v/>
      </c>
      <c r="J8" t="str">
        <f>IFERROR(IF(OR(MonteCarlo!$B$4="C",MonteCarlo!$B$4="c"),_xlfn.NORM.S.DIST((LN(J$1 / MonteCarlo!$B$5) + (MonteCarlo!$B$9 + MonteCarlo!$B$7 ^ 2 / 2) *$A8) / (MonteCarlo!$B$7 * SQRT($A8)),TRUE),_xlfn.NORM.S.DIST((LN(J$1 / MonteCarlo!$B$5) + (MonteCarlo!$B$9 - MonteCarlo!$B$7 ^ 2 / 2) *$A8) / (MonteCarlo!$B$7 * SQRT($A8)),TRUE)-1),"")</f>
        <v/>
      </c>
      <c r="K8" t="str">
        <f>IFERROR(IF(OR(MonteCarlo!$B$4="C",MonteCarlo!$B$4="c"),_xlfn.NORM.S.DIST((LN(K$1 / MonteCarlo!$B$5) + (MonteCarlo!$B$9 + MonteCarlo!$B$7 ^ 2 / 2) *$A8) / (MonteCarlo!$B$7 * SQRT($A8)),TRUE),_xlfn.NORM.S.DIST((LN(K$1 / MonteCarlo!$B$5) + (MonteCarlo!$B$9 - MonteCarlo!$B$7 ^ 2 / 2) *$A8) / (MonteCarlo!$B$7 * SQRT($A8)),TRUE)-1),"")</f>
        <v/>
      </c>
      <c r="L8" t="str">
        <f>IFERROR(IF(OR(MonteCarlo!$B$4="C",MonteCarlo!$B$4="c"),_xlfn.NORM.S.DIST((LN(L$1 / MonteCarlo!$B$5) + (MonteCarlo!$B$9 + MonteCarlo!$B$7 ^ 2 / 2) *$A8) / (MonteCarlo!$B$7 * SQRT($A8)),TRUE),_xlfn.NORM.S.DIST((LN(L$1 / MonteCarlo!$B$5) + (MonteCarlo!$B$9 - MonteCarlo!$B$7 ^ 2 / 2) *$A8) / (MonteCarlo!$B$7 * SQRT($A8)),TRUE)-1),"")</f>
        <v/>
      </c>
      <c r="M8" t="str">
        <f>IFERROR(IF(OR(MonteCarlo!$B$4="C",MonteCarlo!$B$4="c"),_xlfn.NORM.S.DIST((LN(M$1 / MonteCarlo!$B$5) + (MonteCarlo!$B$9 + MonteCarlo!$B$7 ^ 2 / 2) *$A8) / (MonteCarlo!$B$7 * SQRT($A8)),TRUE),_xlfn.NORM.S.DIST((LN(M$1 / MonteCarlo!$B$5) + (MonteCarlo!$B$9 - MonteCarlo!$B$7 ^ 2 / 2) *$A8) / (MonteCarlo!$B$7 * SQRT($A8)),TRUE)-1),"")</f>
        <v/>
      </c>
      <c r="N8" t="str">
        <f>IFERROR(IF(OR(MonteCarlo!$B$4="C",MonteCarlo!$B$4="c"),_xlfn.NORM.S.DIST((LN(N$1 / MonteCarlo!$B$5) + (MonteCarlo!$B$9 + MonteCarlo!$B$7 ^ 2 / 2) *$A8) / (MonteCarlo!$B$7 * SQRT($A8)),TRUE),_xlfn.NORM.S.DIST((LN(N$1 / MonteCarlo!$B$5) + (MonteCarlo!$B$9 - MonteCarlo!$B$7 ^ 2 / 2) *$A8) / (MonteCarlo!$B$7 * SQRT($A8)),TRUE)-1),"")</f>
        <v/>
      </c>
      <c r="O8" t="str">
        <f>IFERROR(IF(OR(MonteCarlo!$B$4="C",MonteCarlo!$B$4="c"),_xlfn.NORM.S.DIST((LN(O$1 / MonteCarlo!$B$5) + (MonteCarlo!$B$9 + MonteCarlo!$B$7 ^ 2 / 2) *$A8) / (MonteCarlo!$B$7 * SQRT($A8)),TRUE),_xlfn.NORM.S.DIST((LN(O$1 / MonteCarlo!$B$5) + (MonteCarlo!$B$9 - MonteCarlo!$B$7 ^ 2 / 2) *$A8) / (MonteCarlo!$B$7 * SQRT($A8)),TRUE)-1),"")</f>
        <v/>
      </c>
      <c r="P8" t="str">
        <f>IFERROR(IF(OR(MonteCarlo!$B$4="C",MonteCarlo!$B$4="c"),_xlfn.NORM.S.DIST((LN(P$1 / MonteCarlo!$B$5) + (MonteCarlo!$B$9 + MonteCarlo!$B$7 ^ 2 / 2) *$A8) / (MonteCarlo!$B$7 * SQRT($A8)),TRUE),_xlfn.NORM.S.DIST((LN(P$1 / MonteCarlo!$B$5) + (MonteCarlo!$B$9 - MonteCarlo!$B$7 ^ 2 / 2) *$A8) / (MonteCarlo!$B$7 * SQRT($A8)),TRUE)-1),"")</f>
        <v/>
      </c>
      <c r="Q8" t="str">
        <f>IFERROR(IF(OR(MonteCarlo!$B$4="C",MonteCarlo!$B$4="c"),_xlfn.NORM.S.DIST((LN(Q$1 / MonteCarlo!$B$5) + (MonteCarlo!$B$9 + MonteCarlo!$B$7 ^ 2 / 2) *$A8) / (MonteCarlo!$B$7 * SQRT($A8)),TRUE),_xlfn.NORM.S.DIST((LN(Q$1 / MonteCarlo!$B$5) + (MonteCarlo!$B$9 - MonteCarlo!$B$7 ^ 2 / 2) *$A8) / (MonteCarlo!$B$7 * SQRT($A8)),TRUE)-1),"")</f>
        <v/>
      </c>
      <c r="R8" t="str">
        <f>IFERROR(IF(OR(MonteCarlo!$B$4="C",MonteCarlo!$B$4="c"),_xlfn.NORM.S.DIST((LN(R$1 / MonteCarlo!$B$5) + (MonteCarlo!$B$9 + MonteCarlo!$B$7 ^ 2 / 2) *$A8) / (MonteCarlo!$B$7 * SQRT($A8)),TRUE),_xlfn.NORM.S.DIST((LN(R$1 / MonteCarlo!$B$5) + (MonteCarlo!$B$9 - MonteCarlo!$B$7 ^ 2 / 2) *$A8) / (MonteCarlo!$B$7 * SQRT($A8)),TRUE)-1),"")</f>
        <v/>
      </c>
      <c r="S8" t="str">
        <f>IFERROR(IF(OR(MonteCarlo!$B$4="C",MonteCarlo!$B$4="c"),_xlfn.NORM.S.DIST((LN(S$1 / MonteCarlo!$B$5) + (MonteCarlo!$B$9 + MonteCarlo!$B$7 ^ 2 / 2) *$A8) / (MonteCarlo!$B$7 * SQRT($A8)),TRUE),_xlfn.NORM.S.DIST((LN(S$1 / MonteCarlo!$B$5) + (MonteCarlo!$B$9 - MonteCarlo!$B$7 ^ 2 / 2) *$A8) / (MonteCarlo!$B$7 * SQRT($A8)),TRUE)-1),"")</f>
        <v/>
      </c>
      <c r="T8" t="str">
        <f>IFERROR(IF(OR(MonteCarlo!$B$4="C",MonteCarlo!$B$4="c"),_xlfn.NORM.S.DIST((LN(T$1 / MonteCarlo!$B$5) + (MonteCarlo!$B$9 + MonteCarlo!$B$7 ^ 2 / 2) *$A8) / (MonteCarlo!$B$7 * SQRT($A8)),TRUE),_xlfn.NORM.S.DIST((LN(T$1 / MonteCarlo!$B$5) + (MonteCarlo!$B$9 - MonteCarlo!$B$7 ^ 2 / 2) *$A8) / (MonteCarlo!$B$7 * SQRT($A8)),TRUE)-1),"")</f>
        <v/>
      </c>
      <c r="U8" t="str">
        <f>IFERROR(IF(OR(MonteCarlo!$B$4="C",MonteCarlo!$B$4="c"),_xlfn.NORM.S.DIST((LN(U$1 / MonteCarlo!$B$5) + (MonteCarlo!$B$9 + MonteCarlo!$B$7 ^ 2 / 2) *$A8) / (MonteCarlo!$B$7 * SQRT($A8)),TRUE),_xlfn.NORM.S.DIST((LN(U$1 / MonteCarlo!$B$5) + (MonteCarlo!$B$9 - MonteCarlo!$B$7 ^ 2 / 2) *$A8) / (MonteCarlo!$B$7 * SQRT($A8)),TRUE)-1),"")</f>
        <v/>
      </c>
      <c r="V8" t="str">
        <f>IFERROR(IF(OR(MonteCarlo!$B$4="C",MonteCarlo!$B$4="c"),_xlfn.NORM.S.DIST((LN(V$1 / MonteCarlo!$B$5) + (MonteCarlo!$B$9 + MonteCarlo!$B$7 ^ 2 / 2) *$A8) / (MonteCarlo!$B$7 * SQRT($A8)),TRUE),_xlfn.NORM.S.DIST((LN(V$1 / MonteCarlo!$B$5) + (MonteCarlo!$B$9 - MonteCarlo!$B$7 ^ 2 / 2) *$A8) / (MonteCarlo!$B$7 * SQRT($A8)),TRUE)-1),"")</f>
        <v/>
      </c>
      <c r="W8" t="str">
        <f>IFERROR(IF(OR(MonteCarlo!$B$4="C",MonteCarlo!$B$4="c"),_xlfn.NORM.S.DIST((LN(W$1 / MonteCarlo!$B$5) + (MonteCarlo!$B$9 + MonteCarlo!$B$7 ^ 2 / 2) *$A8) / (MonteCarlo!$B$7 * SQRT($A8)),TRUE),_xlfn.NORM.S.DIST((LN(W$1 / MonteCarlo!$B$5) + (MonteCarlo!$B$9 - MonteCarlo!$B$7 ^ 2 / 2) *$A8) / (MonteCarlo!$B$7 * SQRT($A8)),TRUE)-1),"")</f>
        <v/>
      </c>
      <c r="X8" t="str">
        <f>IFERROR(IF(OR(MonteCarlo!$B$4="C",MonteCarlo!$B$4="c"),_xlfn.NORM.S.DIST((LN(X$1 / MonteCarlo!$B$5) + (MonteCarlo!$B$9 + MonteCarlo!$B$7 ^ 2 / 2) *$A8) / (MonteCarlo!$B$7 * SQRT($A8)),TRUE),_xlfn.NORM.S.DIST((LN(X$1 / MonteCarlo!$B$5) + (MonteCarlo!$B$9 - MonteCarlo!$B$7 ^ 2 / 2) *$A8) / (MonteCarlo!$B$7 * SQRT($A8)),TRUE)-1),"")</f>
        <v/>
      </c>
      <c r="Y8" t="str">
        <f>IFERROR(IF(OR(MonteCarlo!$B$4="C",MonteCarlo!$B$4="c"),_xlfn.NORM.S.DIST((LN(Y$1 / MonteCarlo!$B$5) + (MonteCarlo!$B$9 + MonteCarlo!$B$7 ^ 2 / 2) *$A8) / (MonteCarlo!$B$7 * SQRT($A8)),TRUE),_xlfn.NORM.S.DIST((LN(Y$1 / MonteCarlo!$B$5) + (MonteCarlo!$B$9 - MonteCarlo!$B$7 ^ 2 / 2) *$A8) / (MonteCarlo!$B$7 * SQRT($A8)),TRUE)-1),"")</f>
        <v/>
      </c>
      <c r="Z8" t="str">
        <f>IFERROR(IF(OR(MonteCarlo!$B$4="C",MonteCarlo!$B$4="c"),_xlfn.NORM.S.DIST((LN(Z$1 / MonteCarlo!$B$5) + (MonteCarlo!$B$9 + MonteCarlo!$B$7 ^ 2 / 2) *$A8) / (MonteCarlo!$B$7 * SQRT($A8)),TRUE),_xlfn.NORM.S.DIST((LN(Z$1 / MonteCarlo!$B$5) + (MonteCarlo!$B$9 - MonteCarlo!$B$7 ^ 2 / 2) *$A8) / (MonteCarlo!$B$7 * SQRT($A8)),TRUE)-1),"")</f>
        <v/>
      </c>
      <c r="AA8" t="str">
        <f>IFERROR(IF(OR(MonteCarlo!$B$4="C",MonteCarlo!$B$4="c"),_xlfn.NORM.S.DIST((LN(AA$1 / MonteCarlo!$B$5) + (MonteCarlo!$B$9 + MonteCarlo!$B$7 ^ 2 / 2) *$A8) / (MonteCarlo!$B$7 * SQRT($A8)),TRUE),_xlfn.NORM.S.DIST((LN(AA$1 / MonteCarlo!$B$5) + (MonteCarlo!$B$9 - MonteCarlo!$B$7 ^ 2 / 2) *$A8) / (MonteCarlo!$B$7 * SQRT($A8)),TRUE)-1),"")</f>
        <v/>
      </c>
      <c r="AB8" t="str">
        <f>IFERROR(IF(OR(MonteCarlo!$B$4="C",MonteCarlo!$B$4="c"),_xlfn.NORM.S.DIST((LN(AB$1 / MonteCarlo!$B$5) + (MonteCarlo!$B$9 + MonteCarlo!$B$7 ^ 2 / 2) *$A8) / (MonteCarlo!$B$7 * SQRT($A8)),TRUE),_xlfn.NORM.S.DIST((LN(AB$1 / MonteCarlo!$B$5) + (MonteCarlo!$B$9 - MonteCarlo!$B$7 ^ 2 / 2) *$A8) / (MonteCarlo!$B$7 * SQRT($A8)),TRUE)-1),"")</f>
        <v/>
      </c>
      <c r="AC8" t="str">
        <f>IFERROR(IF(OR(MonteCarlo!$B$4="C",MonteCarlo!$B$4="c"),_xlfn.NORM.S.DIST((LN(AC$1 / MonteCarlo!$B$5) + (MonteCarlo!$B$9 + MonteCarlo!$B$7 ^ 2 / 2) *$A8) / (MonteCarlo!$B$7 * SQRT($A8)),TRUE),_xlfn.NORM.S.DIST((LN(AC$1 / MonteCarlo!$B$5) + (MonteCarlo!$B$9 - MonteCarlo!$B$7 ^ 2 / 2) *$A8) / (MonteCarlo!$B$7 * SQRT($A8)),TRUE)-1),"")</f>
        <v/>
      </c>
      <c r="AD8" t="str">
        <f>IFERROR(IF(OR(MonteCarlo!$B$4="C",MonteCarlo!$B$4="c"),_xlfn.NORM.S.DIST((LN(AD$1 / MonteCarlo!$B$5) + (MonteCarlo!$B$9 + MonteCarlo!$B$7 ^ 2 / 2) *$A8) / (MonteCarlo!$B$7 * SQRT($A8)),TRUE),_xlfn.NORM.S.DIST((LN(AD$1 / MonteCarlo!$B$5) + (MonteCarlo!$B$9 - MonteCarlo!$B$7 ^ 2 / 2) *$A8) / (MonteCarlo!$B$7 * SQRT($A8)),TRUE)-1),"")</f>
        <v/>
      </c>
      <c r="AE8" t="str">
        <f>IFERROR(IF(OR(MonteCarlo!$B$4="C",MonteCarlo!$B$4="c"),_xlfn.NORM.S.DIST((LN(AE$1 / MonteCarlo!$B$5) + (MonteCarlo!$B$9 + MonteCarlo!$B$7 ^ 2 / 2) *$A8) / (MonteCarlo!$B$7 * SQRT($A8)),TRUE),_xlfn.NORM.S.DIST((LN(AE$1 / MonteCarlo!$B$5) + (MonteCarlo!$B$9 - MonteCarlo!$B$7 ^ 2 / 2) *$A8) / (MonteCarlo!$B$7 * SQRT($A8)),TRUE)-1),"")</f>
        <v/>
      </c>
      <c r="AF8" t="str">
        <f>IFERROR(IF(OR(MonteCarlo!$B$4="C",MonteCarlo!$B$4="c"),_xlfn.NORM.S.DIST((LN(AF$1 / MonteCarlo!$B$5) + (MonteCarlo!$B$9 + MonteCarlo!$B$7 ^ 2 / 2) *$A8) / (MonteCarlo!$B$7 * SQRT($A8)),TRUE),_xlfn.NORM.S.DIST((LN(AF$1 / MonteCarlo!$B$5) + (MonteCarlo!$B$9 - MonteCarlo!$B$7 ^ 2 / 2) *$A8) / (MonteCarlo!$B$7 * SQRT($A8)),TRUE)-1),"")</f>
        <v/>
      </c>
    </row>
    <row r="9" spans="2:32" x14ac:dyDescent="0.25">
      <c r="B9" t="str">
        <f>IFERROR(IF(OR(MonteCarlo!$B$4="C",MonteCarlo!$B$4="c"),_xlfn.NORM.S.DIST((LN(B$1 / MonteCarlo!$B$5) + (MonteCarlo!$B$9 + MonteCarlo!$B$7 ^ 2 / 2) *$A9) / (MonteCarlo!$B$7 * SQRT($A9)),TRUE),_xlfn.NORM.S.DIST((LN(B$1 / MonteCarlo!$B$5) + (MonteCarlo!$B$9 - MonteCarlo!$B$7 ^ 2 / 2) *$A9) / (MonteCarlo!$B$7 * SQRT($A9)),TRUE)-1),"")</f>
        <v/>
      </c>
      <c r="C9" t="str">
        <f>IFERROR(IF(OR(MonteCarlo!$B$4="C",MonteCarlo!$B$4="c"),_xlfn.NORM.S.DIST((LN(C$1 / MonteCarlo!$B$5) + (MonteCarlo!$B$9 + MonteCarlo!$B$7 ^ 2 / 2) *$A9) / (MonteCarlo!$B$7 * SQRT($A9)),TRUE),_xlfn.NORM.S.DIST((LN(C$1 / MonteCarlo!$B$5) + (MonteCarlo!$B$9 - MonteCarlo!$B$7 ^ 2 / 2) *$A9) / (MonteCarlo!$B$7 * SQRT($A9)),TRUE)-1),"")</f>
        <v/>
      </c>
      <c r="D9" t="str">
        <f>IFERROR(IF(OR(MonteCarlo!$B$4="C",MonteCarlo!$B$4="c"),_xlfn.NORM.S.DIST((LN(D$1 / MonteCarlo!$B$5) + (MonteCarlo!$B$9 + MonteCarlo!$B$7 ^ 2 / 2) *$A9) / (MonteCarlo!$B$7 * SQRT($A9)),TRUE),_xlfn.NORM.S.DIST((LN(D$1 / MonteCarlo!$B$5) + (MonteCarlo!$B$9 - MonteCarlo!$B$7 ^ 2 / 2) *$A9) / (MonteCarlo!$B$7 * SQRT($A9)),TRUE)-1),"")</f>
        <v/>
      </c>
      <c r="E9" t="str">
        <f>IFERROR(IF(OR(MonteCarlo!$B$4="C",MonteCarlo!$B$4="c"),_xlfn.NORM.S.DIST((LN(E$1 / MonteCarlo!$B$5) + (MonteCarlo!$B$9 + MonteCarlo!$B$7 ^ 2 / 2) *$A9) / (MonteCarlo!$B$7 * SQRT($A9)),TRUE),_xlfn.NORM.S.DIST((LN(E$1 / MonteCarlo!$B$5) + (MonteCarlo!$B$9 - MonteCarlo!$B$7 ^ 2 / 2) *$A9) / (MonteCarlo!$B$7 * SQRT($A9)),TRUE)-1),"")</f>
        <v/>
      </c>
      <c r="F9" t="str">
        <f>IFERROR(IF(OR(MonteCarlo!$B$4="C",MonteCarlo!$B$4="c"),_xlfn.NORM.S.DIST((LN(F$1 / MonteCarlo!$B$5) + (MonteCarlo!$B$9 + MonteCarlo!$B$7 ^ 2 / 2) *$A9) / (MonteCarlo!$B$7 * SQRT($A9)),TRUE),_xlfn.NORM.S.DIST((LN(F$1 / MonteCarlo!$B$5) + (MonteCarlo!$B$9 - MonteCarlo!$B$7 ^ 2 / 2) *$A9) / (MonteCarlo!$B$7 * SQRT($A9)),TRUE)-1),"")</f>
        <v/>
      </c>
      <c r="G9" t="str">
        <f>IFERROR(IF(OR(MonteCarlo!$B$4="C",MonteCarlo!$B$4="c"),_xlfn.NORM.S.DIST((LN(G$1 / MonteCarlo!$B$5) + (MonteCarlo!$B$9 + MonteCarlo!$B$7 ^ 2 / 2) *$A9) / (MonteCarlo!$B$7 * SQRT($A9)),TRUE),_xlfn.NORM.S.DIST((LN(G$1 / MonteCarlo!$B$5) + (MonteCarlo!$B$9 - MonteCarlo!$B$7 ^ 2 / 2) *$A9) / (MonteCarlo!$B$7 * SQRT($A9)),TRUE)-1),"")</f>
        <v/>
      </c>
      <c r="H9" t="str">
        <f>IFERROR(IF(OR(MonteCarlo!$B$4="C",MonteCarlo!$B$4="c"),_xlfn.NORM.S.DIST((LN(H$1 / MonteCarlo!$B$5) + (MonteCarlo!$B$9 + MonteCarlo!$B$7 ^ 2 / 2) *$A9) / (MonteCarlo!$B$7 * SQRT($A9)),TRUE),_xlfn.NORM.S.DIST((LN(H$1 / MonteCarlo!$B$5) + (MonteCarlo!$B$9 - MonteCarlo!$B$7 ^ 2 / 2) *$A9) / (MonteCarlo!$B$7 * SQRT($A9)),TRUE)-1),"")</f>
        <v/>
      </c>
      <c r="I9" t="str">
        <f>IFERROR(IF(OR(MonteCarlo!$B$4="C",MonteCarlo!$B$4="c"),_xlfn.NORM.S.DIST((LN(I$1 / MonteCarlo!$B$5) + (MonteCarlo!$B$9 + MonteCarlo!$B$7 ^ 2 / 2) *$A9) / (MonteCarlo!$B$7 * SQRT($A9)),TRUE),_xlfn.NORM.S.DIST((LN(I$1 / MonteCarlo!$B$5) + (MonteCarlo!$B$9 - MonteCarlo!$B$7 ^ 2 / 2) *$A9) / (MonteCarlo!$B$7 * SQRT($A9)),TRUE)-1),"")</f>
        <v/>
      </c>
      <c r="J9" t="str">
        <f>IFERROR(IF(OR(MonteCarlo!$B$4="C",MonteCarlo!$B$4="c"),_xlfn.NORM.S.DIST((LN(J$1 / MonteCarlo!$B$5) + (MonteCarlo!$B$9 + MonteCarlo!$B$7 ^ 2 / 2) *$A9) / (MonteCarlo!$B$7 * SQRT($A9)),TRUE),_xlfn.NORM.S.DIST((LN(J$1 / MonteCarlo!$B$5) + (MonteCarlo!$B$9 - MonteCarlo!$B$7 ^ 2 / 2) *$A9) / (MonteCarlo!$B$7 * SQRT($A9)),TRUE)-1),"")</f>
        <v/>
      </c>
      <c r="K9" t="str">
        <f>IFERROR(IF(OR(MonteCarlo!$B$4="C",MonteCarlo!$B$4="c"),_xlfn.NORM.S.DIST((LN(K$1 / MonteCarlo!$B$5) + (MonteCarlo!$B$9 + MonteCarlo!$B$7 ^ 2 / 2) *$A9) / (MonteCarlo!$B$7 * SQRT($A9)),TRUE),_xlfn.NORM.S.DIST((LN(K$1 / MonteCarlo!$B$5) + (MonteCarlo!$B$9 - MonteCarlo!$B$7 ^ 2 / 2) *$A9) / (MonteCarlo!$B$7 * SQRT($A9)),TRUE)-1),"")</f>
        <v/>
      </c>
      <c r="L9" t="str">
        <f>IFERROR(IF(OR(MonteCarlo!$B$4="C",MonteCarlo!$B$4="c"),_xlfn.NORM.S.DIST((LN(L$1 / MonteCarlo!$B$5) + (MonteCarlo!$B$9 + MonteCarlo!$B$7 ^ 2 / 2) *$A9) / (MonteCarlo!$B$7 * SQRT($A9)),TRUE),_xlfn.NORM.S.DIST((LN(L$1 / MonteCarlo!$B$5) + (MonteCarlo!$B$9 - MonteCarlo!$B$7 ^ 2 / 2) *$A9) / (MonteCarlo!$B$7 * SQRT($A9)),TRUE)-1),"")</f>
        <v/>
      </c>
      <c r="M9" t="str">
        <f>IFERROR(IF(OR(MonteCarlo!$B$4="C",MonteCarlo!$B$4="c"),_xlfn.NORM.S.DIST((LN(M$1 / MonteCarlo!$B$5) + (MonteCarlo!$B$9 + MonteCarlo!$B$7 ^ 2 / 2) *$A9) / (MonteCarlo!$B$7 * SQRT($A9)),TRUE),_xlfn.NORM.S.DIST((LN(M$1 / MonteCarlo!$B$5) + (MonteCarlo!$B$9 - MonteCarlo!$B$7 ^ 2 / 2) *$A9) / (MonteCarlo!$B$7 * SQRT($A9)),TRUE)-1),"")</f>
        <v/>
      </c>
      <c r="N9" t="str">
        <f>IFERROR(IF(OR(MonteCarlo!$B$4="C",MonteCarlo!$B$4="c"),_xlfn.NORM.S.DIST((LN(N$1 / MonteCarlo!$B$5) + (MonteCarlo!$B$9 + MonteCarlo!$B$7 ^ 2 / 2) *$A9) / (MonteCarlo!$B$7 * SQRT($A9)),TRUE),_xlfn.NORM.S.DIST((LN(N$1 / MonteCarlo!$B$5) + (MonteCarlo!$B$9 - MonteCarlo!$B$7 ^ 2 / 2) *$A9) / (MonteCarlo!$B$7 * SQRT($A9)),TRUE)-1),"")</f>
        <v/>
      </c>
      <c r="O9" t="str">
        <f>IFERROR(IF(OR(MonteCarlo!$B$4="C",MonteCarlo!$B$4="c"),_xlfn.NORM.S.DIST((LN(O$1 / MonteCarlo!$B$5) + (MonteCarlo!$B$9 + MonteCarlo!$B$7 ^ 2 / 2) *$A9) / (MonteCarlo!$B$7 * SQRT($A9)),TRUE),_xlfn.NORM.S.DIST((LN(O$1 / MonteCarlo!$B$5) + (MonteCarlo!$B$9 - MonteCarlo!$B$7 ^ 2 / 2) *$A9) / (MonteCarlo!$B$7 * SQRT($A9)),TRUE)-1),"")</f>
        <v/>
      </c>
      <c r="P9" t="str">
        <f>IFERROR(IF(OR(MonteCarlo!$B$4="C",MonteCarlo!$B$4="c"),_xlfn.NORM.S.DIST((LN(P$1 / MonteCarlo!$B$5) + (MonteCarlo!$B$9 + MonteCarlo!$B$7 ^ 2 / 2) *$A9) / (MonteCarlo!$B$7 * SQRT($A9)),TRUE),_xlfn.NORM.S.DIST((LN(P$1 / MonteCarlo!$B$5) + (MonteCarlo!$B$9 - MonteCarlo!$B$7 ^ 2 / 2) *$A9) / (MonteCarlo!$B$7 * SQRT($A9)),TRUE)-1),"")</f>
        <v/>
      </c>
      <c r="Q9" t="str">
        <f>IFERROR(IF(OR(MonteCarlo!$B$4="C",MonteCarlo!$B$4="c"),_xlfn.NORM.S.DIST((LN(Q$1 / MonteCarlo!$B$5) + (MonteCarlo!$B$9 + MonteCarlo!$B$7 ^ 2 / 2) *$A9) / (MonteCarlo!$B$7 * SQRT($A9)),TRUE),_xlfn.NORM.S.DIST((LN(Q$1 / MonteCarlo!$B$5) + (MonteCarlo!$B$9 - MonteCarlo!$B$7 ^ 2 / 2) *$A9) / (MonteCarlo!$B$7 * SQRT($A9)),TRUE)-1),"")</f>
        <v/>
      </c>
      <c r="R9" t="str">
        <f>IFERROR(IF(OR(MonteCarlo!$B$4="C",MonteCarlo!$B$4="c"),_xlfn.NORM.S.DIST((LN(R$1 / MonteCarlo!$B$5) + (MonteCarlo!$B$9 + MonteCarlo!$B$7 ^ 2 / 2) *$A9) / (MonteCarlo!$B$7 * SQRT($A9)),TRUE),_xlfn.NORM.S.DIST((LN(R$1 / MonteCarlo!$B$5) + (MonteCarlo!$B$9 - MonteCarlo!$B$7 ^ 2 / 2) *$A9) / (MonteCarlo!$B$7 * SQRT($A9)),TRUE)-1),"")</f>
        <v/>
      </c>
      <c r="S9" t="str">
        <f>IFERROR(IF(OR(MonteCarlo!$B$4="C",MonteCarlo!$B$4="c"),_xlfn.NORM.S.DIST((LN(S$1 / MonteCarlo!$B$5) + (MonteCarlo!$B$9 + MonteCarlo!$B$7 ^ 2 / 2) *$A9) / (MonteCarlo!$B$7 * SQRT($A9)),TRUE),_xlfn.NORM.S.DIST((LN(S$1 / MonteCarlo!$B$5) + (MonteCarlo!$B$9 - MonteCarlo!$B$7 ^ 2 / 2) *$A9) / (MonteCarlo!$B$7 * SQRT($A9)),TRUE)-1),"")</f>
        <v/>
      </c>
      <c r="T9" t="str">
        <f>IFERROR(IF(OR(MonteCarlo!$B$4="C",MonteCarlo!$B$4="c"),_xlfn.NORM.S.DIST((LN(T$1 / MonteCarlo!$B$5) + (MonteCarlo!$B$9 + MonteCarlo!$B$7 ^ 2 / 2) *$A9) / (MonteCarlo!$B$7 * SQRT($A9)),TRUE),_xlfn.NORM.S.DIST((LN(T$1 / MonteCarlo!$B$5) + (MonteCarlo!$B$9 - MonteCarlo!$B$7 ^ 2 / 2) *$A9) / (MonteCarlo!$B$7 * SQRT($A9)),TRUE)-1),"")</f>
        <v/>
      </c>
      <c r="U9" t="str">
        <f>IFERROR(IF(OR(MonteCarlo!$B$4="C",MonteCarlo!$B$4="c"),_xlfn.NORM.S.DIST((LN(U$1 / MonteCarlo!$B$5) + (MonteCarlo!$B$9 + MonteCarlo!$B$7 ^ 2 / 2) *$A9) / (MonteCarlo!$B$7 * SQRT($A9)),TRUE),_xlfn.NORM.S.DIST((LN(U$1 / MonteCarlo!$B$5) + (MonteCarlo!$B$9 - MonteCarlo!$B$7 ^ 2 / 2) *$A9) / (MonteCarlo!$B$7 * SQRT($A9)),TRUE)-1),"")</f>
        <v/>
      </c>
      <c r="V9" t="str">
        <f>IFERROR(IF(OR(MonteCarlo!$B$4="C",MonteCarlo!$B$4="c"),_xlfn.NORM.S.DIST((LN(V$1 / MonteCarlo!$B$5) + (MonteCarlo!$B$9 + MonteCarlo!$B$7 ^ 2 / 2) *$A9) / (MonteCarlo!$B$7 * SQRT($A9)),TRUE),_xlfn.NORM.S.DIST((LN(V$1 / MonteCarlo!$B$5) + (MonteCarlo!$B$9 - MonteCarlo!$B$7 ^ 2 / 2) *$A9) / (MonteCarlo!$B$7 * SQRT($A9)),TRUE)-1),"")</f>
        <v/>
      </c>
      <c r="W9" t="str">
        <f>IFERROR(IF(OR(MonteCarlo!$B$4="C",MonteCarlo!$B$4="c"),_xlfn.NORM.S.DIST((LN(W$1 / MonteCarlo!$B$5) + (MonteCarlo!$B$9 + MonteCarlo!$B$7 ^ 2 / 2) *$A9) / (MonteCarlo!$B$7 * SQRT($A9)),TRUE),_xlfn.NORM.S.DIST((LN(W$1 / MonteCarlo!$B$5) + (MonteCarlo!$B$9 - MonteCarlo!$B$7 ^ 2 / 2) *$A9) / (MonteCarlo!$B$7 * SQRT($A9)),TRUE)-1),"")</f>
        <v/>
      </c>
      <c r="X9" t="str">
        <f>IFERROR(IF(OR(MonteCarlo!$B$4="C",MonteCarlo!$B$4="c"),_xlfn.NORM.S.DIST((LN(X$1 / MonteCarlo!$B$5) + (MonteCarlo!$B$9 + MonteCarlo!$B$7 ^ 2 / 2) *$A9) / (MonteCarlo!$B$7 * SQRT($A9)),TRUE),_xlfn.NORM.S.DIST((LN(X$1 / MonteCarlo!$B$5) + (MonteCarlo!$B$9 - MonteCarlo!$B$7 ^ 2 / 2) *$A9) / (MonteCarlo!$B$7 * SQRT($A9)),TRUE)-1),"")</f>
        <v/>
      </c>
      <c r="Y9" t="str">
        <f>IFERROR(IF(OR(MonteCarlo!$B$4="C",MonteCarlo!$B$4="c"),_xlfn.NORM.S.DIST((LN(Y$1 / MonteCarlo!$B$5) + (MonteCarlo!$B$9 + MonteCarlo!$B$7 ^ 2 / 2) *$A9) / (MonteCarlo!$B$7 * SQRT($A9)),TRUE),_xlfn.NORM.S.DIST((LN(Y$1 / MonteCarlo!$B$5) + (MonteCarlo!$B$9 - MonteCarlo!$B$7 ^ 2 / 2) *$A9) / (MonteCarlo!$B$7 * SQRT($A9)),TRUE)-1),"")</f>
        <v/>
      </c>
      <c r="Z9" t="str">
        <f>IFERROR(IF(OR(MonteCarlo!$B$4="C",MonteCarlo!$B$4="c"),_xlfn.NORM.S.DIST((LN(Z$1 / MonteCarlo!$B$5) + (MonteCarlo!$B$9 + MonteCarlo!$B$7 ^ 2 / 2) *$A9) / (MonteCarlo!$B$7 * SQRT($A9)),TRUE),_xlfn.NORM.S.DIST((LN(Z$1 / MonteCarlo!$B$5) + (MonteCarlo!$B$9 - MonteCarlo!$B$7 ^ 2 / 2) *$A9) / (MonteCarlo!$B$7 * SQRT($A9)),TRUE)-1),"")</f>
        <v/>
      </c>
      <c r="AA9" t="str">
        <f>IFERROR(IF(OR(MonteCarlo!$B$4="C",MonteCarlo!$B$4="c"),_xlfn.NORM.S.DIST((LN(AA$1 / MonteCarlo!$B$5) + (MonteCarlo!$B$9 + MonteCarlo!$B$7 ^ 2 / 2) *$A9) / (MonteCarlo!$B$7 * SQRT($A9)),TRUE),_xlfn.NORM.S.DIST((LN(AA$1 / MonteCarlo!$B$5) + (MonteCarlo!$B$9 - MonteCarlo!$B$7 ^ 2 / 2) *$A9) / (MonteCarlo!$B$7 * SQRT($A9)),TRUE)-1),"")</f>
        <v/>
      </c>
      <c r="AB9" t="str">
        <f>IFERROR(IF(OR(MonteCarlo!$B$4="C",MonteCarlo!$B$4="c"),_xlfn.NORM.S.DIST((LN(AB$1 / MonteCarlo!$B$5) + (MonteCarlo!$B$9 + MonteCarlo!$B$7 ^ 2 / 2) *$A9) / (MonteCarlo!$B$7 * SQRT($A9)),TRUE),_xlfn.NORM.S.DIST((LN(AB$1 / MonteCarlo!$B$5) + (MonteCarlo!$B$9 - MonteCarlo!$B$7 ^ 2 / 2) *$A9) / (MonteCarlo!$B$7 * SQRT($A9)),TRUE)-1),"")</f>
        <v/>
      </c>
      <c r="AC9" t="str">
        <f>IFERROR(IF(OR(MonteCarlo!$B$4="C",MonteCarlo!$B$4="c"),_xlfn.NORM.S.DIST((LN(AC$1 / MonteCarlo!$B$5) + (MonteCarlo!$B$9 + MonteCarlo!$B$7 ^ 2 / 2) *$A9) / (MonteCarlo!$B$7 * SQRT($A9)),TRUE),_xlfn.NORM.S.DIST((LN(AC$1 / MonteCarlo!$B$5) + (MonteCarlo!$B$9 - MonteCarlo!$B$7 ^ 2 / 2) *$A9) / (MonteCarlo!$B$7 * SQRT($A9)),TRUE)-1),"")</f>
        <v/>
      </c>
      <c r="AD9" t="str">
        <f>IFERROR(IF(OR(MonteCarlo!$B$4="C",MonteCarlo!$B$4="c"),_xlfn.NORM.S.DIST((LN(AD$1 / MonteCarlo!$B$5) + (MonteCarlo!$B$9 + MonteCarlo!$B$7 ^ 2 / 2) *$A9) / (MonteCarlo!$B$7 * SQRT($A9)),TRUE),_xlfn.NORM.S.DIST((LN(AD$1 / MonteCarlo!$B$5) + (MonteCarlo!$B$9 - MonteCarlo!$B$7 ^ 2 / 2) *$A9) / (MonteCarlo!$B$7 * SQRT($A9)),TRUE)-1),"")</f>
        <v/>
      </c>
      <c r="AE9" t="str">
        <f>IFERROR(IF(OR(MonteCarlo!$B$4="C",MonteCarlo!$B$4="c"),_xlfn.NORM.S.DIST((LN(AE$1 / MonteCarlo!$B$5) + (MonteCarlo!$B$9 + MonteCarlo!$B$7 ^ 2 / 2) *$A9) / (MonteCarlo!$B$7 * SQRT($A9)),TRUE),_xlfn.NORM.S.DIST((LN(AE$1 / MonteCarlo!$B$5) + (MonteCarlo!$B$9 - MonteCarlo!$B$7 ^ 2 / 2) *$A9) / (MonteCarlo!$B$7 * SQRT($A9)),TRUE)-1),"")</f>
        <v/>
      </c>
      <c r="AF9" t="str">
        <f>IFERROR(IF(OR(MonteCarlo!$B$4="C",MonteCarlo!$B$4="c"),_xlfn.NORM.S.DIST((LN(AF$1 / MonteCarlo!$B$5) + (MonteCarlo!$B$9 + MonteCarlo!$B$7 ^ 2 / 2) *$A9) / (MonteCarlo!$B$7 * SQRT($A9)),TRUE),_xlfn.NORM.S.DIST((LN(AF$1 / MonteCarlo!$B$5) + (MonteCarlo!$B$9 - MonteCarlo!$B$7 ^ 2 / 2) *$A9) / (MonteCarlo!$B$7 * SQRT($A9)),TRUE)-1),"")</f>
        <v/>
      </c>
    </row>
    <row r="10" spans="2:32" x14ac:dyDescent="0.25">
      <c r="B10" t="str">
        <f>IFERROR(IF(OR(MonteCarlo!$B$4="C",MonteCarlo!$B$4="c"),_xlfn.NORM.S.DIST((LN(B$1 / MonteCarlo!$B$5) + (MonteCarlo!$B$9 + MonteCarlo!$B$7 ^ 2 / 2) *$A10) / (MonteCarlo!$B$7 * SQRT($A10)),TRUE),_xlfn.NORM.S.DIST((LN(B$1 / MonteCarlo!$B$5) + (MonteCarlo!$B$9 - MonteCarlo!$B$7 ^ 2 / 2) *$A10) / (MonteCarlo!$B$7 * SQRT($A10)),TRUE)-1),"")</f>
        <v/>
      </c>
      <c r="C10" t="str">
        <f>IFERROR(IF(OR(MonteCarlo!$B$4="C",MonteCarlo!$B$4="c"),_xlfn.NORM.S.DIST((LN(C$1 / MonteCarlo!$B$5) + (MonteCarlo!$B$9 + MonteCarlo!$B$7 ^ 2 / 2) *$A10) / (MonteCarlo!$B$7 * SQRT($A10)),TRUE),_xlfn.NORM.S.DIST((LN(C$1 / MonteCarlo!$B$5) + (MonteCarlo!$B$9 - MonteCarlo!$B$7 ^ 2 / 2) *$A10) / (MonteCarlo!$B$7 * SQRT($A10)),TRUE)-1),"")</f>
        <v/>
      </c>
      <c r="D10" t="str">
        <f>IFERROR(IF(OR(MonteCarlo!$B$4="C",MonteCarlo!$B$4="c"),_xlfn.NORM.S.DIST((LN(D$1 / MonteCarlo!$B$5) + (MonteCarlo!$B$9 + MonteCarlo!$B$7 ^ 2 / 2) *$A10) / (MonteCarlo!$B$7 * SQRT($A10)),TRUE),_xlfn.NORM.S.DIST((LN(D$1 / MonteCarlo!$B$5) + (MonteCarlo!$B$9 - MonteCarlo!$B$7 ^ 2 / 2) *$A10) / (MonteCarlo!$B$7 * SQRT($A10)),TRUE)-1),"")</f>
        <v/>
      </c>
      <c r="E10" t="str">
        <f>IFERROR(IF(OR(MonteCarlo!$B$4="C",MonteCarlo!$B$4="c"),_xlfn.NORM.S.DIST((LN(E$1 / MonteCarlo!$B$5) + (MonteCarlo!$B$9 + MonteCarlo!$B$7 ^ 2 / 2) *$A10) / (MonteCarlo!$B$7 * SQRT($A10)),TRUE),_xlfn.NORM.S.DIST((LN(E$1 / MonteCarlo!$B$5) + (MonteCarlo!$B$9 - MonteCarlo!$B$7 ^ 2 / 2) *$A10) / (MonteCarlo!$B$7 * SQRT($A10)),TRUE)-1),"")</f>
        <v/>
      </c>
      <c r="F10" t="str">
        <f>IFERROR(IF(OR(MonteCarlo!$B$4="C",MonteCarlo!$B$4="c"),_xlfn.NORM.S.DIST((LN(F$1 / MonteCarlo!$B$5) + (MonteCarlo!$B$9 + MonteCarlo!$B$7 ^ 2 / 2) *$A10) / (MonteCarlo!$B$7 * SQRT($A10)),TRUE),_xlfn.NORM.S.DIST((LN(F$1 / MonteCarlo!$B$5) + (MonteCarlo!$B$9 - MonteCarlo!$B$7 ^ 2 / 2) *$A10) / (MonteCarlo!$B$7 * SQRT($A10)),TRUE)-1),"")</f>
        <v/>
      </c>
      <c r="G10" t="str">
        <f>IFERROR(IF(OR(MonteCarlo!$B$4="C",MonteCarlo!$B$4="c"),_xlfn.NORM.S.DIST((LN(G$1 / MonteCarlo!$B$5) + (MonteCarlo!$B$9 + MonteCarlo!$B$7 ^ 2 / 2) *$A10) / (MonteCarlo!$B$7 * SQRT($A10)),TRUE),_xlfn.NORM.S.DIST((LN(G$1 / MonteCarlo!$B$5) + (MonteCarlo!$B$9 - MonteCarlo!$B$7 ^ 2 / 2) *$A10) / (MonteCarlo!$B$7 * SQRT($A10)),TRUE)-1),"")</f>
        <v/>
      </c>
      <c r="H10" t="str">
        <f>IFERROR(IF(OR(MonteCarlo!$B$4="C",MonteCarlo!$B$4="c"),_xlfn.NORM.S.DIST((LN(H$1 / MonteCarlo!$B$5) + (MonteCarlo!$B$9 + MonteCarlo!$B$7 ^ 2 / 2) *$A10) / (MonteCarlo!$B$7 * SQRT($A10)),TRUE),_xlfn.NORM.S.DIST((LN(H$1 / MonteCarlo!$B$5) + (MonteCarlo!$B$9 - MonteCarlo!$B$7 ^ 2 / 2) *$A10) / (MonteCarlo!$B$7 * SQRT($A10)),TRUE)-1),"")</f>
        <v/>
      </c>
      <c r="I10" t="str">
        <f>IFERROR(IF(OR(MonteCarlo!$B$4="C",MonteCarlo!$B$4="c"),_xlfn.NORM.S.DIST((LN(I$1 / MonteCarlo!$B$5) + (MonteCarlo!$B$9 + MonteCarlo!$B$7 ^ 2 / 2) *$A10) / (MonteCarlo!$B$7 * SQRT($A10)),TRUE),_xlfn.NORM.S.DIST((LN(I$1 / MonteCarlo!$B$5) + (MonteCarlo!$B$9 - MonteCarlo!$B$7 ^ 2 / 2) *$A10) / (MonteCarlo!$B$7 * SQRT($A10)),TRUE)-1),"")</f>
        <v/>
      </c>
      <c r="J10" t="str">
        <f>IFERROR(IF(OR(MonteCarlo!$B$4="C",MonteCarlo!$B$4="c"),_xlfn.NORM.S.DIST((LN(J$1 / MonteCarlo!$B$5) + (MonteCarlo!$B$9 + MonteCarlo!$B$7 ^ 2 / 2) *$A10) / (MonteCarlo!$B$7 * SQRT($A10)),TRUE),_xlfn.NORM.S.DIST((LN(J$1 / MonteCarlo!$B$5) + (MonteCarlo!$B$9 - MonteCarlo!$B$7 ^ 2 / 2) *$A10) / (MonteCarlo!$B$7 * SQRT($A10)),TRUE)-1),"")</f>
        <v/>
      </c>
      <c r="K10" t="str">
        <f>IFERROR(IF(OR(MonteCarlo!$B$4="C",MonteCarlo!$B$4="c"),_xlfn.NORM.S.DIST((LN(K$1 / MonteCarlo!$B$5) + (MonteCarlo!$B$9 + MonteCarlo!$B$7 ^ 2 / 2) *$A10) / (MonteCarlo!$B$7 * SQRT($A10)),TRUE),_xlfn.NORM.S.DIST((LN(K$1 / MonteCarlo!$B$5) + (MonteCarlo!$B$9 - MonteCarlo!$B$7 ^ 2 / 2) *$A10) / (MonteCarlo!$B$7 * SQRT($A10)),TRUE)-1),"")</f>
        <v/>
      </c>
      <c r="L10" t="str">
        <f>IFERROR(IF(OR(MonteCarlo!$B$4="C",MonteCarlo!$B$4="c"),_xlfn.NORM.S.DIST((LN(L$1 / MonteCarlo!$B$5) + (MonteCarlo!$B$9 + MonteCarlo!$B$7 ^ 2 / 2) *$A10) / (MonteCarlo!$B$7 * SQRT($A10)),TRUE),_xlfn.NORM.S.DIST((LN(L$1 / MonteCarlo!$B$5) + (MonteCarlo!$B$9 - MonteCarlo!$B$7 ^ 2 / 2) *$A10) / (MonteCarlo!$B$7 * SQRT($A10)),TRUE)-1),"")</f>
        <v/>
      </c>
      <c r="M10" t="str">
        <f>IFERROR(IF(OR(MonteCarlo!$B$4="C",MonteCarlo!$B$4="c"),_xlfn.NORM.S.DIST((LN(M$1 / MonteCarlo!$B$5) + (MonteCarlo!$B$9 + MonteCarlo!$B$7 ^ 2 / 2) *$A10) / (MonteCarlo!$B$7 * SQRT($A10)),TRUE),_xlfn.NORM.S.DIST((LN(M$1 / MonteCarlo!$B$5) + (MonteCarlo!$B$9 - MonteCarlo!$B$7 ^ 2 / 2) *$A10) / (MonteCarlo!$B$7 * SQRT($A10)),TRUE)-1),"")</f>
        <v/>
      </c>
      <c r="N10" t="str">
        <f>IFERROR(IF(OR(MonteCarlo!$B$4="C",MonteCarlo!$B$4="c"),_xlfn.NORM.S.DIST((LN(N$1 / MonteCarlo!$B$5) + (MonteCarlo!$B$9 + MonteCarlo!$B$7 ^ 2 / 2) *$A10) / (MonteCarlo!$B$7 * SQRT($A10)),TRUE),_xlfn.NORM.S.DIST((LN(N$1 / MonteCarlo!$B$5) + (MonteCarlo!$B$9 - MonteCarlo!$B$7 ^ 2 / 2) *$A10) / (MonteCarlo!$B$7 * SQRT($A10)),TRUE)-1),"")</f>
        <v/>
      </c>
      <c r="O10" t="str">
        <f>IFERROR(IF(OR(MonteCarlo!$B$4="C",MonteCarlo!$B$4="c"),_xlfn.NORM.S.DIST((LN(O$1 / MonteCarlo!$B$5) + (MonteCarlo!$B$9 + MonteCarlo!$B$7 ^ 2 / 2) *$A10) / (MonteCarlo!$B$7 * SQRT($A10)),TRUE),_xlfn.NORM.S.DIST((LN(O$1 / MonteCarlo!$B$5) + (MonteCarlo!$B$9 - MonteCarlo!$B$7 ^ 2 / 2) *$A10) / (MonteCarlo!$B$7 * SQRT($A10)),TRUE)-1),"")</f>
        <v/>
      </c>
      <c r="P10" t="str">
        <f>IFERROR(IF(OR(MonteCarlo!$B$4="C",MonteCarlo!$B$4="c"),_xlfn.NORM.S.DIST((LN(P$1 / MonteCarlo!$B$5) + (MonteCarlo!$B$9 + MonteCarlo!$B$7 ^ 2 / 2) *$A10) / (MonteCarlo!$B$7 * SQRT($A10)),TRUE),_xlfn.NORM.S.DIST((LN(P$1 / MonteCarlo!$B$5) + (MonteCarlo!$B$9 - MonteCarlo!$B$7 ^ 2 / 2) *$A10) / (MonteCarlo!$B$7 * SQRT($A10)),TRUE)-1),"")</f>
        <v/>
      </c>
      <c r="Q10" t="str">
        <f>IFERROR(IF(OR(MonteCarlo!$B$4="C",MonteCarlo!$B$4="c"),_xlfn.NORM.S.DIST((LN(Q$1 / MonteCarlo!$B$5) + (MonteCarlo!$B$9 + MonteCarlo!$B$7 ^ 2 / 2) *$A10) / (MonteCarlo!$B$7 * SQRT($A10)),TRUE),_xlfn.NORM.S.DIST((LN(Q$1 / MonteCarlo!$B$5) + (MonteCarlo!$B$9 - MonteCarlo!$B$7 ^ 2 / 2) *$A10) / (MonteCarlo!$B$7 * SQRT($A10)),TRUE)-1),"")</f>
        <v/>
      </c>
      <c r="R10" t="str">
        <f>IFERROR(IF(OR(MonteCarlo!$B$4="C",MonteCarlo!$B$4="c"),_xlfn.NORM.S.DIST((LN(R$1 / MonteCarlo!$B$5) + (MonteCarlo!$B$9 + MonteCarlo!$B$7 ^ 2 / 2) *$A10) / (MonteCarlo!$B$7 * SQRT($A10)),TRUE),_xlfn.NORM.S.DIST((LN(R$1 / MonteCarlo!$B$5) + (MonteCarlo!$B$9 - MonteCarlo!$B$7 ^ 2 / 2) *$A10) / (MonteCarlo!$B$7 * SQRT($A10)),TRUE)-1),"")</f>
        <v/>
      </c>
      <c r="S10" t="str">
        <f>IFERROR(IF(OR(MonteCarlo!$B$4="C",MonteCarlo!$B$4="c"),_xlfn.NORM.S.DIST((LN(S$1 / MonteCarlo!$B$5) + (MonteCarlo!$B$9 + MonteCarlo!$B$7 ^ 2 / 2) *$A10) / (MonteCarlo!$B$7 * SQRT($A10)),TRUE),_xlfn.NORM.S.DIST((LN(S$1 / MonteCarlo!$B$5) + (MonteCarlo!$B$9 - MonteCarlo!$B$7 ^ 2 / 2) *$A10) / (MonteCarlo!$B$7 * SQRT($A10)),TRUE)-1),"")</f>
        <v/>
      </c>
      <c r="T10" t="str">
        <f>IFERROR(IF(OR(MonteCarlo!$B$4="C",MonteCarlo!$B$4="c"),_xlfn.NORM.S.DIST((LN(T$1 / MonteCarlo!$B$5) + (MonteCarlo!$B$9 + MonteCarlo!$B$7 ^ 2 / 2) *$A10) / (MonteCarlo!$B$7 * SQRT($A10)),TRUE),_xlfn.NORM.S.DIST((LN(T$1 / MonteCarlo!$B$5) + (MonteCarlo!$B$9 - MonteCarlo!$B$7 ^ 2 / 2) *$A10) / (MonteCarlo!$B$7 * SQRT($A10)),TRUE)-1),"")</f>
        <v/>
      </c>
      <c r="U10" t="str">
        <f>IFERROR(IF(OR(MonteCarlo!$B$4="C",MonteCarlo!$B$4="c"),_xlfn.NORM.S.DIST((LN(U$1 / MonteCarlo!$B$5) + (MonteCarlo!$B$9 + MonteCarlo!$B$7 ^ 2 / 2) *$A10) / (MonteCarlo!$B$7 * SQRT($A10)),TRUE),_xlfn.NORM.S.DIST((LN(U$1 / MonteCarlo!$B$5) + (MonteCarlo!$B$9 - MonteCarlo!$B$7 ^ 2 / 2) *$A10) / (MonteCarlo!$B$7 * SQRT($A10)),TRUE)-1),"")</f>
        <v/>
      </c>
      <c r="V10" t="str">
        <f>IFERROR(IF(OR(MonteCarlo!$B$4="C",MonteCarlo!$B$4="c"),_xlfn.NORM.S.DIST((LN(V$1 / MonteCarlo!$B$5) + (MonteCarlo!$B$9 + MonteCarlo!$B$7 ^ 2 / 2) *$A10) / (MonteCarlo!$B$7 * SQRT($A10)),TRUE),_xlfn.NORM.S.DIST((LN(V$1 / MonteCarlo!$B$5) + (MonteCarlo!$B$9 - MonteCarlo!$B$7 ^ 2 / 2) *$A10) / (MonteCarlo!$B$7 * SQRT($A10)),TRUE)-1),"")</f>
        <v/>
      </c>
      <c r="W10" t="str">
        <f>IFERROR(IF(OR(MonteCarlo!$B$4="C",MonteCarlo!$B$4="c"),_xlfn.NORM.S.DIST((LN(W$1 / MonteCarlo!$B$5) + (MonteCarlo!$B$9 + MonteCarlo!$B$7 ^ 2 / 2) *$A10) / (MonteCarlo!$B$7 * SQRT($A10)),TRUE),_xlfn.NORM.S.DIST((LN(W$1 / MonteCarlo!$B$5) + (MonteCarlo!$B$9 - MonteCarlo!$B$7 ^ 2 / 2) *$A10) / (MonteCarlo!$B$7 * SQRT($A10)),TRUE)-1),"")</f>
        <v/>
      </c>
      <c r="X10" t="str">
        <f>IFERROR(IF(OR(MonteCarlo!$B$4="C",MonteCarlo!$B$4="c"),_xlfn.NORM.S.DIST((LN(X$1 / MonteCarlo!$B$5) + (MonteCarlo!$B$9 + MonteCarlo!$B$7 ^ 2 / 2) *$A10) / (MonteCarlo!$B$7 * SQRT($A10)),TRUE),_xlfn.NORM.S.DIST((LN(X$1 / MonteCarlo!$B$5) + (MonteCarlo!$B$9 - MonteCarlo!$B$7 ^ 2 / 2) *$A10) / (MonteCarlo!$B$7 * SQRT($A10)),TRUE)-1),"")</f>
        <v/>
      </c>
      <c r="Y10" t="str">
        <f>IFERROR(IF(OR(MonteCarlo!$B$4="C",MonteCarlo!$B$4="c"),_xlfn.NORM.S.DIST((LN(Y$1 / MonteCarlo!$B$5) + (MonteCarlo!$B$9 + MonteCarlo!$B$7 ^ 2 / 2) *$A10) / (MonteCarlo!$B$7 * SQRT($A10)),TRUE),_xlfn.NORM.S.DIST((LN(Y$1 / MonteCarlo!$B$5) + (MonteCarlo!$B$9 - MonteCarlo!$B$7 ^ 2 / 2) *$A10) / (MonteCarlo!$B$7 * SQRT($A10)),TRUE)-1),"")</f>
        <v/>
      </c>
      <c r="Z10" t="str">
        <f>IFERROR(IF(OR(MonteCarlo!$B$4="C",MonteCarlo!$B$4="c"),_xlfn.NORM.S.DIST((LN(Z$1 / MonteCarlo!$B$5) + (MonteCarlo!$B$9 + MonteCarlo!$B$7 ^ 2 / 2) *$A10) / (MonteCarlo!$B$7 * SQRT($A10)),TRUE),_xlfn.NORM.S.DIST((LN(Z$1 / MonteCarlo!$B$5) + (MonteCarlo!$B$9 - MonteCarlo!$B$7 ^ 2 / 2) *$A10) / (MonteCarlo!$B$7 * SQRT($A10)),TRUE)-1),"")</f>
        <v/>
      </c>
      <c r="AA10" t="str">
        <f>IFERROR(IF(OR(MonteCarlo!$B$4="C",MonteCarlo!$B$4="c"),_xlfn.NORM.S.DIST((LN(AA$1 / MonteCarlo!$B$5) + (MonteCarlo!$B$9 + MonteCarlo!$B$7 ^ 2 / 2) *$A10) / (MonteCarlo!$B$7 * SQRT($A10)),TRUE),_xlfn.NORM.S.DIST((LN(AA$1 / MonteCarlo!$B$5) + (MonteCarlo!$B$9 - MonteCarlo!$B$7 ^ 2 / 2) *$A10) / (MonteCarlo!$B$7 * SQRT($A10)),TRUE)-1),"")</f>
        <v/>
      </c>
      <c r="AB10" t="str">
        <f>IFERROR(IF(OR(MonteCarlo!$B$4="C",MonteCarlo!$B$4="c"),_xlfn.NORM.S.DIST((LN(AB$1 / MonteCarlo!$B$5) + (MonteCarlo!$B$9 + MonteCarlo!$B$7 ^ 2 / 2) *$A10) / (MonteCarlo!$B$7 * SQRT($A10)),TRUE),_xlfn.NORM.S.DIST((LN(AB$1 / MonteCarlo!$B$5) + (MonteCarlo!$B$9 - MonteCarlo!$B$7 ^ 2 / 2) *$A10) / (MonteCarlo!$B$7 * SQRT($A10)),TRUE)-1),"")</f>
        <v/>
      </c>
      <c r="AC10" t="str">
        <f>IFERROR(IF(OR(MonteCarlo!$B$4="C",MonteCarlo!$B$4="c"),_xlfn.NORM.S.DIST((LN(AC$1 / MonteCarlo!$B$5) + (MonteCarlo!$B$9 + MonteCarlo!$B$7 ^ 2 / 2) *$A10) / (MonteCarlo!$B$7 * SQRT($A10)),TRUE),_xlfn.NORM.S.DIST((LN(AC$1 / MonteCarlo!$B$5) + (MonteCarlo!$B$9 - MonteCarlo!$B$7 ^ 2 / 2) *$A10) / (MonteCarlo!$B$7 * SQRT($A10)),TRUE)-1),"")</f>
        <v/>
      </c>
      <c r="AD10" t="str">
        <f>IFERROR(IF(OR(MonteCarlo!$B$4="C",MonteCarlo!$B$4="c"),_xlfn.NORM.S.DIST((LN(AD$1 / MonteCarlo!$B$5) + (MonteCarlo!$B$9 + MonteCarlo!$B$7 ^ 2 / 2) *$A10) / (MonteCarlo!$B$7 * SQRT($A10)),TRUE),_xlfn.NORM.S.DIST((LN(AD$1 / MonteCarlo!$B$5) + (MonteCarlo!$B$9 - MonteCarlo!$B$7 ^ 2 / 2) *$A10) / (MonteCarlo!$B$7 * SQRT($A10)),TRUE)-1),"")</f>
        <v/>
      </c>
      <c r="AE10" t="str">
        <f>IFERROR(IF(OR(MonteCarlo!$B$4="C",MonteCarlo!$B$4="c"),_xlfn.NORM.S.DIST((LN(AE$1 / MonteCarlo!$B$5) + (MonteCarlo!$B$9 + MonteCarlo!$B$7 ^ 2 / 2) *$A10) / (MonteCarlo!$B$7 * SQRT($A10)),TRUE),_xlfn.NORM.S.DIST((LN(AE$1 / MonteCarlo!$B$5) + (MonteCarlo!$B$9 - MonteCarlo!$B$7 ^ 2 / 2) *$A10) / (MonteCarlo!$B$7 * SQRT($A10)),TRUE)-1),"")</f>
        <v/>
      </c>
      <c r="AF10" t="str">
        <f>IFERROR(IF(OR(MonteCarlo!$B$4="C",MonteCarlo!$B$4="c"),_xlfn.NORM.S.DIST((LN(AF$1 / MonteCarlo!$B$5) + (MonteCarlo!$B$9 + MonteCarlo!$B$7 ^ 2 / 2) *$A10) / (MonteCarlo!$B$7 * SQRT($A10)),TRUE),_xlfn.NORM.S.DIST((LN(AF$1 / MonteCarlo!$B$5) + (MonteCarlo!$B$9 - MonteCarlo!$B$7 ^ 2 / 2) *$A10) / (MonteCarlo!$B$7 * SQRT($A10)),TRUE)-1),"")</f>
        <v/>
      </c>
    </row>
    <row r="11" spans="2:32" x14ac:dyDescent="0.25">
      <c r="B11" t="str">
        <f>IFERROR(IF(OR(MonteCarlo!$B$4="C",MonteCarlo!$B$4="c"),_xlfn.NORM.S.DIST((LN(B$1 / MonteCarlo!$B$5) + (MonteCarlo!$B$9 + MonteCarlo!$B$7 ^ 2 / 2) *$A11) / (MonteCarlo!$B$7 * SQRT($A11)),TRUE),_xlfn.NORM.S.DIST((LN(B$1 / MonteCarlo!$B$5) + (MonteCarlo!$B$9 - MonteCarlo!$B$7 ^ 2 / 2) *$A11) / (MonteCarlo!$B$7 * SQRT($A11)),TRUE)-1),"")</f>
        <v/>
      </c>
      <c r="C11" t="str">
        <f>IFERROR(IF(OR(MonteCarlo!$B$4="C",MonteCarlo!$B$4="c"),_xlfn.NORM.S.DIST((LN(C$1 / MonteCarlo!$B$5) + (MonteCarlo!$B$9 + MonteCarlo!$B$7 ^ 2 / 2) *$A11) / (MonteCarlo!$B$7 * SQRT($A11)),TRUE),_xlfn.NORM.S.DIST((LN(C$1 / MonteCarlo!$B$5) + (MonteCarlo!$B$9 - MonteCarlo!$B$7 ^ 2 / 2) *$A11) / (MonteCarlo!$B$7 * SQRT($A11)),TRUE)-1),"")</f>
        <v/>
      </c>
      <c r="D11" t="str">
        <f>IFERROR(IF(OR(MonteCarlo!$B$4="C",MonteCarlo!$B$4="c"),_xlfn.NORM.S.DIST((LN(D$1 / MonteCarlo!$B$5) + (MonteCarlo!$B$9 + MonteCarlo!$B$7 ^ 2 / 2) *$A11) / (MonteCarlo!$B$7 * SQRT($A11)),TRUE),_xlfn.NORM.S.DIST((LN(D$1 / MonteCarlo!$B$5) + (MonteCarlo!$B$9 - MonteCarlo!$B$7 ^ 2 / 2) *$A11) / (MonteCarlo!$B$7 * SQRT($A11)),TRUE)-1),"")</f>
        <v/>
      </c>
      <c r="E11" t="str">
        <f>IFERROR(IF(OR(MonteCarlo!$B$4="C",MonteCarlo!$B$4="c"),_xlfn.NORM.S.DIST((LN(E$1 / MonteCarlo!$B$5) + (MonteCarlo!$B$9 + MonteCarlo!$B$7 ^ 2 / 2) *$A11) / (MonteCarlo!$B$7 * SQRT($A11)),TRUE),_xlfn.NORM.S.DIST((LN(E$1 / MonteCarlo!$B$5) + (MonteCarlo!$B$9 - MonteCarlo!$B$7 ^ 2 / 2) *$A11) / (MonteCarlo!$B$7 * SQRT($A11)),TRUE)-1),"")</f>
        <v/>
      </c>
      <c r="F11" t="str">
        <f>IFERROR(IF(OR(MonteCarlo!$B$4="C",MonteCarlo!$B$4="c"),_xlfn.NORM.S.DIST((LN(F$1 / MonteCarlo!$B$5) + (MonteCarlo!$B$9 + MonteCarlo!$B$7 ^ 2 / 2) *$A11) / (MonteCarlo!$B$7 * SQRT($A11)),TRUE),_xlfn.NORM.S.DIST((LN(F$1 / MonteCarlo!$B$5) + (MonteCarlo!$B$9 - MonteCarlo!$B$7 ^ 2 / 2) *$A11) / (MonteCarlo!$B$7 * SQRT($A11)),TRUE)-1),"")</f>
        <v/>
      </c>
      <c r="G11" t="str">
        <f>IFERROR(IF(OR(MonteCarlo!$B$4="C",MonteCarlo!$B$4="c"),_xlfn.NORM.S.DIST((LN(G$1 / MonteCarlo!$B$5) + (MonteCarlo!$B$9 + MonteCarlo!$B$7 ^ 2 / 2) *$A11) / (MonteCarlo!$B$7 * SQRT($A11)),TRUE),_xlfn.NORM.S.DIST((LN(G$1 / MonteCarlo!$B$5) + (MonteCarlo!$B$9 - MonteCarlo!$B$7 ^ 2 / 2) *$A11) / (MonteCarlo!$B$7 * SQRT($A11)),TRUE)-1),"")</f>
        <v/>
      </c>
      <c r="H11" t="str">
        <f>IFERROR(IF(OR(MonteCarlo!$B$4="C",MonteCarlo!$B$4="c"),_xlfn.NORM.S.DIST((LN(H$1 / MonteCarlo!$B$5) + (MonteCarlo!$B$9 + MonteCarlo!$B$7 ^ 2 / 2) *$A11) / (MonteCarlo!$B$7 * SQRT($A11)),TRUE),_xlfn.NORM.S.DIST((LN(H$1 / MonteCarlo!$B$5) + (MonteCarlo!$B$9 - MonteCarlo!$B$7 ^ 2 / 2) *$A11) / (MonteCarlo!$B$7 * SQRT($A11)),TRUE)-1),"")</f>
        <v/>
      </c>
      <c r="I11" t="str">
        <f>IFERROR(IF(OR(MonteCarlo!$B$4="C",MonteCarlo!$B$4="c"),_xlfn.NORM.S.DIST((LN(I$1 / MonteCarlo!$B$5) + (MonteCarlo!$B$9 + MonteCarlo!$B$7 ^ 2 / 2) *$A11) / (MonteCarlo!$B$7 * SQRT($A11)),TRUE),_xlfn.NORM.S.DIST((LN(I$1 / MonteCarlo!$B$5) + (MonteCarlo!$B$9 - MonteCarlo!$B$7 ^ 2 / 2) *$A11) / (MonteCarlo!$B$7 * SQRT($A11)),TRUE)-1),"")</f>
        <v/>
      </c>
      <c r="J11" t="str">
        <f>IFERROR(IF(OR(MonteCarlo!$B$4="C",MonteCarlo!$B$4="c"),_xlfn.NORM.S.DIST((LN(J$1 / MonteCarlo!$B$5) + (MonteCarlo!$B$9 + MonteCarlo!$B$7 ^ 2 / 2) *$A11) / (MonteCarlo!$B$7 * SQRT($A11)),TRUE),_xlfn.NORM.S.DIST((LN(J$1 / MonteCarlo!$B$5) + (MonteCarlo!$B$9 - MonteCarlo!$B$7 ^ 2 / 2) *$A11) / (MonteCarlo!$B$7 * SQRT($A11)),TRUE)-1),"")</f>
        <v/>
      </c>
      <c r="K11" t="str">
        <f>IFERROR(IF(OR(MonteCarlo!$B$4="C",MonteCarlo!$B$4="c"),_xlfn.NORM.S.DIST((LN(K$1 / MonteCarlo!$B$5) + (MonteCarlo!$B$9 + MonteCarlo!$B$7 ^ 2 / 2) *$A11) / (MonteCarlo!$B$7 * SQRT($A11)),TRUE),_xlfn.NORM.S.DIST((LN(K$1 / MonteCarlo!$B$5) + (MonteCarlo!$B$9 - MonteCarlo!$B$7 ^ 2 / 2) *$A11) / (MonteCarlo!$B$7 * SQRT($A11)),TRUE)-1),"")</f>
        <v/>
      </c>
      <c r="L11" t="str">
        <f>IFERROR(IF(OR(MonteCarlo!$B$4="C",MonteCarlo!$B$4="c"),_xlfn.NORM.S.DIST((LN(L$1 / MonteCarlo!$B$5) + (MonteCarlo!$B$9 + MonteCarlo!$B$7 ^ 2 / 2) *$A11) / (MonteCarlo!$B$7 * SQRT($A11)),TRUE),_xlfn.NORM.S.DIST((LN(L$1 / MonteCarlo!$B$5) + (MonteCarlo!$B$9 - MonteCarlo!$B$7 ^ 2 / 2) *$A11) / (MonteCarlo!$B$7 * SQRT($A11)),TRUE)-1),"")</f>
        <v/>
      </c>
      <c r="M11" t="str">
        <f>IFERROR(IF(OR(MonteCarlo!$B$4="C",MonteCarlo!$B$4="c"),_xlfn.NORM.S.DIST((LN(M$1 / MonteCarlo!$B$5) + (MonteCarlo!$B$9 + MonteCarlo!$B$7 ^ 2 / 2) *$A11) / (MonteCarlo!$B$7 * SQRT($A11)),TRUE),_xlfn.NORM.S.DIST((LN(M$1 / MonteCarlo!$B$5) + (MonteCarlo!$B$9 - MonteCarlo!$B$7 ^ 2 / 2) *$A11) / (MonteCarlo!$B$7 * SQRT($A11)),TRUE)-1),"")</f>
        <v/>
      </c>
      <c r="N11" t="str">
        <f>IFERROR(IF(OR(MonteCarlo!$B$4="C",MonteCarlo!$B$4="c"),_xlfn.NORM.S.DIST((LN(N$1 / MonteCarlo!$B$5) + (MonteCarlo!$B$9 + MonteCarlo!$B$7 ^ 2 / 2) *$A11) / (MonteCarlo!$B$7 * SQRT($A11)),TRUE),_xlfn.NORM.S.DIST((LN(N$1 / MonteCarlo!$B$5) + (MonteCarlo!$B$9 - MonteCarlo!$B$7 ^ 2 / 2) *$A11) / (MonteCarlo!$B$7 * SQRT($A11)),TRUE)-1),"")</f>
        <v/>
      </c>
      <c r="O11" t="str">
        <f>IFERROR(IF(OR(MonteCarlo!$B$4="C",MonteCarlo!$B$4="c"),_xlfn.NORM.S.DIST((LN(O$1 / MonteCarlo!$B$5) + (MonteCarlo!$B$9 + MonteCarlo!$B$7 ^ 2 / 2) *$A11) / (MonteCarlo!$B$7 * SQRT($A11)),TRUE),_xlfn.NORM.S.DIST((LN(O$1 / MonteCarlo!$B$5) + (MonteCarlo!$B$9 - MonteCarlo!$B$7 ^ 2 / 2) *$A11) / (MonteCarlo!$B$7 * SQRT($A11)),TRUE)-1),"")</f>
        <v/>
      </c>
      <c r="P11" t="str">
        <f>IFERROR(IF(OR(MonteCarlo!$B$4="C",MonteCarlo!$B$4="c"),_xlfn.NORM.S.DIST((LN(P$1 / MonteCarlo!$B$5) + (MonteCarlo!$B$9 + MonteCarlo!$B$7 ^ 2 / 2) *$A11) / (MonteCarlo!$B$7 * SQRT($A11)),TRUE),_xlfn.NORM.S.DIST((LN(P$1 / MonteCarlo!$B$5) + (MonteCarlo!$B$9 - MonteCarlo!$B$7 ^ 2 / 2) *$A11) / (MonteCarlo!$B$7 * SQRT($A11)),TRUE)-1),"")</f>
        <v/>
      </c>
      <c r="Q11" t="str">
        <f>IFERROR(IF(OR(MonteCarlo!$B$4="C",MonteCarlo!$B$4="c"),_xlfn.NORM.S.DIST((LN(Q$1 / MonteCarlo!$B$5) + (MonteCarlo!$B$9 + MonteCarlo!$B$7 ^ 2 / 2) *$A11) / (MonteCarlo!$B$7 * SQRT($A11)),TRUE),_xlfn.NORM.S.DIST((LN(Q$1 / MonteCarlo!$B$5) + (MonteCarlo!$B$9 - MonteCarlo!$B$7 ^ 2 / 2) *$A11) / (MonteCarlo!$B$7 * SQRT($A11)),TRUE)-1),"")</f>
        <v/>
      </c>
      <c r="R11" t="str">
        <f>IFERROR(IF(OR(MonteCarlo!$B$4="C",MonteCarlo!$B$4="c"),_xlfn.NORM.S.DIST((LN(R$1 / MonteCarlo!$B$5) + (MonteCarlo!$B$9 + MonteCarlo!$B$7 ^ 2 / 2) *$A11) / (MonteCarlo!$B$7 * SQRT($A11)),TRUE),_xlfn.NORM.S.DIST((LN(R$1 / MonteCarlo!$B$5) + (MonteCarlo!$B$9 - MonteCarlo!$B$7 ^ 2 / 2) *$A11) / (MonteCarlo!$B$7 * SQRT($A11)),TRUE)-1),"")</f>
        <v/>
      </c>
      <c r="S11" t="str">
        <f>IFERROR(IF(OR(MonteCarlo!$B$4="C",MonteCarlo!$B$4="c"),_xlfn.NORM.S.DIST((LN(S$1 / MonteCarlo!$B$5) + (MonteCarlo!$B$9 + MonteCarlo!$B$7 ^ 2 / 2) *$A11) / (MonteCarlo!$B$7 * SQRT($A11)),TRUE),_xlfn.NORM.S.DIST((LN(S$1 / MonteCarlo!$B$5) + (MonteCarlo!$B$9 - MonteCarlo!$B$7 ^ 2 / 2) *$A11) / (MonteCarlo!$B$7 * SQRT($A11)),TRUE)-1),"")</f>
        <v/>
      </c>
      <c r="T11" t="str">
        <f>IFERROR(IF(OR(MonteCarlo!$B$4="C",MonteCarlo!$B$4="c"),_xlfn.NORM.S.DIST((LN(T$1 / MonteCarlo!$B$5) + (MonteCarlo!$B$9 + MonteCarlo!$B$7 ^ 2 / 2) *$A11) / (MonteCarlo!$B$7 * SQRT($A11)),TRUE),_xlfn.NORM.S.DIST((LN(T$1 / MonteCarlo!$B$5) + (MonteCarlo!$B$9 - MonteCarlo!$B$7 ^ 2 / 2) *$A11) / (MonteCarlo!$B$7 * SQRT($A11)),TRUE)-1),"")</f>
        <v/>
      </c>
      <c r="U11" t="str">
        <f>IFERROR(IF(OR(MonteCarlo!$B$4="C",MonteCarlo!$B$4="c"),_xlfn.NORM.S.DIST((LN(U$1 / MonteCarlo!$B$5) + (MonteCarlo!$B$9 + MonteCarlo!$B$7 ^ 2 / 2) *$A11) / (MonteCarlo!$B$7 * SQRT($A11)),TRUE),_xlfn.NORM.S.DIST((LN(U$1 / MonteCarlo!$B$5) + (MonteCarlo!$B$9 - MonteCarlo!$B$7 ^ 2 / 2) *$A11) / (MonteCarlo!$B$7 * SQRT($A11)),TRUE)-1),"")</f>
        <v/>
      </c>
      <c r="V11" t="str">
        <f>IFERROR(IF(OR(MonteCarlo!$B$4="C",MonteCarlo!$B$4="c"),_xlfn.NORM.S.DIST((LN(V$1 / MonteCarlo!$B$5) + (MonteCarlo!$B$9 + MonteCarlo!$B$7 ^ 2 / 2) *$A11) / (MonteCarlo!$B$7 * SQRT($A11)),TRUE),_xlfn.NORM.S.DIST((LN(V$1 / MonteCarlo!$B$5) + (MonteCarlo!$B$9 - MonteCarlo!$B$7 ^ 2 / 2) *$A11) / (MonteCarlo!$B$7 * SQRT($A11)),TRUE)-1),"")</f>
        <v/>
      </c>
      <c r="W11" t="str">
        <f>IFERROR(IF(OR(MonteCarlo!$B$4="C",MonteCarlo!$B$4="c"),_xlfn.NORM.S.DIST((LN(W$1 / MonteCarlo!$B$5) + (MonteCarlo!$B$9 + MonteCarlo!$B$7 ^ 2 / 2) *$A11) / (MonteCarlo!$B$7 * SQRT($A11)),TRUE),_xlfn.NORM.S.DIST((LN(W$1 / MonteCarlo!$B$5) + (MonteCarlo!$B$9 - MonteCarlo!$B$7 ^ 2 / 2) *$A11) / (MonteCarlo!$B$7 * SQRT($A11)),TRUE)-1),"")</f>
        <v/>
      </c>
      <c r="X11" t="str">
        <f>IFERROR(IF(OR(MonteCarlo!$B$4="C",MonteCarlo!$B$4="c"),_xlfn.NORM.S.DIST((LN(X$1 / MonteCarlo!$B$5) + (MonteCarlo!$B$9 + MonteCarlo!$B$7 ^ 2 / 2) *$A11) / (MonteCarlo!$B$7 * SQRT($A11)),TRUE),_xlfn.NORM.S.DIST((LN(X$1 / MonteCarlo!$B$5) + (MonteCarlo!$B$9 - MonteCarlo!$B$7 ^ 2 / 2) *$A11) / (MonteCarlo!$B$7 * SQRT($A11)),TRUE)-1),"")</f>
        <v/>
      </c>
      <c r="Y11" t="str">
        <f>IFERROR(IF(OR(MonteCarlo!$B$4="C",MonteCarlo!$B$4="c"),_xlfn.NORM.S.DIST((LN(Y$1 / MonteCarlo!$B$5) + (MonteCarlo!$B$9 + MonteCarlo!$B$7 ^ 2 / 2) *$A11) / (MonteCarlo!$B$7 * SQRT($A11)),TRUE),_xlfn.NORM.S.DIST((LN(Y$1 / MonteCarlo!$B$5) + (MonteCarlo!$B$9 - MonteCarlo!$B$7 ^ 2 / 2) *$A11) / (MonteCarlo!$B$7 * SQRT($A11)),TRUE)-1),"")</f>
        <v/>
      </c>
      <c r="Z11" t="str">
        <f>IFERROR(IF(OR(MonteCarlo!$B$4="C",MonteCarlo!$B$4="c"),_xlfn.NORM.S.DIST((LN(Z$1 / MonteCarlo!$B$5) + (MonteCarlo!$B$9 + MonteCarlo!$B$7 ^ 2 / 2) *$A11) / (MonteCarlo!$B$7 * SQRT($A11)),TRUE),_xlfn.NORM.S.DIST((LN(Z$1 / MonteCarlo!$B$5) + (MonteCarlo!$B$9 - MonteCarlo!$B$7 ^ 2 / 2) *$A11) / (MonteCarlo!$B$7 * SQRT($A11)),TRUE)-1),"")</f>
        <v/>
      </c>
      <c r="AA11" t="str">
        <f>IFERROR(IF(OR(MonteCarlo!$B$4="C",MonteCarlo!$B$4="c"),_xlfn.NORM.S.DIST((LN(AA$1 / MonteCarlo!$B$5) + (MonteCarlo!$B$9 + MonteCarlo!$B$7 ^ 2 / 2) *$A11) / (MonteCarlo!$B$7 * SQRT($A11)),TRUE),_xlfn.NORM.S.DIST((LN(AA$1 / MonteCarlo!$B$5) + (MonteCarlo!$B$9 - MonteCarlo!$B$7 ^ 2 / 2) *$A11) / (MonteCarlo!$B$7 * SQRT($A11)),TRUE)-1),"")</f>
        <v/>
      </c>
      <c r="AB11" t="str">
        <f>IFERROR(IF(OR(MonteCarlo!$B$4="C",MonteCarlo!$B$4="c"),_xlfn.NORM.S.DIST((LN(AB$1 / MonteCarlo!$B$5) + (MonteCarlo!$B$9 + MonteCarlo!$B$7 ^ 2 / 2) *$A11) / (MonteCarlo!$B$7 * SQRT($A11)),TRUE),_xlfn.NORM.S.DIST((LN(AB$1 / MonteCarlo!$B$5) + (MonteCarlo!$B$9 - MonteCarlo!$B$7 ^ 2 / 2) *$A11) / (MonteCarlo!$B$7 * SQRT($A11)),TRUE)-1),"")</f>
        <v/>
      </c>
      <c r="AC11" t="str">
        <f>IFERROR(IF(OR(MonteCarlo!$B$4="C",MonteCarlo!$B$4="c"),_xlfn.NORM.S.DIST((LN(AC$1 / MonteCarlo!$B$5) + (MonteCarlo!$B$9 + MonteCarlo!$B$7 ^ 2 / 2) *$A11) / (MonteCarlo!$B$7 * SQRT($A11)),TRUE),_xlfn.NORM.S.DIST((LN(AC$1 / MonteCarlo!$B$5) + (MonteCarlo!$B$9 - MonteCarlo!$B$7 ^ 2 / 2) *$A11) / (MonteCarlo!$B$7 * SQRT($A11)),TRUE)-1),"")</f>
        <v/>
      </c>
      <c r="AD11" t="str">
        <f>IFERROR(IF(OR(MonteCarlo!$B$4="C",MonteCarlo!$B$4="c"),_xlfn.NORM.S.DIST((LN(AD$1 / MonteCarlo!$B$5) + (MonteCarlo!$B$9 + MonteCarlo!$B$7 ^ 2 / 2) *$A11) / (MonteCarlo!$B$7 * SQRT($A11)),TRUE),_xlfn.NORM.S.DIST((LN(AD$1 / MonteCarlo!$B$5) + (MonteCarlo!$B$9 - MonteCarlo!$B$7 ^ 2 / 2) *$A11) / (MonteCarlo!$B$7 * SQRT($A11)),TRUE)-1),"")</f>
        <v/>
      </c>
      <c r="AE11" t="str">
        <f>IFERROR(IF(OR(MonteCarlo!$B$4="C",MonteCarlo!$B$4="c"),_xlfn.NORM.S.DIST((LN(AE$1 / MonteCarlo!$B$5) + (MonteCarlo!$B$9 + MonteCarlo!$B$7 ^ 2 / 2) *$A11) / (MonteCarlo!$B$7 * SQRT($A11)),TRUE),_xlfn.NORM.S.DIST((LN(AE$1 / MonteCarlo!$B$5) + (MonteCarlo!$B$9 - MonteCarlo!$B$7 ^ 2 / 2) *$A11) / (MonteCarlo!$B$7 * SQRT($A11)),TRUE)-1),"")</f>
        <v/>
      </c>
      <c r="AF11" t="str">
        <f>IFERROR(IF(OR(MonteCarlo!$B$4="C",MonteCarlo!$B$4="c"),_xlfn.NORM.S.DIST((LN(AF$1 / MonteCarlo!$B$5) + (MonteCarlo!$B$9 + MonteCarlo!$B$7 ^ 2 / 2) *$A11) / (MonteCarlo!$B$7 * SQRT($A11)),TRUE),_xlfn.NORM.S.DIST((LN(AF$1 / MonteCarlo!$B$5) + (MonteCarlo!$B$9 - MonteCarlo!$B$7 ^ 2 / 2) *$A11) / (MonteCarlo!$B$7 * SQRT($A11)),TRUE)-1),"")</f>
        <v/>
      </c>
    </row>
    <row r="12" spans="2:32" x14ac:dyDescent="0.25">
      <c r="B12" t="str">
        <f>IFERROR(IF(OR(MonteCarlo!$B$4="C",MonteCarlo!$B$4="c"),_xlfn.NORM.S.DIST((LN(B$1 / MonteCarlo!$B$5) + (MonteCarlo!$B$9 + MonteCarlo!$B$7 ^ 2 / 2) *$A12) / (MonteCarlo!$B$7 * SQRT($A12)),TRUE),_xlfn.NORM.S.DIST((LN(B$1 / MonteCarlo!$B$5) + (MonteCarlo!$B$9 - MonteCarlo!$B$7 ^ 2 / 2) *$A12) / (MonteCarlo!$B$7 * SQRT($A12)),TRUE)-1),"")</f>
        <v/>
      </c>
      <c r="C12" t="str">
        <f>IFERROR(IF(OR(MonteCarlo!$B$4="C",MonteCarlo!$B$4="c"),_xlfn.NORM.S.DIST((LN(C$1 / MonteCarlo!$B$5) + (MonteCarlo!$B$9 + MonteCarlo!$B$7 ^ 2 / 2) *$A12) / (MonteCarlo!$B$7 * SQRT($A12)),TRUE),_xlfn.NORM.S.DIST((LN(C$1 / MonteCarlo!$B$5) + (MonteCarlo!$B$9 - MonteCarlo!$B$7 ^ 2 / 2) *$A12) / (MonteCarlo!$B$7 * SQRT($A12)),TRUE)-1),"")</f>
        <v/>
      </c>
      <c r="D12" t="str">
        <f>IFERROR(IF(OR(MonteCarlo!$B$4="C",MonteCarlo!$B$4="c"),_xlfn.NORM.S.DIST((LN(D$1 / MonteCarlo!$B$5) + (MonteCarlo!$B$9 + MonteCarlo!$B$7 ^ 2 / 2) *$A12) / (MonteCarlo!$B$7 * SQRT($A12)),TRUE),_xlfn.NORM.S.DIST((LN(D$1 / MonteCarlo!$B$5) + (MonteCarlo!$B$9 - MonteCarlo!$B$7 ^ 2 / 2) *$A12) / (MonteCarlo!$B$7 * SQRT($A12)),TRUE)-1),"")</f>
        <v/>
      </c>
      <c r="E12" t="str">
        <f>IFERROR(IF(OR(MonteCarlo!$B$4="C",MonteCarlo!$B$4="c"),_xlfn.NORM.S.DIST((LN(E$1 / MonteCarlo!$B$5) + (MonteCarlo!$B$9 + MonteCarlo!$B$7 ^ 2 / 2) *$A12) / (MonteCarlo!$B$7 * SQRT($A12)),TRUE),_xlfn.NORM.S.DIST((LN(E$1 / MonteCarlo!$B$5) + (MonteCarlo!$B$9 - MonteCarlo!$B$7 ^ 2 / 2) *$A12) / (MonteCarlo!$B$7 * SQRT($A12)),TRUE)-1),"")</f>
        <v/>
      </c>
      <c r="F12" t="str">
        <f>IFERROR(IF(OR(MonteCarlo!$B$4="C",MonteCarlo!$B$4="c"),_xlfn.NORM.S.DIST((LN(F$1 / MonteCarlo!$B$5) + (MonteCarlo!$B$9 + MonteCarlo!$B$7 ^ 2 / 2) *$A12) / (MonteCarlo!$B$7 * SQRT($A12)),TRUE),_xlfn.NORM.S.DIST((LN(F$1 / MonteCarlo!$B$5) + (MonteCarlo!$B$9 - MonteCarlo!$B$7 ^ 2 / 2) *$A12) / (MonteCarlo!$B$7 * SQRT($A12)),TRUE)-1),"")</f>
        <v/>
      </c>
      <c r="G12" t="str">
        <f>IFERROR(IF(OR(MonteCarlo!$B$4="C",MonteCarlo!$B$4="c"),_xlfn.NORM.S.DIST((LN(G$1 / MonteCarlo!$B$5) + (MonteCarlo!$B$9 + MonteCarlo!$B$7 ^ 2 / 2) *$A12) / (MonteCarlo!$B$7 * SQRT($A12)),TRUE),_xlfn.NORM.S.DIST((LN(G$1 / MonteCarlo!$B$5) + (MonteCarlo!$B$9 - MonteCarlo!$B$7 ^ 2 / 2) *$A12) / (MonteCarlo!$B$7 * SQRT($A12)),TRUE)-1),"")</f>
        <v/>
      </c>
      <c r="H12" t="str">
        <f>IFERROR(IF(OR(MonteCarlo!$B$4="C",MonteCarlo!$B$4="c"),_xlfn.NORM.S.DIST((LN(H$1 / MonteCarlo!$B$5) + (MonteCarlo!$B$9 + MonteCarlo!$B$7 ^ 2 / 2) *$A12) / (MonteCarlo!$B$7 * SQRT($A12)),TRUE),_xlfn.NORM.S.DIST((LN(H$1 / MonteCarlo!$B$5) + (MonteCarlo!$B$9 - MonteCarlo!$B$7 ^ 2 / 2) *$A12) / (MonteCarlo!$B$7 * SQRT($A12)),TRUE)-1),"")</f>
        <v/>
      </c>
      <c r="I12" t="str">
        <f>IFERROR(IF(OR(MonteCarlo!$B$4="C",MonteCarlo!$B$4="c"),_xlfn.NORM.S.DIST((LN(I$1 / MonteCarlo!$B$5) + (MonteCarlo!$B$9 + MonteCarlo!$B$7 ^ 2 / 2) *$A12) / (MonteCarlo!$B$7 * SQRT($A12)),TRUE),_xlfn.NORM.S.DIST((LN(I$1 / MonteCarlo!$B$5) + (MonteCarlo!$B$9 - MonteCarlo!$B$7 ^ 2 / 2) *$A12) / (MonteCarlo!$B$7 * SQRT($A12)),TRUE)-1),"")</f>
        <v/>
      </c>
      <c r="J12" t="str">
        <f>IFERROR(IF(OR(MonteCarlo!$B$4="C",MonteCarlo!$B$4="c"),_xlfn.NORM.S.DIST((LN(J$1 / MonteCarlo!$B$5) + (MonteCarlo!$B$9 + MonteCarlo!$B$7 ^ 2 / 2) *$A12) / (MonteCarlo!$B$7 * SQRT($A12)),TRUE),_xlfn.NORM.S.DIST((LN(J$1 / MonteCarlo!$B$5) + (MonteCarlo!$B$9 - MonteCarlo!$B$7 ^ 2 / 2) *$A12) / (MonteCarlo!$B$7 * SQRT($A12)),TRUE)-1),"")</f>
        <v/>
      </c>
      <c r="K12" t="str">
        <f>IFERROR(IF(OR(MonteCarlo!$B$4="C",MonteCarlo!$B$4="c"),_xlfn.NORM.S.DIST((LN(K$1 / MonteCarlo!$B$5) + (MonteCarlo!$B$9 + MonteCarlo!$B$7 ^ 2 / 2) *$A12) / (MonteCarlo!$B$7 * SQRT($A12)),TRUE),_xlfn.NORM.S.DIST((LN(K$1 / MonteCarlo!$B$5) + (MonteCarlo!$B$9 - MonteCarlo!$B$7 ^ 2 / 2) *$A12) / (MonteCarlo!$B$7 * SQRT($A12)),TRUE)-1),"")</f>
        <v/>
      </c>
      <c r="L12" t="str">
        <f>IFERROR(IF(OR(MonteCarlo!$B$4="C",MonteCarlo!$B$4="c"),_xlfn.NORM.S.DIST((LN(L$1 / MonteCarlo!$B$5) + (MonteCarlo!$B$9 + MonteCarlo!$B$7 ^ 2 / 2) *$A12) / (MonteCarlo!$B$7 * SQRT($A12)),TRUE),_xlfn.NORM.S.DIST((LN(L$1 / MonteCarlo!$B$5) + (MonteCarlo!$B$9 - MonteCarlo!$B$7 ^ 2 / 2) *$A12) / (MonteCarlo!$B$7 * SQRT($A12)),TRUE)-1),"")</f>
        <v/>
      </c>
      <c r="M12" t="str">
        <f>IFERROR(IF(OR(MonteCarlo!$B$4="C",MonteCarlo!$B$4="c"),_xlfn.NORM.S.DIST((LN(M$1 / MonteCarlo!$B$5) + (MonteCarlo!$B$9 + MonteCarlo!$B$7 ^ 2 / 2) *$A12) / (MonteCarlo!$B$7 * SQRT($A12)),TRUE),_xlfn.NORM.S.DIST((LN(M$1 / MonteCarlo!$B$5) + (MonteCarlo!$B$9 - MonteCarlo!$B$7 ^ 2 / 2) *$A12) / (MonteCarlo!$B$7 * SQRT($A12)),TRUE)-1),"")</f>
        <v/>
      </c>
      <c r="N12" t="str">
        <f>IFERROR(IF(OR(MonteCarlo!$B$4="C",MonteCarlo!$B$4="c"),_xlfn.NORM.S.DIST((LN(N$1 / MonteCarlo!$B$5) + (MonteCarlo!$B$9 + MonteCarlo!$B$7 ^ 2 / 2) *$A12) / (MonteCarlo!$B$7 * SQRT($A12)),TRUE),_xlfn.NORM.S.DIST((LN(N$1 / MonteCarlo!$B$5) + (MonteCarlo!$B$9 - MonteCarlo!$B$7 ^ 2 / 2) *$A12) / (MonteCarlo!$B$7 * SQRT($A12)),TRUE)-1),"")</f>
        <v/>
      </c>
      <c r="O12" t="str">
        <f>IFERROR(IF(OR(MonteCarlo!$B$4="C",MonteCarlo!$B$4="c"),_xlfn.NORM.S.DIST((LN(O$1 / MonteCarlo!$B$5) + (MonteCarlo!$B$9 + MonteCarlo!$B$7 ^ 2 / 2) *$A12) / (MonteCarlo!$B$7 * SQRT($A12)),TRUE),_xlfn.NORM.S.DIST((LN(O$1 / MonteCarlo!$B$5) + (MonteCarlo!$B$9 - MonteCarlo!$B$7 ^ 2 / 2) *$A12) / (MonteCarlo!$B$7 * SQRT($A12)),TRUE)-1),"")</f>
        <v/>
      </c>
      <c r="P12" t="str">
        <f>IFERROR(IF(OR(MonteCarlo!$B$4="C",MonteCarlo!$B$4="c"),_xlfn.NORM.S.DIST((LN(P$1 / MonteCarlo!$B$5) + (MonteCarlo!$B$9 + MonteCarlo!$B$7 ^ 2 / 2) *$A12) / (MonteCarlo!$B$7 * SQRT($A12)),TRUE),_xlfn.NORM.S.DIST((LN(P$1 / MonteCarlo!$B$5) + (MonteCarlo!$B$9 - MonteCarlo!$B$7 ^ 2 / 2) *$A12) / (MonteCarlo!$B$7 * SQRT($A12)),TRUE)-1),"")</f>
        <v/>
      </c>
      <c r="Q12" t="str">
        <f>IFERROR(IF(OR(MonteCarlo!$B$4="C",MonteCarlo!$B$4="c"),_xlfn.NORM.S.DIST((LN(Q$1 / MonteCarlo!$B$5) + (MonteCarlo!$B$9 + MonteCarlo!$B$7 ^ 2 / 2) *$A12) / (MonteCarlo!$B$7 * SQRT($A12)),TRUE),_xlfn.NORM.S.DIST((LN(Q$1 / MonteCarlo!$B$5) + (MonteCarlo!$B$9 - MonteCarlo!$B$7 ^ 2 / 2) *$A12) / (MonteCarlo!$B$7 * SQRT($A12)),TRUE)-1),"")</f>
        <v/>
      </c>
      <c r="R12" t="str">
        <f>IFERROR(IF(OR(MonteCarlo!$B$4="C",MonteCarlo!$B$4="c"),_xlfn.NORM.S.DIST((LN(R$1 / MonteCarlo!$B$5) + (MonteCarlo!$B$9 + MonteCarlo!$B$7 ^ 2 / 2) *$A12) / (MonteCarlo!$B$7 * SQRT($A12)),TRUE),_xlfn.NORM.S.DIST((LN(R$1 / MonteCarlo!$B$5) + (MonteCarlo!$B$9 - MonteCarlo!$B$7 ^ 2 / 2) *$A12) / (MonteCarlo!$B$7 * SQRT($A12)),TRUE)-1),"")</f>
        <v/>
      </c>
      <c r="S12" t="str">
        <f>IFERROR(IF(OR(MonteCarlo!$B$4="C",MonteCarlo!$B$4="c"),_xlfn.NORM.S.DIST((LN(S$1 / MonteCarlo!$B$5) + (MonteCarlo!$B$9 + MonteCarlo!$B$7 ^ 2 / 2) *$A12) / (MonteCarlo!$B$7 * SQRT($A12)),TRUE),_xlfn.NORM.S.DIST((LN(S$1 / MonteCarlo!$B$5) + (MonteCarlo!$B$9 - MonteCarlo!$B$7 ^ 2 / 2) *$A12) / (MonteCarlo!$B$7 * SQRT($A12)),TRUE)-1),"")</f>
        <v/>
      </c>
      <c r="T12" t="str">
        <f>IFERROR(IF(OR(MonteCarlo!$B$4="C",MonteCarlo!$B$4="c"),_xlfn.NORM.S.DIST((LN(T$1 / MonteCarlo!$B$5) + (MonteCarlo!$B$9 + MonteCarlo!$B$7 ^ 2 / 2) *$A12) / (MonteCarlo!$B$7 * SQRT($A12)),TRUE),_xlfn.NORM.S.DIST((LN(T$1 / MonteCarlo!$B$5) + (MonteCarlo!$B$9 - MonteCarlo!$B$7 ^ 2 / 2) *$A12) / (MonteCarlo!$B$7 * SQRT($A12)),TRUE)-1),"")</f>
        <v/>
      </c>
      <c r="U12" t="str">
        <f>IFERROR(IF(OR(MonteCarlo!$B$4="C",MonteCarlo!$B$4="c"),_xlfn.NORM.S.DIST((LN(U$1 / MonteCarlo!$B$5) + (MonteCarlo!$B$9 + MonteCarlo!$B$7 ^ 2 / 2) *$A12) / (MonteCarlo!$B$7 * SQRT($A12)),TRUE),_xlfn.NORM.S.DIST((LN(U$1 / MonteCarlo!$B$5) + (MonteCarlo!$B$9 - MonteCarlo!$B$7 ^ 2 / 2) *$A12) / (MonteCarlo!$B$7 * SQRT($A12)),TRUE)-1),"")</f>
        <v/>
      </c>
      <c r="V12" t="str">
        <f>IFERROR(IF(OR(MonteCarlo!$B$4="C",MonteCarlo!$B$4="c"),_xlfn.NORM.S.DIST((LN(V$1 / MonteCarlo!$B$5) + (MonteCarlo!$B$9 + MonteCarlo!$B$7 ^ 2 / 2) *$A12) / (MonteCarlo!$B$7 * SQRT($A12)),TRUE),_xlfn.NORM.S.DIST((LN(V$1 / MonteCarlo!$B$5) + (MonteCarlo!$B$9 - MonteCarlo!$B$7 ^ 2 / 2) *$A12) / (MonteCarlo!$B$7 * SQRT($A12)),TRUE)-1),"")</f>
        <v/>
      </c>
      <c r="W12" t="str">
        <f>IFERROR(IF(OR(MonteCarlo!$B$4="C",MonteCarlo!$B$4="c"),_xlfn.NORM.S.DIST((LN(W$1 / MonteCarlo!$B$5) + (MonteCarlo!$B$9 + MonteCarlo!$B$7 ^ 2 / 2) *$A12) / (MonteCarlo!$B$7 * SQRT($A12)),TRUE),_xlfn.NORM.S.DIST((LN(W$1 / MonteCarlo!$B$5) + (MonteCarlo!$B$9 - MonteCarlo!$B$7 ^ 2 / 2) *$A12) / (MonteCarlo!$B$7 * SQRT($A12)),TRUE)-1),"")</f>
        <v/>
      </c>
      <c r="X12" t="str">
        <f>IFERROR(IF(OR(MonteCarlo!$B$4="C",MonteCarlo!$B$4="c"),_xlfn.NORM.S.DIST((LN(X$1 / MonteCarlo!$B$5) + (MonteCarlo!$B$9 + MonteCarlo!$B$7 ^ 2 / 2) *$A12) / (MonteCarlo!$B$7 * SQRT($A12)),TRUE),_xlfn.NORM.S.DIST((LN(X$1 / MonteCarlo!$B$5) + (MonteCarlo!$B$9 - MonteCarlo!$B$7 ^ 2 / 2) *$A12) / (MonteCarlo!$B$7 * SQRT($A12)),TRUE)-1),"")</f>
        <v/>
      </c>
      <c r="Y12" t="str">
        <f>IFERROR(IF(OR(MonteCarlo!$B$4="C",MonteCarlo!$B$4="c"),_xlfn.NORM.S.DIST((LN(Y$1 / MonteCarlo!$B$5) + (MonteCarlo!$B$9 + MonteCarlo!$B$7 ^ 2 / 2) *$A12) / (MonteCarlo!$B$7 * SQRT($A12)),TRUE),_xlfn.NORM.S.DIST((LN(Y$1 / MonteCarlo!$B$5) + (MonteCarlo!$B$9 - MonteCarlo!$B$7 ^ 2 / 2) *$A12) / (MonteCarlo!$B$7 * SQRT($A12)),TRUE)-1),"")</f>
        <v/>
      </c>
      <c r="Z12" t="str">
        <f>IFERROR(IF(OR(MonteCarlo!$B$4="C",MonteCarlo!$B$4="c"),_xlfn.NORM.S.DIST((LN(Z$1 / MonteCarlo!$B$5) + (MonteCarlo!$B$9 + MonteCarlo!$B$7 ^ 2 / 2) *$A12) / (MonteCarlo!$B$7 * SQRT($A12)),TRUE),_xlfn.NORM.S.DIST((LN(Z$1 / MonteCarlo!$B$5) + (MonteCarlo!$B$9 - MonteCarlo!$B$7 ^ 2 / 2) *$A12) / (MonteCarlo!$B$7 * SQRT($A12)),TRUE)-1),"")</f>
        <v/>
      </c>
      <c r="AA12" t="str">
        <f>IFERROR(IF(OR(MonteCarlo!$B$4="C",MonteCarlo!$B$4="c"),_xlfn.NORM.S.DIST((LN(AA$1 / MonteCarlo!$B$5) + (MonteCarlo!$B$9 + MonteCarlo!$B$7 ^ 2 / 2) *$A12) / (MonteCarlo!$B$7 * SQRT($A12)),TRUE),_xlfn.NORM.S.DIST((LN(AA$1 / MonteCarlo!$B$5) + (MonteCarlo!$B$9 - MonteCarlo!$B$7 ^ 2 / 2) *$A12) / (MonteCarlo!$B$7 * SQRT($A12)),TRUE)-1),"")</f>
        <v/>
      </c>
      <c r="AB12" t="str">
        <f>IFERROR(IF(OR(MonteCarlo!$B$4="C",MonteCarlo!$B$4="c"),_xlfn.NORM.S.DIST((LN(AB$1 / MonteCarlo!$B$5) + (MonteCarlo!$B$9 + MonteCarlo!$B$7 ^ 2 / 2) *$A12) / (MonteCarlo!$B$7 * SQRT($A12)),TRUE),_xlfn.NORM.S.DIST((LN(AB$1 / MonteCarlo!$B$5) + (MonteCarlo!$B$9 - MonteCarlo!$B$7 ^ 2 / 2) *$A12) / (MonteCarlo!$B$7 * SQRT($A12)),TRUE)-1),"")</f>
        <v/>
      </c>
      <c r="AC12" t="str">
        <f>IFERROR(IF(OR(MonteCarlo!$B$4="C",MonteCarlo!$B$4="c"),_xlfn.NORM.S.DIST((LN(AC$1 / MonteCarlo!$B$5) + (MonteCarlo!$B$9 + MonteCarlo!$B$7 ^ 2 / 2) *$A12) / (MonteCarlo!$B$7 * SQRT($A12)),TRUE),_xlfn.NORM.S.DIST((LN(AC$1 / MonteCarlo!$B$5) + (MonteCarlo!$B$9 - MonteCarlo!$B$7 ^ 2 / 2) *$A12) / (MonteCarlo!$B$7 * SQRT($A12)),TRUE)-1),"")</f>
        <v/>
      </c>
      <c r="AD12" t="str">
        <f>IFERROR(IF(OR(MonteCarlo!$B$4="C",MonteCarlo!$B$4="c"),_xlfn.NORM.S.DIST((LN(AD$1 / MonteCarlo!$B$5) + (MonteCarlo!$B$9 + MonteCarlo!$B$7 ^ 2 / 2) *$A12) / (MonteCarlo!$B$7 * SQRT($A12)),TRUE),_xlfn.NORM.S.DIST((LN(AD$1 / MonteCarlo!$B$5) + (MonteCarlo!$B$9 - MonteCarlo!$B$7 ^ 2 / 2) *$A12) / (MonteCarlo!$B$7 * SQRT($A12)),TRUE)-1),"")</f>
        <v/>
      </c>
      <c r="AE12" t="str">
        <f>IFERROR(IF(OR(MonteCarlo!$B$4="C",MonteCarlo!$B$4="c"),_xlfn.NORM.S.DIST((LN(AE$1 / MonteCarlo!$B$5) + (MonteCarlo!$B$9 + MonteCarlo!$B$7 ^ 2 / 2) *$A12) / (MonteCarlo!$B$7 * SQRT($A12)),TRUE),_xlfn.NORM.S.DIST((LN(AE$1 / MonteCarlo!$B$5) + (MonteCarlo!$B$9 - MonteCarlo!$B$7 ^ 2 / 2) *$A12) / (MonteCarlo!$B$7 * SQRT($A12)),TRUE)-1),"")</f>
        <v/>
      </c>
      <c r="AF12" t="str">
        <f>IFERROR(IF(OR(MonteCarlo!$B$4="C",MonteCarlo!$B$4="c"),_xlfn.NORM.S.DIST((LN(AF$1 / MonteCarlo!$B$5) + (MonteCarlo!$B$9 + MonteCarlo!$B$7 ^ 2 / 2) *$A12) / (MonteCarlo!$B$7 * SQRT($A12)),TRUE),_xlfn.NORM.S.DIST((LN(AF$1 / MonteCarlo!$B$5) + (MonteCarlo!$B$9 - MonteCarlo!$B$7 ^ 2 / 2) *$A12) / (MonteCarlo!$B$7 * SQRT($A12)),TRUE)-1),"")</f>
        <v/>
      </c>
    </row>
    <row r="13" spans="2:32" x14ac:dyDescent="0.25">
      <c r="B13" t="str">
        <f>IFERROR(IF(OR(MonteCarlo!$B$4="C",MonteCarlo!$B$4="c"),_xlfn.NORM.S.DIST((LN(B$1 / MonteCarlo!$B$5) + (MonteCarlo!$B$9 + MonteCarlo!$B$7 ^ 2 / 2) *$A13) / (MonteCarlo!$B$7 * SQRT($A13)),TRUE),_xlfn.NORM.S.DIST((LN(B$1 / MonteCarlo!$B$5) + (MonteCarlo!$B$9 - MonteCarlo!$B$7 ^ 2 / 2) *$A13) / (MonteCarlo!$B$7 * SQRT($A13)),TRUE)-1),"")</f>
        <v/>
      </c>
      <c r="C13" t="str">
        <f>IFERROR(IF(OR(MonteCarlo!$B$4="C",MonteCarlo!$B$4="c"),_xlfn.NORM.S.DIST((LN(C$1 / MonteCarlo!$B$5) + (MonteCarlo!$B$9 + MonteCarlo!$B$7 ^ 2 / 2) *$A13) / (MonteCarlo!$B$7 * SQRT($A13)),TRUE),_xlfn.NORM.S.DIST((LN(C$1 / MonteCarlo!$B$5) + (MonteCarlo!$B$9 - MonteCarlo!$B$7 ^ 2 / 2) *$A13) / (MonteCarlo!$B$7 * SQRT($A13)),TRUE)-1),"")</f>
        <v/>
      </c>
      <c r="D13" t="str">
        <f>IFERROR(IF(OR(MonteCarlo!$B$4="C",MonteCarlo!$B$4="c"),_xlfn.NORM.S.DIST((LN(D$1 / MonteCarlo!$B$5) + (MonteCarlo!$B$9 + MonteCarlo!$B$7 ^ 2 / 2) *$A13) / (MonteCarlo!$B$7 * SQRT($A13)),TRUE),_xlfn.NORM.S.DIST((LN(D$1 / MonteCarlo!$B$5) + (MonteCarlo!$B$9 - MonteCarlo!$B$7 ^ 2 / 2) *$A13) / (MonteCarlo!$B$7 * SQRT($A13)),TRUE)-1),"")</f>
        <v/>
      </c>
      <c r="E13" t="str">
        <f>IFERROR(IF(OR(MonteCarlo!$B$4="C",MonteCarlo!$B$4="c"),_xlfn.NORM.S.DIST((LN(E$1 / MonteCarlo!$B$5) + (MonteCarlo!$B$9 + MonteCarlo!$B$7 ^ 2 / 2) *$A13) / (MonteCarlo!$B$7 * SQRT($A13)),TRUE),_xlfn.NORM.S.DIST((LN(E$1 / MonteCarlo!$B$5) + (MonteCarlo!$B$9 - MonteCarlo!$B$7 ^ 2 / 2) *$A13) / (MonteCarlo!$B$7 * SQRT($A13)),TRUE)-1),"")</f>
        <v/>
      </c>
      <c r="F13" t="str">
        <f>IFERROR(IF(OR(MonteCarlo!$B$4="C",MonteCarlo!$B$4="c"),_xlfn.NORM.S.DIST((LN(F$1 / MonteCarlo!$B$5) + (MonteCarlo!$B$9 + MonteCarlo!$B$7 ^ 2 / 2) *$A13) / (MonteCarlo!$B$7 * SQRT($A13)),TRUE),_xlfn.NORM.S.DIST((LN(F$1 / MonteCarlo!$B$5) + (MonteCarlo!$B$9 - MonteCarlo!$B$7 ^ 2 / 2) *$A13) / (MonteCarlo!$B$7 * SQRT($A13)),TRUE)-1),"")</f>
        <v/>
      </c>
      <c r="G13" t="str">
        <f>IFERROR(IF(OR(MonteCarlo!$B$4="C",MonteCarlo!$B$4="c"),_xlfn.NORM.S.DIST((LN(G$1 / MonteCarlo!$B$5) + (MonteCarlo!$B$9 + MonteCarlo!$B$7 ^ 2 / 2) *$A13) / (MonteCarlo!$B$7 * SQRT($A13)),TRUE),_xlfn.NORM.S.DIST((LN(G$1 / MonteCarlo!$B$5) + (MonteCarlo!$B$9 - MonteCarlo!$B$7 ^ 2 / 2) *$A13) / (MonteCarlo!$B$7 * SQRT($A13)),TRUE)-1),"")</f>
        <v/>
      </c>
      <c r="H13" t="str">
        <f>IFERROR(IF(OR(MonteCarlo!$B$4="C",MonteCarlo!$B$4="c"),_xlfn.NORM.S.DIST((LN(H$1 / MonteCarlo!$B$5) + (MonteCarlo!$B$9 + MonteCarlo!$B$7 ^ 2 / 2) *$A13) / (MonteCarlo!$B$7 * SQRT($A13)),TRUE),_xlfn.NORM.S.DIST((LN(H$1 / MonteCarlo!$B$5) + (MonteCarlo!$B$9 - MonteCarlo!$B$7 ^ 2 / 2) *$A13) / (MonteCarlo!$B$7 * SQRT($A13)),TRUE)-1),"")</f>
        <v/>
      </c>
      <c r="I13" t="str">
        <f>IFERROR(IF(OR(MonteCarlo!$B$4="C",MonteCarlo!$B$4="c"),_xlfn.NORM.S.DIST((LN(I$1 / MonteCarlo!$B$5) + (MonteCarlo!$B$9 + MonteCarlo!$B$7 ^ 2 / 2) *$A13) / (MonteCarlo!$B$7 * SQRT($A13)),TRUE),_xlfn.NORM.S.DIST((LN(I$1 / MonteCarlo!$B$5) + (MonteCarlo!$B$9 - MonteCarlo!$B$7 ^ 2 / 2) *$A13) / (MonteCarlo!$B$7 * SQRT($A13)),TRUE)-1),"")</f>
        <v/>
      </c>
      <c r="J13" t="str">
        <f>IFERROR(IF(OR(MonteCarlo!$B$4="C",MonteCarlo!$B$4="c"),_xlfn.NORM.S.DIST((LN(J$1 / MonteCarlo!$B$5) + (MonteCarlo!$B$9 + MonteCarlo!$B$7 ^ 2 / 2) *$A13) / (MonteCarlo!$B$7 * SQRT($A13)),TRUE),_xlfn.NORM.S.DIST((LN(J$1 / MonteCarlo!$B$5) + (MonteCarlo!$B$9 - MonteCarlo!$B$7 ^ 2 / 2) *$A13) / (MonteCarlo!$B$7 * SQRT($A13)),TRUE)-1),"")</f>
        <v/>
      </c>
      <c r="K13" t="str">
        <f>IFERROR(IF(OR(MonteCarlo!$B$4="C",MonteCarlo!$B$4="c"),_xlfn.NORM.S.DIST((LN(K$1 / MonteCarlo!$B$5) + (MonteCarlo!$B$9 + MonteCarlo!$B$7 ^ 2 / 2) *$A13) / (MonteCarlo!$B$7 * SQRT($A13)),TRUE),_xlfn.NORM.S.DIST((LN(K$1 / MonteCarlo!$B$5) + (MonteCarlo!$B$9 - MonteCarlo!$B$7 ^ 2 / 2) *$A13) / (MonteCarlo!$B$7 * SQRT($A13)),TRUE)-1),"")</f>
        <v/>
      </c>
      <c r="L13" t="str">
        <f>IFERROR(IF(OR(MonteCarlo!$B$4="C",MonteCarlo!$B$4="c"),_xlfn.NORM.S.DIST((LN(L$1 / MonteCarlo!$B$5) + (MonteCarlo!$B$9 + MonteCarlo!$B$7 ^ 2 / 2) *$A13) / (MonteCarlo!$B$7 * SQRT($A13)),TRUE),_xlfn.NORM.S.DIST((LN(L$1 / MonteCarlo!$B$5) + (MonteCarlo!$B$9 - MonteCarlo!$B$7 ^ 2 / 2) *$A13) / (MonteCarlo!$B$7 * SQRT($A13)),TRUE)-1),"")</f>
        <v/>
      </c>
      <c r="M13" t="str">
        <f>IFERROR(IF(OR(MonteCarlo!$B$4="C",MonteCarlo!$B$4="c"),_xlfn.NORM.S.DIST((LN(M$1 / MonteCarlo!$B$5) + (MonteCarlo!$B$9 + MonteCarlo!$B$7 ^ 2 / 2) *$A13) / (MonteCarlo!$B$7 * SQRT($A13)),TRUE),_xlfn.NORM.S.DIST((LN(M$1 / MonteCarlo!$B$5) + (MonteCarlo!$B$9 - MonteCarlo!$B$7 ^ 2 / 2) *$A13) / (MonteCarlo!$B$7 * SQRT($A13)),TRUE)-1),"")</f>
        <v/>
      </c>
      <c r="N13" t="str">
        <f>IFERROR(IF(OR(MonteCarlo!$B$4="C",MonteCarlo!$B$4="c"),_xlfn.NORM.S.DIST((LN(N$1 / MonteCarlo!$B$5) + (MonteCarlo!$B$9 + MonteCarlo!$B$7 ^ 2 / 2) *$A13) / (MonteCarlo!$B$7 * SQRT($A13)),TRUE),_xlfn.NORM.S.DIST((LN(N$1 / MonteCarlo!$B$5) + (MonteCarlo!$B$9 - MonteCarlo!$B$7 ^ 2 / 2) *$A13) / (MonteCarlo!$B$7 * SQRT($A13)),TRUE)-1),"")</f>
        <v/>
      </c>
      <c r="O13" t="str">
        <f>IFERROR(IF(OR(MonteCarlo!$B$4="C",MonteCarlo!$B$4="c"),_xlfn.NORM.S.DIST((LN(O$1 / MonteCarlo!$B$5) + (MonteCarlo!$B$9 + MonteCarlo!$B$7 ^ 2 / 2) *$A13) / (MonteCarlo!$B$7 * SQRT($A13)),TRUE),_xlfn.NORM.S.DIST((LN(O$1 / MonteCarlo!$B$5) + (MonteCarlo!$B$9 - MonteCarlo!$B$7 ^ 2 / 2) *$A13) / (MonteCarlo!$B$7 * SQRT($A13)),TRUE)-1),"")</f>
        <v/>
      </c>
      <c r="P13" t="str">
        <f>IFERROR(IF(OR(MonteCarlo!$B$4="C",MonteCarlo!$B$4="c"),_xlfn.NORM.S.DIST((LN(P$1 / MonteCarlo!$B$5) + (MonteCarlo!$B$9 + MonteCarlo!$B$7 ^ 2 / 2) *$A13) / (MonteCarlo!$B$7 * SQRT($A13)),TRUE),_xlfn.NORM.S.DIST((LN(P$1 / MonteCarlo!$B$5) + (MonteCarlo!$B$9 - MonteCarlo!$B$7 ^ 2 / 2) *$A13) / (MonteCarlo!$B$7 * SQRT($A13)),TRUE)-1),"")</f>
        <v/>
      </c>
      <c r="Q13" t="str">
        <f>IFERROR(IF(OR(MonteCarlo!$B$4="C",MonteCarlo!$B$4="c"),_xlfn.NORM.S.DIST((LN(Q$1 / MonteCarlo!$B$5) + (MonteCarlo!$B$9 + MonteCarlo!$B$7 ^ 2 / 2) *$A13) / (MonteCarlo!$B$7 * SQRT($A13)),TRUE),_xlfn.NORM.S.DIST((LN(Q$1 / MonteCarlo!$B$5) + (MonteCarlo!$B$9 - MonteCarlo!$B$7 ^ 2 / 2) *$A13) / (MonteCarlo!$B$7 * SQRT($A13)),TRUE)-1),"")</f>
        <v/>
      </c>
      <c r="R13" t="str">
        <f>IFERROR(IF(OR(MonteCarlo!$B$4="C",MonteCarlo!$B$4="c"),_xlfn.NORM.S.DIST((LN(R$1 / MonteCarlo!$B$5) + (MonteCarlo!$B$9 + MonteCarlo!$B$7 ^ 2 / 2) *$A13) / (MonteCarlo!$B$7 * SQRT($A13)),TRUE),_xlfn.NORM.S.DIST((LN(R$1 / MonteCarlo!$B$5) + (MonteCarlo!$B$9 - MonteCarlo!$B$7 ^ 2 / 2) *$A13) / (MonteCarlo!$B$7 * SQRT($A13)),TRUE)-1),"")</f>
        <v/>
      </c>
      <c r="S13" t="str">
        <f>IFERROR(IF(OR(MonteCarlo!$B$4="C",MonteCarlo!$B$4="c"),_xlfn.NORM.S.DIST((LN(S$1 / MonteCarlo!$B$5) + (MonteCarlo!$B$9 + MonteCarlo!$B$7 ^ 2 / 2) *$A13) / (MonteCarlo!$B$7 * SQRT($A13)),TRUE),_xlfn.NORM.S.DIST((LN(S$1 / MonteCarlo!$B$5) + (MonteCarlo!$B$9 - MonteCarlo!$B$7 ^ 2 / 2) *$A13) / (MonteCarlo!$B$7 * SQRT($A13)),TRUE)-1),"")</f>
        <v/>
      </c>
      <c r="T13" t="str">
        <f>IFERROR(IF(OR(MonteCarlo!$B$4="C",MonteCarlo!$B$4="c"),_xlfn.NORM.S.DIST((LN(T$1 / MonteCarlo!$B$5) + (MonteCarlo!$B$9 + MonteCarlo!$B$7 ^ 2 / 2) *$A13) / (MonteCarlo!$B$7 * SQRT($A13)),TRUE),_xlfn.NORM.S.DIST((LN(T$1 / MonteCarlo!$B$5) + (MonteCarlo!$B$9 - MonteCarlo!$B$7 ^ 2 / 2) *$A13) / (MonteCarlo!$B$7 * SQRT($A13)),TRUE)-1),"")</f>
        <v/>
      </c>
      <c r="U13" t="str">
        <f>IFERROR(IF(OR(MonteCarlo!$B$4="C",MonteCarlo!$B$4="c"),_xlfn.NORM.S.DIST((LN(U$1 / MonteCarlo!$B$5) + (MonteCarlo!$B$9 + MonteCarlo!$B$7 ^ 2 / 2) *$A13) / (MonteCarlo!$B$7 * SQRT($A13)),TRUE),_xlfn.NORM.S.DIST((LN(U$1 / MonteCarlo!$B$5) + (MonteCarlo!$B$9 - MonteCarlo!$B$7 ^ 2 / 2) *$A13) / (MonteCarlo!$B$7 * SQRT($A13)),TRUE)-1),"")</f>
        <v/>
      </c>
      <c r="V13" t="str">
        <f>IFERROR(IF(OR(MonteCarlo!$B$4="C",MonteCarlo!$B$4="c"),_xlfn.NORM.S.DIST((LN(V$1 / MonteCarlo!$B$5) + (MonteCarlo!$B$9 + MonteCarlo!$B$7 ^ 2 / 2) *$A13) / (MonteCarlo!$B$7 * SQRT($A13)),TRUE),_xlfn.NORM.S.DIST((LN(V$1 / MonteCarlo!$B$5) + (MonteCarlo!$B$9 - MonteCarlo!$B$7 ^ 2 / 2) *$A13) / (MonteCarlo!$B$7 * SQRT($A13)),TRUE)-1),"")</f>
        <v/>
      </c>
      <c r="W13" t="str">
        <f>IFERROR(IF(OR(MonteCarlo!$B$4="C",MonteCarlo!$B$4="c"),_xlfn.NORM.S.DIST((LN(W$1 / MonteCarlo!$B$5) + (MonteCarlo!$B$9 + MonteCarlo!$B$7 ^ 2 / 2) *$A13) / (MonteCarlo!$B$7 * SQRT($A13)),TRUE),_xlfn.NORM.S.DIST((LN(W$1 / MonteCarlo!$B$5) + (MonteCarlo!$B$9 - MonteCarlo!$B$7 ^ 2 / 2) *$A13) / (MonteCarlo!$B$7 * SQRT($A13)),TRUE)-1),"")</f>
        <v/>
      </c>
      <c r="X13" t="str">
        <f>IFERROR(IF(OR(MonteCarlo!$B$4="C",MonteCarlo!$B$4="c"),_xlfn.NORM.S.DIST((LN(X$1 / MonteCarlo!$B$5) + (MonteCarlo!$B$9 + MonteCarlo!$B$7 ^ 2 / 2) *$A13) / (MonteCarlo!$B$7 * SQRT($A13)),TRUE),_xlfn.NORM.S.DIST((LN(X$1 / MonteCarlo!$B$5) + (MonteCarlo!$B$9 - MonteCarlo!$B$7 ^ 2 / 2) *$A13) / (MonteCarlo!$B$7 * SQRT($A13)),TRUE)-1),"")</f>
        <v/>
      </c>
      <c r="Y13" t="str">
        <f>IFERROR(IF(OR(MonteCarlo!$B$4="C",MonteCarlo!$B$4="c"),_xlfn.NORM.S.DIST((LN(Y$1 / MonteCarlo!$B$5) + (MonteCarlo!$B$9 + MonteCarlo!$B$7 ^ 2 / 2) *$A13) / (MonteCarlo!$B$7 * SQRT($A13)),TRUE),_xlfn.NORM.S.DIST((LN(Y$1 / MonteCarlo!$B$5) + (MonteCarlo!$B$9 - MonteCarlo!$B$7 ^ 2 / 2) *$A13) / (MonteCarlo!$B$7 * SQRT($A13)),TRUE)-1),"")</f>
        <v/>
      </c>
      <c r="Z13" t="str">
        <f>IFERROR(IF(OR(MonteCarlo!$B$4="C",MonteCarlo!$B$4="c"),_xlfn.NORM.S.DIST((LN(Z$1 / MonteCarlo!$B$5) + (MonteCarlo!$B$9 + MonteCarlo!$B$7 ^ 2 / 2) *$A13) / (MonteCarlo!$B$7 * SQRT($A13)),TRUE),_xlfn.NORM.S.DIST((LN(Z$1 / MonteCarlo!$B$5) + (MonteCarlo!$B$9 - MonteCarlo!$B$7 ^ 2 / 2) *$A13) / (MonteCarlo!$B$7 * SQRT($A13)),TRUE)-1),"")</f>
        <v/>
      </c>
      <c r="AA13" t="str">
        <f>IFERROR(IF(OR(MonteCarlo!$B$4="C",MonteCarlo!$B$4="c"),_xlfn.NORM.S.DIST((LN(AA$1 / MonteCarlo!$B$5) + (MonteCarlo!$B$9 + MonteCarlo!$B$7 ^ 2 / 2) *$A13) / (MonteCarlo!$B$7 * SQRT($A13)),TRUE),_xlfn.NORM.S.DIST((LN(AA$1 / MonteCarlo!$B$5) + (MonteCarlo!$B$9 - MonteCarlo!$B$7 ^ 2 / 2) *$A13) / (MonteCarlo!$B$7 * SQRT($A13)),TRUE)-1),"")</f>
        <v/>
      </c>
      <c r="AB13" t="str">
        <f>IFERROR(IF(OR(MonteCarlo!$B$4="C",MonteCarlo!$B$4="c"),_xlfn.NORM.S.DIST((LN(AB$1 / MonteCarlo!$B$5) + (MonteCarlo!$B$9 + MonteCarlo!$B$7 ^ 2 / 2) *$A13) / (MonteCarlo!$B$7 * SQRT($A13)),TRUE),_xlfn.NORM.S.DIST((LN(AB$1 / MonteCarlo!$B$5) + (MonteCarlo!$B$9 - MonteCarlo!$B$7 ^ 2 / 2) *$A13) / (MonteCarlo!$B$7 * SQRT($A13)),TRUE)-1),"")</f>
        <v/>
      </c>
      <c r="AC13" t="str">
        <f>IFERROR(IF(OR(MonteCarlo!$B$4="C",MonteCarlo!$B$4="c"),_xlfn.NORM.S.DIST((LN(AC$1 / MonteCarlo!$B$5) + (MonteCarlo!$B$9 + MonteCarlo!$B$7 ^ 2 / 2) *$A13) / (MonteCarlo!$B$7 * SQRT($A13)),TRUE),_xlfn.NORM.S.DIST((LN(AC$1 / MonteCarlo!$B$5) + (MonteCarlo!$B$9 - MonteCarlo!$B$7 ^ 2 / 2) *$A13) / (MonteCarlo!$B$7 * SQRT($A13)),TRUE)-1),"")</f>
        <v/>
      </c>
      <c r="AD13" t="str">
        <f>IFERROR(IF(OR(MonteCarlo!$B$4="C",MonteCarlo!$B$4="c"),_xlfn.NORM.S.DIST((LN(AD$1 / MonteCarlo!$B$5) + (MonteCarlo!$B$9 + MonteCarlo!$B$7 ^ 2 / 2) *$A13) / (MonteCarlo!$B$7 * SQRT($A13)),TRUE),_xlfn.NORM.S.DIST((LN(AD$1 / MonteCarlo!$B$5) + (MonteCarlo!$B$9 - MonteCarlo!$B$7 ^ 2 / 2) *$A13) / (MonteCarlo!$B$7 * SQRT($A13)),TRUE)-1),"")</f>
        <v/>
      </c>
      <c r="AE13" t="str">
        <f>IFERROR(IF(OR(MonteCarlo!$B$4="C",MonteCarlo!$B$4="c"),_xlfn.NORM.S.DIST((LN(AE$1 / MonteCarlo!$B$5) + (MonteCarlo!$B$9 + MonteCarlo!$B$7 ^ 2 / 2) *$A13) / (MonteCarlo!$B$7 * SQRT($A13)),TRUE),_xlfn.NORM.S.DIST((LN(AE$1 / MonteCarlo!$B$5) + (MonteCarlo!$B$9 - MonteCarlo!$B$7 ^ 2 / 2) *$A13) / (MonteCarlo!$B$7 * SQRT($A13)),TRUE)-1),"")</f>
        <v/>
      </c>
      <c r="AF13" t="str">
        <f>IFERROR(IF(OR(MonteCarlo!$B$4="C",MonteCarlo!$B$4="c"),_xlfn.NORM.S.DIST((LN(AF$1 / MonteCarlo!$B$5) + (MonteCarlo!$B$9 + MonteCarlo!$B$7 ^ 2 / 2) *$A13) / (MonteCarlo!$B$7 * SQRT($A13)),TRUE),_xlfn.NORM.S.DIST((LN(AF$1 / MonteCarlo!$B$5) + (MonteCarlo!$B$9 - MonteCarlo!$B$7 ^ 2 / 2) *$A13) / (MonteCarlo!$B$7 * SQRT($A13)),TRUE)-1),"")</f>
        <v/>
      </c>
    </row>
    <row r="14" spans="2:32" x14ac:dyDescent="0.25">
      <c r="B14" t="str">
        <f>IFERROR(IF(OR(MonteCarlo!$B$4="C",MonteCarlo!$B$4="c"),_xlfn.NORM.S.DIST((LN(B$1 / MonteCarlo!$B$5) + (MonteCarlo!$B$9 + MonteCarlo!$B$7 ^ 2 / 2) *$A14) / (MonteCarlo!$B$7 * SQRT($A14)),TRUE),_xlfn.NORM.S.DIST((LN(B$1 / MonteCarlo!$B$5) + (MonteCarlo!$B$9 - MonteCarlo!$B$7 ^ 2 / 2) *$A14) / (MonteCarlo!$B$7 * SQRT($A14)),TRUE)-1),"")</f>
        <v/>
      </c>
      <c r="C14" t="str">
        <f>IFERROR(IF(OR(MonteCarlo!$B$4="C",MonteCarlo!$B$4="c"),_xlfn.NORM.S.DIST((LN(C$1 / MonteCarlo!$B$5) + (MonteCarlo!$B$9 + MonteCarlo!$B$7 ^ 2 / 2) *$A14) / (MonteCarlo!$B$7 * SQRT($A14)),TRUE),_xlfn.NORM.S.DIST((LN(C$1 / MonteCarlo!$B$5) + (MonteCarlo!$B$9 - MonteCarlo!$B$7 ^ 2 / 2) *$A14) / (MonteCarlo!$B$7 * SQRT($A14)),TRUE)-1),"")</f>
        <v/>
      </c>
      <c r="D14" t="str">
        <f>IFERROR(IF(OR(MonteCarlo!$B$4="C",MonteCarlo!$B$4="c"),_xlfn.NORM.S.DIST((LN(D$1 / MonteCarlo!$B$5) + (MonteCarlo!$B$9 + MonteCarlo!$B$7 ^ 2 / 2) *$A14) / (MonteCarlo!$B$7 * SQRT($A14)),TRUE),_xlfn.NORM.S.DIST((LN(D$1 / MonteCarlo!$B$5) + (MonteCarlo!$B$9 - MonteCarlo!$B$7 ^ 2 / 2) *$A14) / (MonteCarlo!$B$7 * SQRT($A14)),TRUE)-1),"")</f>
        <v/>
      </c>
      <c r="E14" t="str">
        <f>IFERROR(IF(OR(MonteCarlo!$B$4="C",MonteCarlo!$B$4="c"),_xlfn.NORM.S.DIST((LN(E$1 / MonteCarlo!$B$5) + (MonteCarlo!$B$9 + MonteCarlo!$B$7 ^ 2 / 2) *$A14) / (MonteCarlo!$B$7 * SQRT($A14)),TRUE),_xlfn.NORM.S.DIST((LN(E$1 / MonteCarlo!$B$5) + (MonteCarlo!$B$9 - MonteCarlo!$B$7 ^ 2 / 2) *$A14) / (MonteCarlo!$B$7 * SQRT($A14)),TRUE)-1),"")</f>
        <v/>
      </c>
      <c r="F14" t="str">
        <f>IFERROR(IF(OR(MonteCarlo!$B$4="C",MonteCarlo!$B$4="c"),_xlfn.NORM.S.DIST((LN(F$1 / MonteCarlo!$B$5) + (MonteCarlo!$B$9 + MonteCarlo!$B$7 ^ 2 / 2) *$A14) / (MonteCarlo!$B$7 * SQRT($A14)),TRUE),_xlfn.NORM.S.DIST((LN(F$1 / MonteCarlo!$B$5) + (MonteCarlo!$B$9 - MonteCarlo!$B$7 ^ 2 / 2) *$A14) / (MonteCarlo!$B$7 * SQRT($A14)),TRUE)-1),"")</f>
        <v/>
      </c>
      <c r="G14" t="str">
        <f>IFERROR(IF(OR(MonteCarlo!$B$4="C",MonteCarlo!$B$4="c"),_xlfn.NORM.S.DIST((LN(G$1 / MonteCarlo!$B$5) + (MonteCarlo!$B$9 + MonteCarlo!$B$7 ^ 2 / 2) *$A14) / (MonteCarlo!$B$7 * SQRT($A14)),TRUE),_xlfn.NORM.S.DIST((LN(G$1 / MonteCarlo!$B$5) + (MonteCarlo!$B$9 - MonteCarlo!$B$7 ^ 2 / 2) *$A14) / (MonteCarlo!$B$7 * SQRT($A14)),TRUE)-1),"")</f>
        <v/>
      </c>
      <c r="H14" t="str">
        <f>IFERROR(IF(OR(MonteCarlo!$B$4="C",MonteCarlo!$B$4="c"),_xlfn.NORM.S.DIST((LN(H$1 / MonteCarlo!$B$5) + (MonteCarlo!$B$9 + MonteCarlo!$B$7 ^ 2 / 2) *$A14) / (MonteCarlo!$B$7 * SQRT($A14)),TRUE),_xlfn.NORM.S.DIST((LN(H$1 / MonteCarlo!$B$5) + (MonteCarlo!$B$9 - MonteCarlo!$B$7 ^ 2 / 2) *$A14) / (MonteCarlo!$B$7 * SQRT($A14)),TRUE)-1),"")</f>
        <v/>
      </c>
      <c r="I14" t="str">
        <f>IFERROR(IF(OR(MonteCarlo!$B$4="C",MonteCarlo!$B$4="c"),_xlfn.NORM.S.DIST((LN(I$1 / MonteCarlo!$B$5) + (MonteCarlo!$B$9 + MonteCarlo!$B$7 ^ 2 / 2) *$A14) / (MonteCarlo!$B$7 * SQRT($A14)),TRUE),_xlfn.NORM.S.DIST((LN(I$1 / MonteCarlo!$B$5) + (MonteCarlo!$B$9 - MonteCarlo!$B$7 ^ 2 / 2) *$A14) / (MonteCarlo!$B$7 * SQRT($A14)),TRUE)-1),"")</f>
        <v/>
      </c>
      <c r="J14" t="str">
        <f>IFERROR(IF(OR(MonteCarlo!$B$4="C",MonteCarlo!$B$4="c"),_xlfn.NORM.S.DIST((LN(J$1 / MonteCarlo!$B$5) + (MonteCarlo!$B$9 + MonteCarlo!$B$7 ^ 2 / 2) *$A14) / (MonteCarlo!$B$7 * SQRT($A14)),TRUE),_xlfn.NORM.S.DIST((LN(J$1 / MonteCarlo!$B$5) + (MonteCarlo!$B$9 - MonteCarlo!$B$7 ^ 2 / 2) *$A14) / (MonteCarlo!$B$7 * SQRT($A14)),TRUE)-1),"")</f>
        <v/>
      </c>
      <c r="K14" t="str">
        <f>IFERROR(IF(OR(MonteCarlo!$B$4="C",MonteCarlo!$B$4="c"),_xlfn.NORM.S.DIST((LN(K$1 / MonteCarlo!$B$5) + (MonteCarlo!$B$9 + MonteCarlo!$B$7 ^ 2 / 2) *$A14) / (MonteCarlo!$B$7 * SQRT($A14)),TRUE),_xlfn.NORM.S.DIST((LN(K$1 / MonteCarlo!$B$5) + (MonteCarlo!$B$9 - MonteCarlo!$B$7 ^ 2 / 2) *$A14) / (MonteCarlo!$B$7 * SQRT($A14)),TRUE)-1),"")</f>
        <v/>
      </c>
      <c r="L14" t="str">
        <f>IFERROR(IF(OR(MonteCarlo!$B$4="C",MonteCarlo!$B$4="c"),_xlfn.NORM.S.DIST((LN(L$1 / MonteCarlo!$B$5) + (MonteCarlo!$B$9 + MonteCarlo!$B$7 ^ 2 / 2) *$A14) / (MonteCarlo!$B$7 * SQRT($A14)),TRUE),_xlfn.NORM.S.DIST((LN(L$1 / MonteCarlo!$B$5) + (MonteCarlo!$B$9 - MonteCarlo!$B$7 ^ 2 / 2) *$A14) / (MonteCarlo!$B$7 * SQRT($A14)),TRUE)-1),"")</f>
        <v/>
      </c>
      <c r="M14" t="str">
        <f>IFERROR(IF(OR(MonteCarlo!$B$4="C",MonteCarlo!$B$4="c"),_xlfn.NORM.S.DIST((LN(M$1 / MonteCarlo!$B$5) + (MonteCarlo!$B$9 + MonteCarlo!$B$7 ^ 2 / 2) *$A14) / (MonteCarlo!$B$7 * SQRT($A14)),TRUE),_xlfn.NORM.S.DIST((LN(M$1 / MonteCarlo!$B$5) + (MonteCarlo!$B$9 - MonteCarlo!$B$7 ^ 2 / 2) *$A14) / (MonteCarlo!$B$7 * SQRT($A14)),TRUE)-1),"")</f>
        <v/>
      </c>
      <c r="N14" t="str">
        <f>IFERROR(IF(OR(MonteCarlo!$B$4="C",MonteCarlo!$B$4="c"),_xlfn.NORM.S.DIST((LN(N$1 / MonteCarlo!$B$5) + (MonteCarlo!$B$9 + MonteCarlo!$B$7 ^ 2 / 2) *$A14) / (MonteCarlo!$B$7 * SQRT($A14)),TRUE),_xlfn.NORM.S.DIST((LN(N$1 / MonteCarlo!$B$5) + (MonteCarlo!$B$9 - MonteCarlo!$B$7 ^ 2 / 2) *$A14) / (MonteCarlo!$B$7 * SQRT($A14)),TRUE)-1),"")</f>
        <v/>
      </c>
      <c r="O14" t="str">
        <f>IFERROR(IF(OR(MonteCarlo!$B$4="C",MonteCarlo!$B$4="c"),_xlfn.NORM.S.DIST((LN(O$1 / MonteCarlo!$B$5) + (MonteCarlo!$B$9 + MonteCarlo!$B$7 ^ 2 / 2) *$A14) / (MonteCarlo!$B$7 * SQRT($A14)),TRUE),_xlfn.NORM.S.DIST((LN(O$1 / MonteCarlo!$B$5) + (MonteCarlo!$B$9 - MonteCarlo!$B$7 ^ 2 / 2) *$A14) / (MonteCarlo!$B$7 * SQRT($A14)),TRUE)-1),"")</f>
        <v/>
      </c>
      <c r="P14" t="str">
        <f>IFERROR(IF(OR(MonteCarlo!$B$4="C",MonteCarlo!$B$4="c"),_xlfn.NORM.S.DIST((LN(P$1 / MonteCarlo!$B$5) + (MonteCarlo!$B$9 + MonteCarlo!$B$7 ^ 2 / 2) *$A14) / (MonteCarlo!$B$7 * SQRT($A14)),TRUE),_xlfn.NORM.S.DIST((LN(P$1 / MonteCarlo!$B$5) + (MonteCarlo!$B$9 - MonteCarlo!$B$7 ^ 2 / 2) *$A14) / (MonteCarlo!$B$7 * SQRT($A14)),TRUE)-1),"")</f>
        <v/>
      </c>
      <c r="Q14" t="str">
        <f>IFERROR(IF(OR(MonteCarlo!$B$4="C",MonteCarlo!$B$4="c"),_xlfn.NORM.S.DIST((LN(Q$1 / MonteCarlo!$B$5) + (MonteCarlo!$B$9 + MonteCarlo!$B$7 ^ 2 / 2) *$A14) / (MonteCarlo!$B$7 * SQRT($A14)),TRUE),_xlfn.NORM.S.DIST((LN(Q$1 / MonteCarlo!$B$5) + (MonteCarlo!$B$9 - MonteCarlo!$B$7 ^ 2 / 2) *$A14) / (MonteCarlo!$B$7 * SQRT($A14)),TRUE)-1),"")</f>
        <v/>
      </c>
      <c r="R14" t="str">
        <f>IFERROR(IF(OR(MonteCarlo!$B$4="C",MonteCarlo!$B$4="c"),_xlfn.NORM.S.DIST((LN(R$1 / MonteCarlo!$B$5) + (MonteCarlo!$B$9 + MonteCarlo!$B$7 ^ 2 / 2) *$A14) / (MonteCarlo!$B$7 * SQRT($A14)),TRUE),_xlfn.NORM.S.DIST((LN(R$1 / MonteCarlo!$B$5) + (MonteCarlo!$B$9 - MonteCarlo!$B$7 ^ 2 / 2) *$A14) / (MonteCarlo!$B$7 * SQRT($A14)),TRUE)-1),"")</f>
        <v/>
      </c>
      <c r="S14" t="str">
        <f>IFERROR(IF(OR(MonteCarlo!$B$4="C",MonteCarlo!$B$4="c"),_xlfn.NORM.S.DIST((LN(S$1 / MonteCarlo!$B$5) + (MonteCarlo!$B$9 + MonteCarlo!$B$7 ^ 2 / 2) *$A14) / (MonteCarlo!$B$7 * SQRT($A14)),TRUE),_xlfn.NORM.S.DIST((LN(S$1 / MonteCarlo!$B$5) + (MonteCarlo!$B$9 - MonteCarlo!$B$7 ^ 2 / 2) *$A14) / (MonteCarlo!$B$7 * SQRT($A14)),TRUE)-1),"")</f>
        <v/>
      </c>
      <c r="T14" t="str">
        <f>IFERROR(IF(OR(MonteCarlo!$B$4="C",MonteCarlo!$B$4="c"),_xlfn.NORM.S.DIST((LN(T$1 / MonteCarlo!$B$5) + (MonteCarlo!$B$9 + MonteCarlo!$B$7 ^ 2 / 2) *$A14) / (MonteCarlo!$B$7 * SQRT($A14)),TRUE),_xlfn.NORM.S.DIST((LN(T$1 / MonteCarlo!$B$5) + (MonteCarlo!$B$9 - MonteCarlo!$B$7 ^ 2 / 2) *$A14) / (MonteCarlo!$B$7 * SQRT($A14)),TRUE)-1),"")</f>
        <v/>
      </c>
      <c r="U14" t="str">
        <f>IFERROR(IF(OR(MonteCarlo!$B$4="C",MonteCarlo!$B$4="c"),_xlfn.NORM.S.DIST((LN(U$1 / MonteCarlo!$B$5) + (MonteCarlo!$B$9 + MonteCarlo!$B$7 ^ 2 / 2) *$A14) / (MonteCarlo!$B$7 * SQRT($A14)),TRUE),_xlfn.NORM.S.DIST((LN(U$1 / MonteCarlo!$B$5) + (MonteCarlo!$B$9 - MonteCarlo!$B$7 ^ 2 / 2) *$A14) / (MonteCarlo!$B$7 * SQRT($A14)),TRUE)-1),"")</f>
        <v/>
      </c>
      <c r="V14" t="str">
        <f>IFERROR(IF(OR(MonteCarlo!$B$4="C",MonteCarlo!$B$4="c"),_xlfn.NORM.S.DIST((LN(V$1 / MonteCarlo!$B$5) + (MonteCarlo!$B$9 + MonteCarlo!$B$7 ^ 2 / 2) *$A14) / (MonteCarlo!$B$7 * SQRT($A14)),TRUE),_xlfn.NORM.S.DIST((LN(V$1 / MonteCarlo!$B$5) + (MonteCarlo!$B$9 - MonteCarlo!$B$7 ^ 2 / 2) *$A14) / (MonteCarlo!$B$7 * SQRT($A14)),TRUE)-1),"")</f>
        <v/>
      </c>
      <c r="W14" t="str">
        <f>IFERROR(IF(OR(MonteCarlo!$B$4="C",MonteCarlo!$B$4="c"),_xlfn.NORM.S.DIST((LN(W$1 / MonteCarlo!$B$5) + (MonteCarlo!$B$9 + MonteCarlo!$B$7 ^ 2 / 2) *$A14) / (MonteCarlo!$B$7 * SQRT($A14)),TRUE),_xlfn.NORM.S.DIST((LN(W$1 / MonteCarlo!$B$5) + (MonteCarlo!$B$9 - MonteCarlo!$B$7 ^ 2 / 2) *$A14) / (MonteCarlo!$B$7 * SQRT($A14)),TRUE)-1),"")</f>
        <v/>
      </c>
      <c r="X14" t="str">
        <f>IFERROR(IF(OR(MonteCarlo!$B$4="C",MonteCarlo!$B$4="c"),_xlfn.NORM.S.DIST((LN(X$1 / MonteCarlo!$B$5) + (MonteCarlo!$B$9 + MonteCarlo!$B$7 ^ 2 / 2) *$A14) / (MonteCarlo!$B$7 * SQRT($A14)),TRUE),_xlfn.NORM.S.DIST((LN(X$1 / MonteCarlo!$B$5) + (MonteCarlo!$B$9 - MonteCarlo!$B$7 ^ 2 / 2) *$A14) / (MonteCarlo!$B$7 * SQRT($A14)),TRUE)-1),"")</f>
        <v/>
      </c>
      <c r="Y14" t="str">
        <f>IFERROR(IF(OR(MonteCarlo!$B$4="C",MonteCarlo!$B$4="c"),_xlfn.NORM.S.DIST((LN(Y$1 / MonteCarlo!$B$5) + (MonteCarlo!$B$9 + MonteCarlo!$B$7 ^ 2 / 2) *$A14) / (MonteCarlo!$B$7 * SQRT($A14)),TRUE),_xlfn.NORM.S.DIST((LN(Y$1 / MonteCarlo!$B$5) + (MonteCarlo!$B$9 - MonteCarlo!$B$7 ^ 2 / 2) *$A14) / (MonteCarlo!$B$7 * SQRT($A14)),TRUE)-1),"")</f>
        <v/>
      </c>
      <c r="Z14" t="str">
        <f>IFERROR(IF(OR(MonteCarlo!$B$4="C",MonteCarlo!$B$4="c"),_xlfn.NORM.S.DIST((LN(Z$1 / MonteCarlo!$B$5) + (MonteCarlo!$B$9 + MonteCarlo!$B$7 ^ 2 / 2) *$A14) / (MonteCarlo!$B$7 * SQRT($A14)),TRUE),_xlfn.NORM.S.DIST((LN(Z$1 / MonteCarlo!$B$5) + (MonteCarlo!$B$9 - MonteCarlo!$B$7 ^ 2 / 2) *$A14) / (MonteCarlo!$B$7 * SQRT($A14)),TRUE)-1),"")</f>
        <v/>
      </c>
      <c r="AA14" t="str">
        <f>IFERROR(IF(OR(MonteCarlo!$B$4="C",MonteCarlo!$B$4="c"),_xlfn.NORM.S.DIST((LN(AA$1 / MonteCarlo!$B$5) + (MonteCarlo!$B$9 + MonteCarlo!$B$7 ^ 2 / 2) *$A14) / (MonteCarlo!$B$7 * SQRT($A14)),TRUE),_xlfn.NORM.S.DIST((LN(AA$1 / MonteCarlo!$B$5) + (MonteCarlo!$B$9 - MonteCarlo!$B$7 ^ 2 / 2) *$A14) / (MonteCarlo!$B$7 * SQRT($A14)),TRUE)-1),"")</f>
        <v/>
      </c>
      <c r="AB14" t="str">
        <f>IFERROR(IF(OR(MonteCarlo!$B$4="C",MonteCarlo!$B$4="c"),_xlfn.NORM.S.DIST((LN(AB$1 / MonteCarlo!$B$5) + (MonteCarlo!$B$9 + MonteCarlo!$B$7 ^ 2 / 2) *$A14) / (MonteCarlo!$B$7 * SQRT($A14)),TRUE),_xlfn.NORM.S.DIST((LN(AB$1 / MonteCarlo!$B$5) + (MonteCarlo!$B$9 - MonteCarlo!$B$7 ^ 2 / 2) *$A14) / (MonteCarlo!$B$7 * SQRT($A14)),TRUE)-1),"")</f>
        <v/>
      </c>
      <c r="AC14" t="str">
        <f>IFERROR(IF(OR(MonteCarlo!$B$4="C",MonteCarlo!$B$4="c"),_xlfn.NORM.S.DIST((LN(AC$1 / MonteCarlo!$B$5) + (MonteCarlo!$B$9 + MonteCarlo!$B$7 ^ 2 / 2) *$A14) / (MonteCarlo!$B$7 * SQRT($A14)),TRUE),_xlfn.NORM.S.DIST((LN(AC$1 / MonteCarlo!$B$5) + (MonteCarlo!$B$9 - MonteCarlo!$B$7 ^ 2 / 2) *$A14) / (MonteCarlo!$B$7 * SQRT($A14)),TRUE)-1),"")</f>
        <v/>
      </c>
      <c r="AD14" t="str">
        <f>IFERROR(IF(OR(MonteCarlo!$B$4="C",MonteCarlo!$B$4="c"),_xlfn.NORM.S.DIST((LN(AD$1 / MonteCarlo!$B$5) + (MonteCarlo!$B$9 + MonteCarlo!$B$7 ^ 2 / 2) *$A14) / (MonteCarlo!$B$7 * SQRT($A14)),TRUE),_xlfn.NORM.S.DIST((LN(AD$1 / MonteCarlo!$B$5) + (MonteCarlo!$B$9 - MonteCarlo!$B$7 ^ 2 / 2) *$A14) / (MonteCarlo!$B$7 * SQRT($A14)),TRUE)-1),"")</f>
        <v/>
      </c>
      <c r="AE14" t="str">
        <f>IFERROR(IF(OR(MonteCarlo!$B$4="C",MonteCarlo!$B$4="c"),_xlfn.NORM.S.DIST((LN(AE$1 / MonteCarlo!$B$5) + (MonteCarlo!$B$9 + MonteCarlo!$B$7 ^ 2 / 2) *$A14) / (MonteCarlo!$B$7 * SQRT($A14)),TRUE),_xlfn.NORM.S.DIST((LN(AE$1 / MonteCarlo!$B$5) + (MonteCarlo!$B$9 - MonteCarlo!$B$7 ^ 2 / 2) *$A14) / (MonteCarlo!$B$7 * SQRT($A14)),TRUE)-1),"")</f>
        <v/>
      </c>
      <c r="AF14" t="str">
        <f>IFERROR(IF(OR(MonteCarlo!$B$4="C",MonteCarlo!$B$4="c"),_xlfn.NORM.S.DIST((LN(AF$1 / MonteCarlo!$B$5) + (MonteCarlo!$B$9 + MonteCarlo!$B$7 ^ 2 / 2) *$A14) / (MonteCarlo!$B$7 * SQRT($A14)),TRUE),_xlfn.NORM.S.DIST((LN(AF$1 / MonteCarlo!$B$5) + (MonteCarlo!$B$9 - MonteCarlo!$B$7 ^ 2 / 2) *$A14) / (MonteCarlo!$B$7 * SQRT($A14)),TRUE)-1),"")</f>
        <v/>
      </c>
    </row>
    <row r="15" spans="2:32" x14ac:dyDescent="0.25">
      <c r="B15" t="str">
        <f>IFERROR(IF(OR(MonteCarlo!$B$4="C",MonteCarlo!$B$4="c"),_xlfn.NORM.S.DIST((LN(B$1 / MonteCarlo!$B$5) + (MonteCarlo!$B$9 + MonteCarlo!$B$7 ^ 2 / 2) *$A15) / (MonteCarlo!$B$7 * SQRT($A15)),TRUE),_xlfn.NORM.S.DIST((LN(B$1 / MonteCarlo!$B$5) + (MonteCarlo!$B$9 - MonteCarlo!$B$7 ^ 2 / 2) *$A15) / (MonteCarlo!$B$7 * SQRT($A15)),TRUE)-1),"")</f>
        <v/>
      </c>
      <c r="C15" t="str">
        <f>IFERROR(IF(OR(MonteCarlo!$B$4="C",MonteCarlo!$B$4="c"),_xlfn.NORM.S.DIST((LN(C$1 / MonteCarlo!$B$5) + (MonteCarlo!$B$9 + MonteCarlo!$B$7 ^ 2 / 2) *$A15) / (MonteCarlo!$B$7 * SQRT($A15)),TRUE),_xlfn.NORM.S.DIST((LN(C$1 / MonteCarlo!$B$5) + (MonteCarlo!$B$9 - MonteCarlo!$B$7 ^ 2 / 2) *$A15) / (MonteCarlo!$B$7 * SQRT($A15)),TRUE)-1),"")</f>
        <v/>
      </c>
      <c r="D15" t="str">
        <f>IFERROR(IF(OR(MonteCarlo!$B$4="C",MonteCarlo!$B$4="c"),_xlfn.NORM.S.DIST((LN(D$1 / MonteCarlo!$B$5) + (MonteCarlo!$B$9 + MonteCarlo!$B$7 ^ 2 / 2) *$A15) / (MonteCarlo!$B$7 * SQRT($A15)),TRUE),_xlfn.NORM.S.DIST((LN(D$1 / MonteCarlo!$B$5) + (MonteCarlo!$B$9 - MonteCarlo!$B$7 ^ 2 / 2) *$A15) / (MonteCarlo!$B$7 * SQRT($A15)),TRUE)-1),"")</f>
        <v/>
      </c>
      <c r="E15" t="str">
        <f>IFERROR(IF(OR(MonteCarlo!$B$4="C",MonteCarlo!$B$4="c"),_xlfn.NORM.S.DIST((LN(E$1 / MonteCarlo!$B$5) + (MonteCarlo!$B$9 + MonteCarlo!$B$7 ^ 2 / 2) *$A15) / (MonteCarlo!$B$7 * SQRT($A15)),TRUE),_xlfn.NORM.S.DIST((LN(E$1 / MonteCarlo!$B$5) + (MonteCarlo!$B$9 - MonteCarlo!$B$7 ^ 2 / 2) *$A15) / (MonteCarlo!$B$7 * SQRT($A15)),TRUE)-1),"")</f>
        <v/>
      </c>
      <c r="F15" t="str">
        <f>IFERROR(IF(OR(MonteCarlo!$B$4="C",MonteCarlo!$B$4="c"),_xlfn.NORM.S.DIST((LN(F$1 / MonteCarlo!$B$5) + (MonteCarlo!$B$9 + MonteCarlo!$B$7 ^ 2 / 2) *$A15) / (MonteCarlo!$B$7 * SQRT($A15)),TRUE),_xlfn.NORM.S.DIST((LN(F$1 / MonteCarlo!$B$5) + (MonteCarlo!$B$9 - MonteCarlo!$B$7 ^ 2 / 2) *$A15) / (MonteCarlo!$B$7 * SQRT($A15)),TRUE)-1),"")</f>
        <v/>
      </c>
      <c r="G15" t="str">
        <f>IFERROR(IF(OR(MonteCarlo!$B$4="C",MonteCarlo!$B$4="c"),_xlfn.NORM.S.DIST((LN(G$1 / MonteCarlo!$B$5) + (MonteCarlo!$B$9 + MonteCarlo!$B$7 ^ 2 / 2) *$A15) / (MonteCarlo!$B$7 * SQRT($A15)),TRUE),_xlfn.NORM.S.DIST((LN(G$1 / MonteCarlo!$B$5) + (MonteCarlo!$B$9 - MonteCarlo!$B$7 ^ 2 / 2) *$A15) / (MonteCarlo!$B$7 * SQRT($A15)),TRUE)-1),"")</f>
        <v/>
      </c>
      <c r="H15" t="str">
        <f>IFERROR(IF(OR(MonteCarlo!$B$4="C",MonteCarlo!$B$4="c"),_xlfn.NORM.S.DIST((LN(H$1 / MonteCarlo!$B$5) + (MonteCarlo!$B$9 + MonteCarlo!$B$7 ^ 2 / 2) *$A15) / (MonteCarlo!$B$7 * SQRT($A15)),TRUE),_xlfn.NORM.S.DIST((LN(H$1 / MonteCarlo!$B$5) + (MonteCarlo!$B$9 - MonteCarlo!$B$7 ^ 2 / 2) *$A15) / (MonteCarlo!$B$7 * SQRT($A15)),TRUE)-1),"")</f>
        <v/>
      </c>
      <c r="I15" t="str">
        <f>IFERROR(IF(OR(MonteCarlo!$B$4="C",MonteCarlo!$B$4="c"),_xlfn.NORM.S.DIST((LN(I$1 / MonteCarlo!$B$5) + (MonteCarlo!$B$9 + MonteCarlo!$B$7 ^ 2 / 2) *$A15) / (MonteCarlo!$B$7 * SQRT($A15)),TRUE),_xlfn.NORM.S.DIST((LN(I$1 / MonteCarlo!$B$5) + (MonteCarlo!$B$9 - MonteCarlo!$B$7 ^ 2 / 2) *$A15) / (MonteCarlo!$B$7 * SQRT($A15)),TRUE)-1),"")</f>
        <v/>
      </c>
      <c r="J15" t="str">
        <f>IFERROR(IF(OR(MonteCarlo!$B$4="C",MonteCarlo!$B$4="c"),_xlfn.NORM.S.DIST((LN(J$1 / MonteCarlo!$B$5) + (MonteCarlo!$B$9 + MonteCarlo!$B$7 ^ 2 / 2) *$A15) / (MonteCarlo!$B$7 * SQRT($A15)),TRUE),_xlfn.NORM.S.DIST((LN(J$1 / MonteCarlo!$B$5) + (MonteCarlo!$B$9 - MonteCarlo!$B$7 ^ 2 / 2) *$A15) / (MonteCarlo!$B$7 * SQRT($A15)),TRUE)-1),"")</f>
        <v/>
      </c>
      <c r="K15" t="str">
        <f>IFERROR(IF(OR(MonteCarlo!$B$4="C",MonteCarlo!$B$4="c"),_xlfn.NORM.S.DIST((LN(K$1 / MonteCarlo!$B$5) + (MonteCarlo!$B$9 + MonteCarlo!$B$7 ^ 2 / 2) *$A15) / (MonteCarlo!$B$7 * SQRT($A15)),TRUE),_xlfn.NORM.S.DIST((LN(K$1 / MonteCarlo!$B$5) + (MonteCarlo!$B$9 - MonteCarlo!$B$7 ^ 2 / 2) *$A15) / (MonteCarlo!$B$7 * SQRT($A15)),TRUE)-1),"")</f>
        <v/>
      </c>
      <c r="L15" t="str">
        <f>IFERROR(IF(OR(MonteCarlo!$B$4="C",MonteCarlo!$B$4="c"),_xlfn.NORM.S.DIST((LN(L$1 / MonteCarlo!$B$5) + (MonteCarlo!$B$9 + MonteCarlo!$B$7 ^ 2 / 2) *$A15) / (MonteCarlo!$B$7 * SQRT($A15)),TRUE),_xlfn.NORM.S.DIST((LN(L$1 / MonteCarlo!$B$5) + (MonteCarlo!$B$9 - MonteCarlo!$B$7 ^ 2 / 2) *$A15) / (MonteCarlo!$B$7 * SQRT($A15)),TRUE)-1),"")</f>
        <v/>
      </c>
      <c r="M15" t="str">
        <f>IFERROR(IF(OR(MonteCarlo!$B$4="C",MonteCarlo!$B$4="c"),_xlfn.NORM.S.DIST((LN(M$1 / MonteCarlo!$B$5) + (MonteCarlo!$B$9 + MonteCarlo!$B$7 ^ 2 / 2) *$A15) / (MonteCarlo!$B$7 * SQRT($A15)),TRUE),_xlfn.NORM.S.DIST((LN(M$1 / MonteCarlo!$B$5) + (MonteCarlo!$B$9 - MonteCarlo!$B$7 ^ 2 / 2) *$A15) / (MonteCarlo!$B$7 * SQRT($A15)),TRUE)-1),"")</f>
        <v/>
      </c>
      <c r="N15" t="str">
        <f>IFERROR(IF(OR(MonteCarlo!$B$4="C",MonteCarlo!$B$4="c"),_xlfn.NORM.S.DIST((LN(N$1 / MonteCarlo!$B$5) + (MonteCarlo!$B$9 + MonteCarlo!$B$7 ^ 2 / 2) *$A15) / (MonteCarlo!$B$7 * SQRT($A15)),TRUE),_xlfn.NORM.S.DIST((LN(N$1 / MonteCarlo!$B$5) + (MonteCarlo!$B$9 - MonteCarlo!$B$7 ^ 2 / 2) *$A15) / (MonteCarlo!$B$7 * SQRT($A15)),TRUE)-1),"")</f>
        <v/>
      </c>
      <c r="O15" t="str">
        <f>IFERROR(IF(OR(MonteCarlo!$B$4="C",MonteCarlo!$B$4="c"),_xlfn.NORM.S.DIST((LN(O$1 / MonteCarlo!$B$5) + (MonteCarlo!$B$9 + MonteCarlo!$B$7 ^ 2 / 2) *$A15) / (MonteCarlo!$B$7 * SQRT($A15)),TRUE),_xlfn.NORM.S.DIST((LN(O$1 / MonteCarlo!$B$5) + (MonteCarlo!$B$9 - MonteCarlo!$B$7 ^ 2 / 2) *$A15) / (MonteCarlo!$B$7 * SQRT($A15)),TRUE)-1),"")</f>
        <v/>
      </c>
      <c r="P15" t="str">
        <f>IFERROR(IF(OR(MonteCarlo!$B$4="C",MonteCarlo!$B$4="c"),_xlfn.NORM.S.DIST((LN(P$1 / MonteCarlo!$B$5) + (MonteCarlo!$B$9 + MonteCarlo!$B$7 ^ 2 / 2) *$A15) / (MonteCarlo!$B$7 * SQRT($A15)),TRUE),_xlfn.NORM.S.DIST((LN(P$1 / MonteCarlo!$B$5) + (MonteCarlo!$B$9 - MonteCarlo!$B$7 ^ 2 / 2) *$A15) / (MonteCarlo!$B$7 * SQRT($A15)),TRUE)-1),"")</f>
        <v/>
      </c>
      <c r="Q15" t="str">
        <f>IFERROR(IF(OR(MonteCarlo!$B$4="C",MonteCarlo!$B$4="c"),_xlfn.NORM.S.DIST((LN(Q$1 / MonteCarlo!$B$5) + (MonteCarlo!$B$9 + MonteCarlo!$B$7 ^ 2 / 2) *$A15) / (MonteCarlo!$B$7 * SQRT($A15)),TRUE),_xlfn.NORM.S.DIST((LN(Q$1 / MonteCarlo!$B$5) + (MonteCarlo!$B$9 - MonteCarlo!$B$7 ^ 2 / 2) *$A15) / (MonteCarlo!$B$7 * SQRT($A15)),TRUE)-1),"")</f>
        <v/>
      </c>
      <c r="R15" t="str">
        <f>IFERROR(IF(OR(MonteCarlo!$B$4="C",MonteCarlo!$B$4="c"),_xlfn.NORM.S.DIST((LN(R$1 / MonteCarlo!$B$5) + (MonteCarlo!$B$9 + MonteCarlo!$B$7 ^ 2 / 2) *$A15) / (MonteCarlo!$B$7 * SQRT($A15)),TRUE),_xlfn.NORM.S.DIST((LN(R$1 / MonteCarlo!$B$5) + (MonteCarlo!$B$9 - MonteCarlo!$B$7 ^ 2 / 2) *$A15) / (MonteCarlo!$B$7 * SQRT($A15)),TRUE)-1),"")</f>
        <v/>
      </c>
      <c r="S15" t="str">
        <f>IFERROR(IF(OR(MonteCarlo!$B$4="C",MonteCarlo!$B$4="c"),_xlfn.NORM.S.DIST((LN(S$1 / MonteCarlo!$B$5) + (MonteCarlo!$B$9 + MonteCarlo!$B$7 ^ 2 / 2) *$A15) / (MonteCarlo!$B$7 * SQRT($A15)),TRUE),_xlfn.NORM.S.DIST((LN(S$1 / MonteCarlo!$B$5) + (MonteCarlo!$B$9 - MonteCarlo!$B$7 ^ 2 / 2) *$A15) / (MonteCarlo!$B$7 * SQRT($A15)),TRUE)-1),"")</f>
        <v/>
      </c>
      <c r="T15" t="str">
        <f>IFERROR(IF(OR(MonteCarlo!$B$4="C",MonteCarlo!$B$4="c"),_xlfn.NORM.S.DIST((LN(T$1 / MonteCarlo!$B$5) + (MonteCarlo!$B$9 + MonteCarlo!$B$7 ^ 2 / 2) *$A15) / (MonteCarlo!$B$7 * SQRT($A15)),TRUE),_xlfn.NORM.S.DIST((LN(T$1 / MonteCarlo!$B$5) + (MonteCarlo!$B$9 - MonteCarlo!$B$7 ^ 2 / 2) *$A15) / (MonteCarlo!$B$7 * SQRT($A15)),TRUE)-1),"")</f>
        <v/>
      </c>
      <c r="U15" t="str">
        <f>IFERROR(IF(OR(MonteCarlo!$B$4="C",MonteCarlo!$B$4="c"),_xlfn.NORM.S.DIST((LN(U$1 / MonteCarlo!$B$5) + (MonteCarlo!$B$9 + MonteCarlo!$B$7 ^ 2 / 2) *$A15) / (MonteCarlo!$B$7 * SQRT($A15)),TRUE),_xlfn.NORM.S.DIST((LN(U$1 / MonteCarlo!$B$5) + (MonteCarlo!$B$9 - MonteCarlo!$B$7 ^ 2 / 2) *$A15) / (MonteCarlo!$B$7 * SQRT($A15)),TRUE)-1),"")</f>
        <v/>
      </c>
      <c r="V15" t="str">
        <f>IFERROR(IF(OR(MonteCarlo!$B$4="C",MonteCarlo!$B$4="c"),_xlfn.NORM.S.DIST((LN(V$1 / MonteCarlo!$B$5) + (MonteCarlo!$B$9 + MonteCarlo!$B$7 ^ 2 / 2) *$A15) / (MonteCarlo!$B$7 * SQRT($A15)),TRUE),_xlfn.NORM.S.DIST((LN(V$1 / MonteCarlo!$B$5) + (MonteCarlo!$B$9 - MonteCarlo!$B$7 ^ 2 / 2) *$A15) / (MonteCarlo!$B$7 * SQRT($A15)),TRUE)-1),"")</f>
        <v/>
      </c>
      <c r="W15" t="str">
        <f>IFERROR(IF(OR(MonteCarlo!$B$4="C",MonteCarlo!$B$4="c"),_xlfn.NORM.S.DIST((LN(W$1 / MonteCarlo!$B$5) + (MonteCarlo!$B$9 + MonteCarlo!$B$7 ^ 2 / 2) *$A15) / (MonteCarlo!$B$7 * SQRT($A15)),TRUE),_xlfn.NORM.S.DIST((LN(W$1 / MonteCarlo!$B$5) + (MonteCarlo!$B$9 - MonteCarlo!$B$7 ^ 2 / 2) *$A15) / (MonteCarlo!$B$7 * SQRT($A15)),TRUE)-1),"")</f>
        <v/>
      </c>
      <c r="X15" t="str">
        <f>IFERROR(IF(OR(MonteCarlo!$B$4="C",MonteCarlo!$B$4="c"),_xlfn.NORM.S.DIST((LN(X$1 / MonteCarlo!$B$5) + (MonteCarlo!$B$9 + MonteCarlo!$B$7 ^ 2 / 2) *$A15) / (MonteCarlo!$B$7 * SQRT($A15)),TRUE),_xlfn.NORM.S.DIST((LN(X$1 / MonteCarlo!$B$5) + (MonteCarlo!$B$9 - MonteCarlo!$B$7 ^ 2 / 2) *$A15) / (MonteCarlo!$B$7 * SQRT($A15)),TRUE)-1),"")</f>
        <v/>
      </c>
      <c r="Y15" t="str">
        <f>IFERROR(IF(OR(MonteCarlo!$B$4="C",MonteCarlo!$B$4="c"),_xlfn.NORM.S.DIST((LN(Y$1 / MonteCarlo!$B$5) + (MonteCarlo!$B$9 + MonteCarlo!$B$7 ^ 2 / 2) *$A15) / (MonteCarlo!$B$7 * SQRT($A15)),TRUE),_xlfn.NORM.S.DIST((LN(Y$1 / MonteCarlo!$B$5) + (MonteCarlo!$B$9 - MonteCarlo!$B$7 ^ 2 / 2) *$A15) / (MonteCarlo!$B$7 * SQRT($A15)),TRUE)-1),"")</f>
        <v/>
      </c>
      <c r="Z15" t="str">
        <f>IFERROR(IF(OR(MonteCarlo!$B$4="C",MonteCarlo!$B$4="c"),_xlfn.NORM.S.DIST((LN(Z$1 / MonteCarlo!$B$5) + (MonteCarlo!$B$9 + MonteCarlo!$B$7 ^ 2 / 2) *$A15) / (MonteCarlo!$B$7 * SQRT($A15)),TRUE),_xlfn.NORM.S.DIST((LN(Z$1 / MonteCarlo!$B$5) + (MonteCarlo!$B$9 - MonteCarlo!$B$7 ^ 2 / 2) *$A15) / (MonteCarlo!$B$7 * SQRT($A15)),TRUE)-1),"")</f>
        <v/>
      </c>
      <c r="AA15" t="str">
        <f>IFERROR(IF(OR(MonteCarlo!$B$4="C",MonteCarlo!$B$4="c"),_xlfn.NORM.S.DIST((LN(AA$1 / MonteCarlo!$B$5) + (MonteCarlo!$B$9 + MonteCarlo!$B$7 ^ 2 / 2) *$A15) / (MonteCarlo!$B$7 * SQRT($A15)),TRUE),_xlfn.NORM.S.DIST((LN(AA$1 / MonteCarlo!$B$5) + (MonteCarlo!$B$9 - MonteCarlo!$B$7 ^ 2 / 2) *$A15) / (MonteCarlo!$B$7 * SQRT($A15)),TRUE)-1),"")</f>
        <v/>
      </c>
      <c r="AB15" t="str">
        <f>IFERROR(IF(OR(MonteCarlo!$B$4="C",MonteCarlo!$B$4="c"),_xlfn.NORM.S.DIST((LN(AB$1 / MonteCarlo!$B$5) + (MonteCarlo!$B$9 + MonteCarlo!$B$7 ^ 2 / 2) *$A15) / (MonteCarlo!$B$7 * SQRT($A15)),TRUE),_xlfn.NORM.S.DIST((LN(AB$1 / MonteCarlo!$B$5) + (MonteCarlo!$B$9 - MonteCarlo!$B$7 ^ 2 / 2) *$A15) / (MonteCarlo!$B$7 * SQRT($A15)),TRUE)-1),"")</f>
        <v/>
      </c>
      <c r="AC15" t="str">
        <f>IFERROR(IF(OR(MonteCarlo!$B$4="C",MonteCarlo!$B$4="c"),_xlfn.NORM.S.DIST((LN(AC$1 / MonteCarlo!$B$5) + (MonteCarlo!$B$9 + MonteCarlo!$B$7 ^ 2 / 2) *$A15) / (MonteCarlo!$B$7 * SQRT($A15)),TRUE),_xlfn.NORM.S.DIST((LN(AC$1 / MonteCarlo!$B$5) + (MonteCarlo!$B$9 - MonteCarlo!$B$7 ^ 2 / 2) *$A15) / (MonteCarlo!$B$7 * SQRT($A15)),TRUE)-1),"")</f>
        <v/>
      </c>
      <c r="AD15" t="str">
        <f>IFERROR(IF(OR(MonteCarlo!$B$4="C",MonteCarlo!$B$4="c"),_xlfn.NORM.S.DIST((LN(AD$1 / MonteCarlo!$B$5) + (MonteCarlo!$B$9 + MonteCarlo!$B$7 ^ 2 / 2) *$A15) / (MonteCarlo!$B$7 * SQRT($A15)),TRUE),_xlfn.NORM.S.DIST((LN(AD$1 / MonteCarlo!$B$5) + (MonteCarlo!$B$9 - MonteCarlo!$B$7 ^ 2 / 2) *$A15) / (MonteCarlo!$B$7 * SQRT($A15)),TRUE)-1),"")</f>
        <v/>
      </c>
      <c r="AE15" t="str">
        <f>IFERROR(IF(OR(MonteCarlo!$B$4="C",MonteCarlo!$B$4="c"),_xlfn.NORM.S.DIST((LN(AE$1 / MonteCarlo!$B$5) + (MonteCarlo!$B$9 + MonteCarlo!$B$7 ^ 2 / 2) *$A15) / (MonteCarlo!$B$7 * SQRT($A15)),TRUE),_xlfn.NORM.S.DIST((LN(AE$1 / MonteCarlo!$B$5) + (MonteCarlo!$B$9 - MonteCarlo!$B$7 ^ 2 / 2) *$A15) / (MonteCarlo!$B$7 * SQRT($A15)),TRUE)-1),"")</f>
        <v/>
      </c>
      <c r="AF15" t="str">
        <f>IFERROR(IF(OR(MonteCarlo!$B$4="C",MonteCarlo!$B$4="c"),_xlfn.NORM.S.DIST((LN(AF$1 / MonteCarlo!$B$5) + (MonteCarlo!$B$9 + MonteCarlo!$B$7 ^ 2 / 2) *$A15) / (MonteCarlo!$B$7 * SQRT($A15)),TRUE),_xlfn.NORM.S.DIST((LN(AF$1 / MonteCarlo!$B$5) + (MonteCarlo!$B$9 - MonteCarlo!$B$7 ^ 2 / 2) *$A15) / (MonteCarlo!$B$7 * SQRT($A15)),TRUE)-1),"")</f>
        <v/>
      </c>
    </row>
    <row r="16" spans="2:32" x14ac:dyDescent="0.25">
      <c r="B16" t="str">
        <f>IFERROR(IF(OR(MonteCarlo!$B$4="C",MonteCarlo!$B$4="c"),_xlfn.NORM.S.DIST((LN(B$1 / MonteCarlo!$B$5) + (MonteCarlo!$B$9 + MonteCarlo!$B$7 ^ 2 / 2) *$A16) / (MonteCarlo!$B$7 * SQRT($A16)),TRUE),_xlfn.NORM.S.DIST((LN(B$1 / MonteCarlo!$B$5) + (MonteCarlo!$B$9 - MonteCarlo!$B$7 ^ 2 / 2) *$A16) / (MonteCarlo!$B$7 * SQRT($A16)),TRUE)-1),"")</f>
        <v/>
      </c>
      <c r="C16" t="str">
        <f>IFERROR(IF(OR(MonteCarlo!$B$4="C",MonteCarlo!$B$4="c"),_xlfn.NORM.S.DIST((LN(C$1 / MonteCarlo!$B$5) + (MonteCarlo!$B$9 + MonteCarlo!$B$7 ^ 2 / 2) *$A16) / (MonteCarlo!$B$7 * SQRT($A16)),TRUE),_xlfn.NORM.S.DIST((LN(C$1 / MonteCarlo!$B$5) + (MonteCarlo!$B$9 - MonteCarlo!$B$7 ^ 2 / 2) *$A16) / (MonteCarlo!$B$7 * SQRT($A16)),TRUE)-1),"")</f>
        <v/>
      </c>
      <c r="D16" t="str">
        <f>IFERROR(IF(OR(MonteCarlo!$B$4="C",MonteCarlo!$B$4="c"),_xlfn.NORM.S.DIST((LN(D$1 / MonteCarlo!$B$5) + (MonteCarlo!$B$9 + MonteCarlo!$B$7 ^ 2 / 2) *$A16) / (MonteCarlo!$B$7 * SQRT($A16)),TRUE),_xlfn.NORM.S.DIST((LN(D$1 / MonteCarlo!$B$5) + (MonteCarlo!$B$9 - MonteCarlo!$B$7 ^ 2 / 2) *$A16) / (MonteCarlo!$B$7 * SQRT($A16)),TRUE)-1),"")</f>
        <v/>
      </c>
      <c r="E16" t="str">
        <f>IFERROR(IF(OR(MonteCarlo!$B$4="C",MonteCarlo!$B$4="c"),_xlfn.NORM.S.DIST((LN(E$1 / MonteCarlo!$B$5) + (MonteCarlo!$B$9 + MonteCarlo!$B$7 ^ 2 / 2) *$A16) / (MonteCarlo!$B$7 * SQRT($A16)),TRUE),_xlfn.NORM.S.DIST((LN(E$1 / MonteCarlo!$B$5) + (MonteCarlo!$B$9 - MonteCarlo!$B$7 ^ 2 / 2) *$A16) / (MonteCarlo!$B$7 * SQRT($A16)),TRUE)-1),"")</f>
        <v/>
      </c>
      <c r="F16" t="str">
        <f>IFERROR(IF(OR(MonteCarlo!$B$4="C",MonteCarlo!$B$4="c"),_xlfn.NORM.S.DIST((LN(F$1 / MonteCarlo!$B$5) + (MonteCarlo!$B$9 + MonteCarlo!$B$7 ^ 2 / 2) *$A16) / (MonteCarlo!$B$7 * SQRT($A16)),TRUE),_xlfn.NORM.S.DIST((LN(F$1 / MonteCarlo!$B$5) + (MonteCarlo!$B$9 - MonteCarlo!$B$7 ^ 2 / 2) *$A16) / (MonteCarlo!$B$7 * SQRT($A16)),TRUE)-1),"")</f>
        <v/>
      </c>
      <c r="G16" t="str">
        <f>IFERROR(IF(OR(MonteCarlo!$B$4="C",MonteCarlo!$B$4="c"),_xlfn.NORM.S.DIST((LN(G$1 / MonteCarlo!$B$5) + (MonteCarlo!$B$9 + MonteCarlo!$B$7 ^ 2 / 2) *$A16) / (MonteCarlo!$B$7 * SQRT($A16)),TRUE),_xlfn.NORM.S.DIST((LN(G$1 / MonteCarlo!$B$5) + (MonteCarlo!$B$9 - MonteCarlo!$B$7 ^ 2 / 2) *$A16) / (MonteCarlo!$B$7 * SQRT($A16)),TRUE)-1),"")</f>
        <v/>
      </c>
      <c r="H16" t="str">
        <f>IFERROR(IF(OR(MonteCarlo!$B$4="C",MonteCarlo!$B$4="c"),_xlfn.NORM.S.DIST((LN(H$1 / MonteCarlo!$B$5) + (MonteCarlo!$B$9 + MonteCarlo!$B$7 ^ 2 / 2) *$A16) / (MonteCarlo!$B$7 * SQRT($A16)),TRUE),_xlfn.NORM.S.DIST((LN(H$1 / MonteCarlo!$B$5) + (MonteCarlo!$B$9 - MonteCarlo!$B$7 ^ 2 / 2) *$A16) / (MonteCarlo!$B$7 * SQRT($A16)),TRUE)-1),"")</f>
        <v/>
      </c>
      <c r="I16" t="str">
        <f>IFERROR(IF(OR(MonteCarlo!$B$4="C",MonteCarlo!$B$4="c"),_xlfn.NORM.S.DIST((LN(I$1 / MonteCarlo!$B$5) + (MonteCarlo!$B$9 + MonteCarlo!$B$7 ^ 2 / 2) *$A16) / (MonteCarlo!$B$7 * SQRT($A16)),TRUE),_xlfn.NORM.S.DIST((LN(I$1 / MonteCarlo!$B$5) + (MonteCarlo!$B$9 - MonteCarlo!$B$7 ^ 2 / 2) *$A16) / (MonteCarlo!$B$7 * SQRT($A16)),TRUE)-1),"")</f>
        <v/>
      </c>
      <c r="J16" t="str">
        <f>IFERROR(IF(OR(MonteCarlo!$B$4="C",MonteCarlo!$B$4="c"),_xlfn.NORM.S.DIST((LN(J$1 / MonteCarlo!$B$5) + (MonteCarlo!$B$9 + MonteCarlo!$B$7 ^ 2 / 2) *$A16) / (MonteCarlo!$B$7 * SQRT($A16)),TRUE),_xlfn.NORM.S.DIST((LN(J$1 / MonteCarlo!$B$5) + (MonteCarlo!$B$9 - MonteCarlo!$B$7 ^ 2 / 2) *$A16) / (MonteCarlo!$B$7 * SQRT($A16)),TRUE)-1),"")</f>
        <v/>
      </c>
      <c r="K16" t="str">
        <f>IFERROR(IF(OR(MonteCarlo!$B$4="C",MonteCarlo!$B$4="c"),_xlfn.NORM.S.DIST((LN(K$1 / MonteCarlo!$B$5) + (MonteCarlo!$B$9 + MonteCarlo!$B$7 ^ 2 / 2) *$A16) / (MonteCarlo!$B$7 * SQRT($A16)),TRUE),_xlfn.NORM.S.DIST((LN(K$1 / MonteCarlo!$B$5) + (MonteCarlo!$B$9 - MonteCarlo!$B$7 ^ 2 / 2) *$A16) / (MonteCarlo!$B$7 * SQRT($A16)),TRUE)-1),"")</f>
        <v/>
      </c>
      <c r="L16" t="str">
        <f>IFERROR(IF(OR(MonteCarlo!$B$4="C",MonteCarlo!$B$4="c"),_xlfn.NORM.S.DIST((LN(L$1 / MonteCarlo!$B$5) + (MonteCarlo!$B$9 + MonteCarlo!$B$7 ^ 2 / 2) *$A16) / (MonteCarlo!$B$7 * SQRT($A16)),TRUE),_xlfn.NORM.S.DIST((LN(L$1 / MonteCarlo!$B$5) + (MonteCarlo!$B$9 - MonteCarlo!$B$7 ^ 2 / 2) *$A16) / (MonteCarlo!$B$7 * SQRT($A16)),TRUE)-1),"")</f>
        <v/>
      </c>
      <c r="M16" t="str">
        <f>IFERROR(IF(OR(MonteCarlo!$B$4="C",MonteCarlo!$B$4="c"),_xlfn.NORM.S.DIST((LN(M$1 / MonteCarlo!$B$5) + (MonteCarlo!$B$9 + MonteCarlo!$B$7 ^ 2 / 2) *$A16) / (MonteCarlo!$B$7 * SQRT($A16)),TRUE),_xlfn.NORM.S.DIST((LN(M$1 / MonteCarlo!$B$5) + (MonteCarlo!$B$9 - MonteCarlo!$B$7 ^ 2 / 2) *$A16) / (MonteCarlo!$B$7 * SQRT($A16)),TRUE)-1),"")</f>
        <v/>
      </c>
      <c r="N16" t="str">
        <f>IFERROR(IF(OR(MonteCarlo!$B$4="C",MonteCarlo!$B$4="c"),_xlfn.NORM.S.DIST((LN(N$1 / MonteCarlo!$B$5) + (MonteCarlo!$B$9 + MonteCarlo!$B$7 ^ 2 / 2) *$A16) / (MonteCarlo!$B$7 * SQRT($A16)),TRUE),_xlfn.NORM.S.DIST((LN(N$1 / MonteCarlo!$B$5) + (MonteCarlo!$B$9 - MonteCarlo!$B$7 ^ 2 / 2) *$A16) / (MonteCarlo!$B$7 * SQRT($A16)),TRUE)-1),"")</f>
        <v/>
      </c>
      <c r="O16" t="str">
        <f>IFERROR(IF(OR(MonteCarlo!$B$4="C",MonteCarlo!$B$4="c"),_xlfn.NORM.S.DIST((LN(O$1 / MonteCarlo!$B$5) + (MonteCarlo!$B$9 + MonteCarlo!$B$7 ^ 2 / 2) *$A16) / (MonteCarlo!$B$7 * SQRT($A16)),TRUE),_xlfn.NORM.S.DIST((LN(O$1 / MonteCarlo!$B$5) + (MonteCarlo!$B$9 - MonteCarlo!$B$7 ^ 2 / 2) *$A16) / (MonteCarlo!$B$7 * SQRT($A16)),TRUE)-1),"")</f>
        <v/>
      </c>
      <c r="P16" t="str">
        <f>IFERROR(IF(OR(MonteCarlo!$B$4="C",MonteCarlo!$B$4="c"),_xlfn.NORM.S.DIST((LN(P$1 / MonteCarlo!$B$5) + (MonteCarlo!$B$9 + MonteCarlo!$B$7 ^ 2 / 2) *$A16) / (MonteCarlo!$B$7 * SQRT($A16)),TRUE),_xlfn.NORM.S.DIST((LN(P$1 / MonteCarlo!$B$5) + (MonteCarlo!$B$9 - MonteCarlo!$B$7 ^ 2 / 2) *$A16) / (MonteCarlo!$B$7 * SQRT($A16)),TRUE)-1),"")</f>
        <v/>
      </c>
      <c r="Q16" t="str">
        <f>IFERROR(IF(OR(MonteCarlo!$B$4="C",MonteCarlo!$B$4="c"),_xlfn.NORM.S.DIST((LN(Q$1 / MonteCarlo!$B$5) + (MonteCarlo!$B$9 + MonteCarlo!$B$7 ^ 2 / 2) *$A16) / (MonteCarlo!$B$7 * SQRT($A16)),TRUE),_xlfn.NORM.S.DIST((LN(Q$1 / MonteCarlo!$B$5) + (MonteCarlo!$B$9 - MonteCarlo!$B$7 ^ 2 / 2) *$A16) / (MonteCarlo!$B$7 * SQRT($A16)),TRUE)-1),"")</f>
        <v/>
      </c>
      <c r="R16" t="str">
        <f>IFERROR(IF(OR(MonteCarlo!$B$4="C",MonteCarlo!$B$4="c"),_xlfn.NORM.S.DIST((LN(R$1 / MonteCarlo!$B$5) + (MonteCarlo!$B$9 + MonteCarlo!$B$7 ^ 2 / 2) *$A16) / (MonteCarlo!$B$7 * SQRT($A16)),TRUE),_xlfn.NORM.S.DIST((LN(R$1 / MonteCarlo!$B$5) + (MonteCarlo!$B$9 - MonteCarlo!$B$7 ^ 2 / 2) *$A16) / (MonteCarlo!$B$7 * SQRT($A16)),TRUE)-1),"")</f>
        <v/>
      </c>
      <c r="S16" t="str">
        <f>IFERROR(IF(OR(MonteCarlo!$B$4="C",MonteCarlo!$B$4="c"),_xlfn.NORM.S.DIST((LN(S$1 / MonteCarlo!$B$5) + (MonteCarlo!$B$9 + MonteCarlo!$B$7 ^ 2 / 2) *$A16) / (MonteCarlo!$B$7 * SQRT($A16)),TRUE),_xlfn.NORM.S.DIST((LN(S$1 / MonteCarlo!$B$5) + (MonteCarlo!$B$9 - MonteCarlo!$B$7 ^ 2 / 2) *$A16) / (MonteCarlo!$B$7 * SQRT($A16)),TRUE)-1),"")</f>
        <v/>
      </c>
      <c r="T16" t="str">
        <f>IFERROR(IF(OR(MonteCarlo!$B$4="C",MonteCarlo!$B$4="c"),_xlfn.NORM.S.DIST((LN(T$1 / MonteCarlo!$B$5) + (MonteCarlo!$B$9 + MonteCarlo!$B$7 ^ 2 / 2) *$A16) / (MonteCarlo!$B$7 * SQRT($A16)),TRUE),_xlfn.NORM.S.DIST((LN(T$1 / MonteCarlo!$B$5) + (MonteCarlo!$B$9 - MonteCarlo!$B$7 ^ 2 / 2) *$A16) / (MonteCarlo!$B$7 * SQRT($A16)),TRUE)-1),"")</f>
        <v/>
      </c>
      <c r="U16" t="str">
        <f>IFERROR(IF(OR(MonteCarlo!$B$4="C",MonteCarlo!$B$4="c"),_xlfn.NORM.S.DIST((LN(U$1 / MonteCarlo!$B$5) + (MonteCarlo!$B$9 + MonteCarlo!$B$7 ^ 2 / 2) *$A16) / (MonteCarlo!$B$7 * SQRT($A16)),TRUE),_xlfn.NORM.S.DIST((LN(U$1 / MonteCarlo!$B$5) + (MonteCarlo!$B$9 - MonteCarlo!$B$7 ^ 2 / 2) *$A16) / (MonteCarlo!$B$7 * SQRT($A16)),TRUE)-1),"")</f>
        <v/>
      </c>
      <c r="V16" t="str">
        <f>IFERROR(IF(OR(MonteCarlo!$B$4="C",MonteCarlo!$B$4="c"),_xlfn.NORM.S.DIST((LN(V$1 / MonteCarlo!$B$5) + (MonteCarlo!$B$9 + MonteCarlo!$B$7 ^ 2 / 2) *$A16) / (MonteCarlo!$B$7 * SQRT($A16)),TRUE),_xlfn.NORM.S.DIST((LN(V$1 / MonteCarlo!$B$5) + (MonteCarlo!$B$9 - MonteCarlo!$B$7 ^ 2 / 2) *$A16) / (MonteCarlo!$B$7 * SQRT($A16)),TRUE)-1),"")</f>
        <v/>
      </c>
      <c r="W16" t="str">
        <f>IFERROR(IF(OR(MonteCarlo!$B$4="C",MonteCarlo!$B$4="c"),_xlfn.NORM.S.DIST((LN(W$1 / MonteCarlo!$B$5) + (MonteCarlo!$B$9 + MonteCarlo!$B$7 ^ 2 / 2) *$A16) / (MonteCarlo!$B$7 * SQRT($A16)),TRUE),_xlfn.NORM.S.DIST((LN(W$1 / MonteCarlo!$B$5) + (MonteCarlo!$B$9 - MonteCarlo!$B$7 ^ 2 / 2) *$A16) / (MonteCarlo!$B$7 * SQRT($A16)),TRUE)-1),"")</f>
        <v/>
      </c>
      <c r="X16" t="str">
        <f>IFERROR(IF(OR(MonteCarlo!$B$4="C",MonteCarlo!$B$4="c"),_xlfn.NORM.S.DIST((LN(X$1 / MonteCarlo!$B$5) + (MonteCarlo!$B$9 + MonteCarlo!$B$7 ^ 2 / 2) *$A16) / (MonteCarlo!$B$7 * SQRT($A16)),TRUE),_xlfn.NORM.S.DIST((LN(X$1 / MonteCarlo!$B$5) + (MonteCarlo!$B$9 - MonteCarlo!$B$7 ^ 2 / 2) *$A16) / (MonteCarlo!$B$7 * SQRT($A16)),TRUE)-1),"")</f>
        <v/>
      </c>
      <c r="Y16" t="str">
        <f>IFERROR(IF(OR(MonteCarlo!$B$4="C",MonteCarlo!$B$4="c"),_xlfn.NORM.S.DIST((LN(Y$1 / MonteCarlo!$B$5) + (MonteCarlo!$B$9 + MonteCarlo!$B$7 ^ 2 / 2) *$A16) / (MonteCarlo!$B$7 * SQRT($A16)),TRUE),_xlfn.NORM.S.DIST((LN(Y$1 / MonteCarlo!$B$5) + (MonteCarlo!$B$9 - MonteCarlo!$B$7 ^ 2 / 2) *$A16) / (MonteCarlo!$B$7 * SQRT($A16)),TRUE)-1),"")</f>
        <v/>
      </c>
      <c r="Z16" t="str">
        <f>IFERROR(IF(OR(MonteCarlo!$B$4="C",MonteCarlo!$B$4="c"),_xlfn.NORM.S.DIST((LN(Z$1 / MonteCarlo!$B$5) + (MonteCarlo!$B$9 + MonteCarlo!$B$7 ^ 2 / 2) *$A16) / (MonteCarlo!$B$7 * SQRT($A16)),TRUE),_xlfn.NORM.S.DIST((LN(Z$1 / MonteCarlo!$B$5) + (MonteCarlo!$B$9 - MonteCarlo!$B$7 ^ 2 / 2) *$A16) / (MonteCarlo!$B$7 * SQRT($A16)),TRUE)-1),"")</f>
        <v/>
      </c>
      <c r="AA16" t="str">
        <f>IFERROR(IF(OR(MonteCarlo!$B$4="C",MonteCarlo!$B$4="c"),_xlfn.NORM.S.DIST((LN(AA$1 / MonteCarlo!$B$5) + (MonteCarlo!$B$9 + MonteCarlo!$B$7 ^ 2 / 2) *$A16) / (MonteCarlo!$B$7 * SQRT($A16)),TRUE),_xlfn.NORM.S.DIST((LN(AA$1 / MonteCarlo!$B$5) + (MonteCarlo!$B$9 - MonteCarlo!$B$7 ^ 2 / 2) *$A16) / (MonteCarlo!$B$7 * SQRT($A16)),TRUE)-1),"")</f>
        <v/>
      </c>
      <c r="AB16" t="str">
        <f>IFERROR(IF(OR(MonteCarlo!$B$4="C",MonteCarlo!$B$4="c"),_xlfn.NORM.S.DIST((LN(AB$1 / MonteCarlo!$B$5) + (MonteCarlo!$B$9 + MonteCarlo!$B$7 ^ 2 / 2) *$A16) / (MonteCarlo!$B$7 * SQRT($A16)),TRUE),_xlfn.NORM.S.DIST((LN(AB$1 / MonteCarlo!$B$5) + (MonteCarlo!$B$9 - MonteCarlo!$B$7 ^ 2 / 2) *$A16) / (MonteCarlo!$B$7 * SQRT($A16)),TRUE)-1),"")</f>
        <v/>
      </c>
      <c r="AC16" t="str">
        <f>IFERROR(IF(OR(MonteCarlo!$B$4="C",MonteCarlo!$B$4="c"),_xlfn.NORM.S.DIST((LN(AC$1 / MonteCarlo!$B$5) + (MonteCarlo!$B$9 + MonteCarlo!$B$7 ^ 2 / 2) *$A16) / (MonteCarlo!$B$7 * SQRT($A16)),TRUE),_xlfn.NORM.S.DIST((LN(AC$1 / MonteCarlo!$B$5) + (MonteCarlo!$B$9 - MonteCarlo!$B$7 ^ 2 / 2) *$A16) / (MonteCarlo!$B$7 * SQRT($A16)),TRUE)-1),"")</f>
        <v/>
      </c>
      <c r="AD16" t="str">
        <f>IFERROR(IF(OR(MonteCarlo!$B$4="C",MonteCarlo!$B$4="c"),_xlfn.NORM.S.DIST((LN(AD$1 / MonteCarlo!$B$5) + (MonteCarlo!$B$9 + MonteCarlo!$B$7 ^ 2 / 2) *$A16) / (MonteCarlo!$B$7 * SQRT($A16)),TRUE),_xlfn.NORM.S.DIST((LN(AD$1 / MonteCarlo!$B$5) + (MonteCarlo!$B$9 - MonteCarlo!$B$7 ^ 2 / 2) *$A16) / (MonteCarlo!$B$7 * SQRT($A16)),TRUE)-1),"")</f>
        <v/>
      </c>
      <c r="AE16" t="str">
        <f>IFERROR(IF(OR(MonteCarlo!$B$4="C",MonteCarlo!$B$4="c"),_xlfn.NORM.S.DIST((LN(AE$1 / MonteCarlo!$B$5) + (MonteCarlo!$B$9 + MonteCarlo!$B$7 ^ 2 / 2) *$A16) / (MonteCarlo!$B$7 * SQRT($A16)),TRUE),_xlfn.NORM.S.DIST((LN(AE$1 / MonteCarlo!$B$5) + (MonteCarlo!$B$9 - MonteCarlo!$B$7 ^ 2 / 2) *$A16) / (MonteCarlo!$B$7 * SQRT($A16)),TRUE)-1),"")</f>
        <v/>
      </c>
      <c r="AF16" t="str">
        <f>IFERROR(IF(OR(MonteCarlo!$B$4="C",MonteCarlo!$B$4="c"),_xlfn.NORM.S.DIST((LN(AF$1 / MonteCarlo!$B$5) + (MonteCarlo!$B$9 + MonteCarlo!$B$7 ^ 2 / 2) *$A16) / (MonteCarlo!$B$7 * SQRT($A16)),TRUE),_xlfn.NORM.S.DIST((LN(AF$1 / MonteCarlo!$B$5) + (MonteCarlo!$B$9 - MonteCarlo!$B$7 ^ 2 / 2) *$A16) / (MonteCarlo!$B$7 * SQRT($A16)),TRUE)-1),"")</f>
        <v/>
      </c>
    </row>
    <row r="17" spans="2:32" x14ac:dyDescent="0.25">
      <c r="B17" t="str">
        <f>IFERROR(IF(OR(MonteCarlo!$B$4="C",MonteCarlo!$B$4="c"),_xlfn.NORM.S.DIST((LN(B$1 / MonteCarlo!$B$5) + (MonteCarlo!$B$9 + MonteCarlo!$B$7 ^ 2 / 2) *$A17) / (MonteCarlo!$B$7 * SQRT($A17)),TRUE),_xlfn.NORM.S.DIST((LN(B$1 / MonteCarlo!$B$5) + (MonteCarlo!$B$9 - MonteCarlo!$B$7 ^ 2 / 2) *$A17) / (MonteCarlo!$B$7 * SQRT($A17)),TRUE)-1),"")</f>
        <v/>
      </c>
      <c r="C17" t="str">
        <f>IFERROR(IF(OR(MonteCarlo!$B$4="C",MonteCarlo!$B$4="c"),_xlfn.NORM.S.DIST((LN(C$1 / MonteCarlo!$B$5) + (MonteCarlo!$B$9 + MonteCarlo!$B$7 ^ 2 / 2) *$A17) / (MonteCarlo!$B$7 * SQRT($A17)),TRUE),_xlfn.NORM.S.DIST((LN(C$1 / MonteCarlo!$B$5) + (MonteCarlo!$B$9 - MonteCarlo!$B$7 ^ 2 / 2) *$A17) / (MonteCarlo!$B$7 * SQRT($A17)),TRUE)-1),"")</f>
        <v/>
      </c>
      <c r="D17" t="str">
        <f>IFERROR(IF(OR(MonteCarlo!$B$4="C",MonteCarlo!$B$4="c"),_xlfn.NORM.S.DIST((LN(D$1 / MonteCarlo!$B$5) + (MonteCarlo!$B$9 + MonteCarlo!$B$7 ^ 2 / 2) *$A17) / (MonteCarlo!$B$7 * SQRT($A17)),TRUE),_xlfn.NORM.S.DIST((LN(D$1 / MonteCarlo!$B$5) + (MonteCarlo!$B$9 - MonteCarlo!$B$7 ^ 2 / 2) *$A17) / (MonteCarlo!$B$7 * SQRT($A17)),TRUE)-1),"")</f>
        <v/>
      </c>
      <c r="E17" t="str">
        <f>IFERROR(IF(OR(MonteCarlo!$B$4="C",MonteCarlo!$B$4="c"),_xlfn.NORM.S.DIST((LN(E$1 / MonteCarlo!$B$5) + (MonteCarlo!$B$9 + MonteCarlo!$B$7 ^ 2 / 2) *$A17) / (MonteCarlo!$B$7 * SQRT($A17)),TRUE),_xlfn.NORM.S.DIST((LN(E$1 / MonteCarlo!$B$5) + (MonteCarlo!$B$9 - MonteCarlo!$B$7 ^ 2 / 2) *$A17) / (MonteCarlo!$B$7 * SQRT($A17)),TRUE)-1),"")</f>
        <v/>
      </c>
      <c r="F17" t="str">
        <f>IFERROR(IF(OR(MonteCarlo!$B$4="C",MonteCarlo!$B$4="c"),_xlfn.NORM.S.DIST((LN(F$1 / MonteCarlo!$B$5) + (MonteCarlo!$B$9 + MonteCarlo!$B$7 ^ 2 / 2) *$A17) / (MonteCarlo!$B$7 * SQRT($A17)),TRUE),_xlfn.NORM.S.DIST((LN(F$1 / MonteCarlo!$B$5) + (MonteCarlo!$B$9 - MonteCarlo!$B$7 ^ 2 / 2) *$A17) / (MonteCarlo!$B$7 * SQRT($A17)),TRUE)-1),"")</f>
        <v/>
      </c>
      <c r="G17" t="str">
        <f>IFERROR(IF(OR(MonteCarlo!$B$4="C",MonteCarlo!$B$4="c"),_xlfn.NORM.S.DIST((LN(G$1 / MonteCarlo!$B$5) + (MonteCarlo!$B$9 + MonteCarlo!$B$7 ^ 2 / 2) *$A17) / (MonteCarlo!$B$7 * SQRT($A17)),TRUE),_xlfn.NORM.S.DIST((LN(G$1 / MonteCarlo!$B$5) + (MonteCarlo!$B$9 - MonteCarlo!$B$7 ^ 2 / 2) *$A17) / (MonteCarlo!$B$7 * SQRT($A17)),TRUE)-1),"")</f>
        <v/>
      </c>
      <c r="H17" t="str">
        <f>IFERROR(IF(OR(MonteCarlo!$B$4="C",MonteCarlo!$B$4="c"),_xlfn.NORM.S.DIST((LN(H$1 / MonteCarlo!$B$5) + (MonteCarlo!$B$9 + MonteCarlo!$B$7 ^ 2 / 2) *$A17) / (MonteCarlo!$B$7 * SQRT($A17)),TRUE),_xlfn.NORM.S.DIST((LN(H$1 / MonteCarlo!$B$5) + (MonteCarlo!$B$9 - MonteCarlo!$B$7 ^ 2 / 2) *$A17) / (MonteCarlo!$B$7 * SQRT($A17)),TRUE)-1),"")</f>
        <v/>
      </c>
      <c r="I17" t="str">
        <f>IFERROR(IF(OR(MonteCarlo!$B$4="C",MonteCarlo!$B$4="c"),_xlfn.NORM.S.DIST((LN(I$1 / MonteCarlo!$B$5) + (MonteCarlo!$B$9 + MonteCarlo!$B$7 ^ 2 / 2) *$A17) / (MonteCarlo!$B$7 * SQRT($A17)),TRUE),_xlfn.NORM.S.DIST((LN(I$1 / MonteCarlo!$B$5) + (MonteCarlo!$B$9 - MonteCarlo!$B$7 ^ 2 / 2) *$A17) / (MonteCarlo!$B$7 * SQRT($A17)),TRUE)-1),"")</f>
        <v/>
      </c>
      <c r="J17" t="str">
        <f>IFERROR(IF(OR(MonteCarlo!$B$4="C",MonteCarlo!$B$4="c"),_xlfn.NORM.S.DIST((LN(J$1 / MonteCarlo!$B$5) + (MonteCarlo!$B$9 + MonteCarlo!$B$7 ^ 2 / 2) *$A17) / (MonteCarlo!$B$7 * SQRT($A17)),TRUE),_xlfn.NORM.S.DIST((LN(J$1 / MonteCarlo!$B$5) + (MonteCarlo!$B$9 - MonteCarlo!$B$7 ^ 2 / 2) *$A17) / (MonteCarlo!$B$7 * SQRT($A17)),TRUE)-1),"")</f>
        <v/>
      </c>
      <c r="K17" t="str">
        <f>IFERROR(IF(OR(MonteCarlo!$B$4="C",MonteCarlo!$B$4="c"),_xlfn.NORM.S.DIST((LN(K$1 / MonteCarlo!$B$5) + (MonteCarlo!$B$9 + MonteCarlo!$B$7 ^ 2 / 2) *$A17) / (MonteCarlo!$B$7 * SQRT($A17)),TRUE),_xlfn.NORM.S.DIST((LN(K$1 / MonteCarlo!$B$5) + (MonteCarlo!$B$9 - MonteCarlo!$B$7 ^ 2 / 2) *$A17) / (MonteCarlo!$B$7 * SQRT($A17)),TRUE)-1),"")</f>
        <v/>
      </c>
      <c r="L17" t="str">
        <f>IFERROR(IF(OR(MonteCarlo!$B$4="C",MonteCarlo!$B$4="c"),_xlfn.NORM.S.DIST((LN(L$1 / MonteCarlo!$B$5) + (MonteCarlo!$B$9 + MonteCarlo!$B$7 ^ 2 / 2) *$A17) / (MonteCarlo!$B$7 * SQRT($A17)),TRUE),_xlfn.NORM.S.DIST((LN(L$1 / MonteCarlo!$B$5) + (MonteCarlo!$B$9 - MonteCarlo!$B$7 ^ 2 / 2) *$A17) / (MonteCarlo!$B$7 * SQRT($A17)),TRUE)-1),"")</f>
        <v/>
      </c>
      <c r="M17" t="str">
        <f>IFERROR(IF(OR(MonteCarlo!$B$4="C",MonteCarlo!$B$4="c"),_xlfn.NORM.S.DIST((LN(M$1 / MonteCarlo!$B$5) + (MonteCarlo!$B$9 + MonteCarlo!$B$7 ^ 2 / 2) *$A17) / (MonteCarlo!$B$7 * SQRT($A17)),TRUE),_xlfn.NORM.S.DIST((LN(M$1 / MonteCarlo!$B$5) + (MonteCarlo!$B$9 - MonteCarlo!$B$7 ^ 2 / 2) *$A17) / (MonteCarlo!$B$7 * SQRT($A17)),TRUE)-1),"")</f>
        <v/>
      </c>
      <c r="N17" t="str">
        <f>IFERROR(IF(OR(MonteCarlo!$B$4="C",MonteCarlo!$B$4="c"),_xlfn.NORM.S.DIST((LN(N$1 / MonteCarlo!$B$5) + (MonteCarlo!$B$9 + MonteCarlo!$B$7 ^ 2 / 2) *$A17) / (MonteCarlo!$B$7 * SQRT($A17)),TRUE),_xlfn.NORM.S.DIST((LN(N$1 / MonteCarlo!$B$5) + (MonteCarlo!$B$9 - MonteCarlo!$B$7 ^ 2 / 2) *$A17) / (MonteCarlo!$B$7 * SQRT($A17)),TRUE)-1),"")</f>
        <v/>
      </c>
      <c r="O17" t="str">
        <f>IFERROR(IF(OR(MonteCarlo!$B$4="C",MonteCarlo!$B$4="c"),_xlfn.NORM.S.DIST((LN(O$1 / MonteCarlo!$B$5) + (MonteCarlo!$B$9 + MonteCarlo!$B$7 ^ 2 / 2) *$A17) / (MonteCarlo!$B$7 * SQRT($A17)),TRUE),_xlfn.NORM.S.DIST((LN(O$1 / MonteCarlo!$B$5) + (MonteCarlo!$B$9 - MonteCarlo!$B$7 ^ 2 / 2) *$A17) / (MonteCarlo!$B$7 * SQRT($A17)),TRUE)-1),"")</f>
        <v/>
      </c>
      <c r="P17" t="str">
        <f>IFERROR(IF(OR(MonteCarlo!$B$4="C",MonteCarlo!$B$4="c"),_xlfn.NORM.S.DIST((LN(P$1 / MonteCarlo!$B$5) + (MonteCarlo!$B$9 + MonteCarlo!$B$7 ^ 2 / 2) *$A17) / (MonteCarlo!$B$7 * SQRT($A17)),TRUE),_xlfn.NORM.S.DIST((LN(P$1 / MonteCarlo!$B$5) + (MonteCarlo!$B$9 - MonteCarlo!$B$7 ^ 2 / 2) *$A17) / (MonteCarlo!$B$7 * SQRT($A17)),TRUE)-1),"")</f>
        <v/>
      </c>
      <c r="Q17" t="str">
        <f>IFERROR(IF(OR(MonteCarlo!$B$4="C",MonteCarlo!$B$4="c"),_xlfn.NORM.S.DIST((LN(Q$1 / MonteCarlo!$B$5) + (MonteCarlo!$B$9 + MonteCarlo!$B$7 ^ 2 / 2) *$A17) / (MonteCarlo!$B$7 * SQRT($A17)),TRUE),_xlfn.NORM.S.DIST((LN(Q$1 / MonteCarlo!$B$5) + (MonteCarlo!$B$9 - MonteCarlo!$B$7 ^ 2 / 2) *$A17) / (MonteCarlo!$B$7 * SQRT($A17)),TRUE)-1),"")</f>
        <v/>
      </c>
      <c r="R17" t="str">
        <f>IFERROR(IF(OR(MonteCarlo!$B$4="C",MonteCarlo!$B$4="c"),_xlfn.NORM.S.DIST((LN(R$1 / MonteCarlo!$B$5) + (MonteCarlo!$B$9 + MonteCarlo!$B$7 ^ 2 / 2) *$A17) / (MonteCarlo!$B$7 * SQRT($A17)),TRUE),_xlfn.NORM.S.DIST((LN(R$1 / MonteCarlo!$B$5) + (MonteCarlo!$B$9 - MonteCarlo!$B$7 ^ 2 / 2) *$A17) / (MonteCarlo!$B$7 * SQRT($A17)),TRUE)-1),"")</f>
        <v/>
      </c>
      <c r="S17" t="str">
        <f>IFERROR(IF(OR(MonteCarlo!$B$4="C",MonteCarlo!$B$4="c"),_xlfn.NORM.S.DIST((LN(S$1 / MonteCarlo!$B$5) + (MonteCarlo!$B$9 + MonteCarlo!$B$7 ^ 2 / 2) *$A17) / (MonteCarlo!$B$7 * SQRT($A17)),TRUE),_xlfn.NORM.S.DIST((LN(S$1 / MonteCarlo!$B$5) + (MonteCarlo!$B$9 - MonteCarlo!$B$7 ^ 2 / 2) *$A17) / (MonteCarlo!$B$7 * SQRT($A17)),TRUE)-1),"")</f>
        <v/>
      </c>
      <c r="T17" t="str">
        <f>IFERROR(IF(OR(MonteCarlo!$B$4="C",MonteCarlo!$B$4="c"),_xlfn.NORM.S.DIST((LN(T$1 / MonteCarlo!$B$5) + (MonteCarlo!$B$9 + MonteCarlo!$B$7 ^ 2 / 2) *$A17) / (MonteCarlo!$B$7 * SQRT($A17)),TRUE),_xlfn.NORM.S.DIST((LN(T$1 / MonteCarlo!$B$5) + (MonteCarlo!$B$9 - MonteCarlo!$B$7 ^ 2 / 2) *$A17) / (MonteCarlo!$B$7 * SQRT($A17)),TRUE)-1),"")</f>
        <v/>
      </c>
      <c r="U17" t="str">
        <f>IFERROR(IF(OR(MonteCarlo!$B$4="C",MonteCarlo!$B$4="c"),_xlfn.NORM.S.DIST((LN(U$1 / MonteCarlo!$B$5) + (MonteCarlo!$B$9 + MonteCarlo!$B$7 ^ 2 / 2) *$A17) / (MonteCarlo!$B$7 * SQRT($A17)),TRUE),_xlfn.NORM.S.DIST((LN(U$1 / MonteCarlo!$B$5) + (MonteCarlo!$B$9 - MonteCarlo!$B$7 ^ 2 / 2) *$A17) / (MonteCarlo!$B$7 * SQRT($A17)),TRUE)-1),"")</f>
        <v/>
      </c>
      <c r="V17" t="str">
        <f>IFERROR(IF(OR(MonteCarlo!$B$4="C",MonteCarlo!$B$4="c"),_xlfn.NORM.S.DIST((LN(V$1 / MonteCarlo!$B$5) + (MonteCarlo!$B$9 + MonteCarlo!$B$7 ^ 2 / 2) *$A17) / (MonteCarlo!$B$7 * SQRT($A17)),TRUE),_xlfn.NORM.S.DIST((LN(V$1 / MonteCarlo!$B$5) + (MonteCarlo!$B$9 - MonteCarlo!$B$7 ^ 2 / 2) *$A17) / (MonteCarlo!$B$7 * SQRT($A17)),TRUE)-1),"")</f>
        <v/>
      </c>
      <c r="W17" t="str">
        <f>IFERROR(IF(OR(MonteCarlo!$B$4="C",MonteCarlo!$B$4="c"),_xlfn.NORM.S.DIST((LN(W$1 / MonteCarlo!$B$5) + (MonteCarlo!$B$9 + MonteCarlo!$B$7 ^ 2 / 2) *$A17) / (MonteCarlo!$B$7 * SQRT($A17)),TRUE),_xlfn.NORM.S.DIST((LN(W$1 / MonteCarlo!$B$5) + (MonteCarlo!$B$9 - MonteCarlo!$B$7 ^ 2 / 2) *$A17) / (MonteCarlo!$B$7 * SQRT($A17)),TRUE)-1),"")</f>
        <v/>
      </c>
      <c r="X17" t="str">
        <f>IFERROR(IF(OR(MonteCarlo!$B$4="C",MonteCarlo!$B$4="c"),_xlfn.NORM.S.DIST((LN(X$1 / MonteCarlo!$B$5) + (MonteCarlo!$B$9 + MonteCarlo!$B$7 ^ 2 / 2) *$A17) / (MonteCarlo!$B$7 * SQRT($A17)),TRUE),_xlfn.NORM.S.DIST((LN(X$1 / MonteCarlo!$B$5) + (MonteCarlo!$B$9 - MonteCarlo!$B$7 ^ 2 / 2) *$A17) / (MonteCarlo!$B$7 * SQRT($A17)),TRUE)-1),"")</f>
        <v/>
      </c>
      <c r="Y17" t="str">
        <f>IFERROR(IF(OR(MonteCarlo!$B$4="C",MonteCarlo!$B$4="c"),_xlfn.NORM.S.DIST((LN(Y$1 / MonteCarlo!$B$5) + (MonteCarlo!$B$9 + MonteCarlo!$B$7 ^ 2 / 2) *$A17) / (MonteCarlo!$B$7 * SQRT($A17)),TRUE),_xlfn.NORM.S.DIST((LN(Y$1 / MonteCarlo!$B$5) + (MonteCarlo!$B$9 - MonteCarlo!$B$7 ^ 2 / 2) *$A17) / (MonteCarlo!$B$7 * SQRT($A17)),TRUE)-1),"")</f>
        <v/>
      </c>
      <c r="Z17" t="str">
        <f>IFERROR(IF(OR(MonteCarlo!$B$4="C",MonteCarlo!$B$4="c"),_xlfn.NORM.S.DIST((LN(Z$1 / MonteCarlo!$B$5) + (MonteCarlo!$B$9 + MonteCarlo!$B$7 ^ 2 / 2) *$A17) / (MonteCarlo!$B$7 * SQRT($A17)),TRUE),_xlfn.NORM.S.DIST((LN(Z$1 / MonteCarlo!$B$5) + (MonteCarlo!$B$9 - MonteCarlo!$B$7 ^ 2 / 2) *$A17) / (MonteCarlo!$B$7 * SQRT($A17)),TRUE)-1),"")</f>
        <v/>
      </c>
      <c r="AA17" t="str">
        <f>IFERROR(IF(OR(MonteCarlo!$B$4="C",MonteCarlo!$B$4="c"),_xlfn.NORM.S.DIST((LN(AA$1 / MonteCarlo!$B$5) + (MonteCarlo!$B$9 + MonteCarlo!$B$7 ^ 2 / 2) *$A17) / (MonteCarlo!$B$7 * SQRT($A17)),TRUE),_xlfn.NORM.S.DIST((LN(AA$1 / MonteCarlo!$B$5) + (MonteCarlo!$B$9 - MonteCarlo!$B$7 ^ 2 / 2) *$A17) / (MonteCarlo!$B$7 * SQRT($A17)),TRUE)-1),"")</f>
        <v/>
      </c>
      <c r="AB17" t="str">
        <f>IFERROR(IF(OR(MonteCarlo!$B$4="C",MonteCarlo!$B$4="c"),_xlfn.NORM.S.DIST((LN(AB$1 / MonteCarlo!$B$5) + (MonteCarlo!$B$9 + MonteCarlo!$B$7 ^ 2 / 2) *$A17) / (MonteCarlo!$B$7 * SQRT($A17)),TRUE),_xlfn.NORM.S.DIST((LN(AB$1 / MonteCarlo!$B$5) + (MonteCarlo!$B$9 - MonteCarlo!$B$7 ^ 2 / 2) *$A17) / (MonteCarlo!$B$7 * SQRT($A17)),TRUE)-1),"")</f>
        <v/>
      </c>
      <c r="AC17" t="str">
        <f>IFERROR(IF(OR(MonteCarlo!$B$4="C",MonteCarlo!$B$4="c"),_xlfn.NORM.S.DIST((LN(AC$1 / MonteCarlo!$B$5) + (MonteCarlo!$B$9 + MonteCarlo!$B$7 ^ 2 / 2) *$A17) / (MonteCarlo!$B$7 * SQRT($A17)),TRUE),_xlfn.NORM.S.DIST((LN(AC$1 / MonteCarlo!$B$5) + (MonteCarlo!$B$9 - MonteCarlo!$B$7 ^ 2 / 2) *$A17) / (MonteCarlo!$B$7 * SQRT($A17)),TRUE)-1),"")</f>
        <v/>
      </c>
      <c r="AD17" t="str">
        <f>IFERROR(IF(OR(MonteCarlo!$B$4="C",MonteCarlo!$B$4="c"),_xlfn.NORM.S.DIST((LN(AD$1 / MonteCarlo!$B$5) + (MonteCarlo!$B$9 + MonteCarlo!$B$7 ^ 2 / 2) *$A17) / (MonteCarlo!$B$7 * SQRT($A17)),TRUE),_xlfn.NORM.S.DIST((LN(AD$1 / MonteCarlo!$B$5) + (MonteCarlo!$B$9 - MonteCarlo!$B$7 ^ 2 / 2) *$A17) / (MonteCarlo!$B$7 * SQRT($A17)),TRUE)-1),"")</f>
        <v/>
      </c>
      <c r="AE17" t="str">
        <f>IFERROR(IF(OR(MonteCarlo!$B$4="C",MonteCarlo!$B$4="c"),_xlfn.NORM.S.DIST((LN(AE$1 / MonteCarlo!$B$5) + (MonteCarlo!$B$9 + MonteCarlo!$B$7 ^ 2 / 2) *$A17) / (MonteCarlo!$B$7 * SQRT($A17)),TRUE),_xlfn.NORM.S.DIST((LN(AE$1 / MonteCarlo!$B$5) + (MonteCarlo!$B$9 - MonteCarlo!$B$7 ^ 2 / 2) *$A17) / (MonteCarlo!$B$7 * SQRT($A17)),TRUE)-1),"")</f>
        <v/>
      </c>
      <c r="AF17" t="str">
        <f>IFERROR(IF(OR(MonteCarlo!$B$4="C",MonteCarlo!$B$4="c"),_xlfn.NORM.S.DIST((LN(AF$1 / MonteCarlo!$B$5) + (MonteCarlo!$B$9 + MonteCarlo!$B$7 ^ 2 / 2) *$A17) / (MonteCarlo!$B$7 * SQRT($A17)),TRUE),_xlfn.NORM.S.DIST((LN(AF$1 / MonteCarlo!$B$5) + (MonteCarlo!$B$9 - MonteCarlo!$B$7 ^ 2 / 2) *$A17) / (MonteCarlo!$B$7 * SQRT($A17)),TRUE)-1),"")</f>
        <v/>
      </c>
    </row>
    <row r="18" spans="2:32" x14ac:dyDescent="0.25">
      <c r="B18" t="str">
        <f>IFERROR(IF(OR(MonteCarlo!$B$4="C",MonteCarlo!$B$4="c"),_xlfn.NORM.S.DIST((LN(B$1 / MonteCarlo!$B$5) + (MonteCarlo!$B$9 + MonteCarlo!$B$7 ^ 2 / 2) *$A18) / (MonteCarlo!$B$7 * SQRT($A18)),TRUE),_xlfn.NORM.S.DIST((LN(B$1 / MonteCarlo!$B$5) + (MonteCarlo!$B$9 - MonteCarlo!$B$7 ^ 2 / 2) *$A18) / (MonteCarlo!$B$7 * SQRT($A18)),TRUE)-1),"")</f>
        <v/>
      </c>
      <c r="C18" t="str">
        <f>IFERROR(IF(OR(MonteCarlo!$B$4="C",MonteCarlo!$B$4="c"),_xlfn.NORM.S.DIST((LN(C$1 / MonteCarlo!$B$5) + (MonteCarlo!$B$9 + MonteCarlo!$B$7 ^ 2 / 2) *$A18) / (MonteCarlo!$B$7 * SQRT($A18)),TRUE),_xlfn.NORM.S.DIST((LN(C$1 / MonteCarlo!$B$5) + (MonteCarlo!$B$9 - MonteCarlo!$B$7 ^ 2 / 2) *$A18) / (MonteCarlo!$B$7 * SQRT($A18)),TRUE)-1),"")</f>
        <v/>
      </c>
      <c r="D18" t="str">
        <f>IFERROR(IF(OR(MonteCarlo!$B$4="C",MonteCarlo!$B$4="c"),_xlfn.NORM.S.DIST((LN(D$1 / MonteCarlo!$B$5) + (MonteCarlo!$B$9 + MonteCarlo!$B$7 ^ 2 / 2) *$A18) / (MonteCarlo!$B$7 * SQRT($A18)),TRUE),_xlfn.NORM.S.DIST((LN(D$1 / MonteCarlo!$B$5) + (MonteCarlo!$B$9 - MonteCarlo!$B$7 ^ 2 / 2) *$A18) / (MonteCarlo!$B$7 * SQRT($A18)),TRUE)-1),"")</f>
        <v/>
      </c>
      <c r="E18" t="str">
        <f>IFERROR(IF(OR(MonteCarlo!$B$4="C",MonteCarlo!$B$4="c"),_xlfn.NORM.S.DIST((LN(E$1 / MonteCarlo!$B$5) + (MonteCarlo!$B$9 + MonteCarlo!$B$7 ^ 2 / 2) *$A18) / (MonteCarlo!$B$7 * SQRT($A18)),TRUE),_xlfn.NORM.S.DIST((LN(E$1 / MonteCarlo!$B$5) + (MonteCarlo!$B$9 - MonteCarlo!$B$7 ^ 2 / 2) *$A18) / (MonteCarlo!$B$7 * SQRT($A18)),TRUE)-1),"")</f>
        <v/>
      </c>
      <c r="F18" t="str">
        <f>IFERROR(IF(OR(MonteCarlo!$B$4="C",MonteCarlo!$B$4="c"),_xlfn.NORM.S.DIST((LN(F$1 / MonteCarlo!$B$5) + (MonteCarlo!$B$9 + MonteCarlo!$B$7 ^ 2 / 2) *$A18) / (MonteCarlo!$B$7 * SQRT($A18)),TRUE),_xlfn.NORM.S.DIST((LN(F$1 / MonteCarlo!$B$5) + (MonteCarlo!$B$9 - MonteCarlo!$B$7 ^ 2 / 2) *$A18) / (MonteCarlo!$B$7 * SQRT($A18)),TRUE)-1),"")</f>
        <v/>
      </c>
      <c r="G18" t="str">
        <f>IFERROR(IF(OR(MonteCarlo!$B$4="C",MonteCarlo!$B$4="c"),_xlfn.NORM.S.DIST((LN(G$1 / MonteCarlo!$B$5) + (MonteCarlo!$B$9 + MonteCarlo!$B$7 ^ 2 / 2) *$A18) / (MonteCarlo!$B$7 * SQRT($A18)),TRUE),_xlfn.NORM.S.DIST((LN(G$1 / MonteCarlo!$B$5) + (MonteCarlo!$B$9 - MonteCarlo!$B$7 ^ 2 / 2) *$A18) / (MonteCarlo!$B$7 * SQRT($A18)),TRUE)-1),"")</f>
        <v/>
      </c>
      <c r="H18" t="str">
        <f>IFERROR(IF(OR(MonteCarlo!$B$4="C",MonteCarlo!$B$4="c"),_xlfn.NORM.S.DIST((LN(H$1 / MonteCarlo!$B$5) + (MonteCarlo!$B$9 + MonteCarlo!$B$7 ^ 2 / 2) *$A18) / (MonteCarlo!$B$7 * SQRT($A18)),TRUE),_xlfn.NORM.S.DIST((LN(H$1 / MonteCarlo!$B$5) + (MonteCarlo!$B$9 - MonteCarlo!$B$7 ^ 2 / 2) *$A18) / (MonteCarlo!$B$7 * SQRT($A18)),TRUE)-1),"")</f>
        <v/>
      </c>
      <c r="I18" t="str">
        <f>IFERROR(IF(OR(MonteCarlo!$B$4="C",MonteCarlo!$B$4="c"),_xlfn.NORM.S.DIST((LN(I$1 / MonteCarlo!$B$5) + (MonteCarlo!$B$9 + MonteCarlo!$B$7 ^ 2 / 2) *$A18) / (MonteCarlo!$B$7 * SQRT($A18)),TRUE),_xlfn.NORM.S.DIST((LN(I$1 / MonteCarlo!$B$5) + (MonteCarlo!$B$9 - MonteCarlo!$B$7 ^ 2 / 2) *$A18) / (MonteCarlo!$B$7 * SQRT($A18)),TRUE)-1),"")</f>
        <v/>
      </c>
      <c r="J18" t="str">
        <f>IFERROR(IF(OR(MonteCarlo!$B$4="C",MonteCarlo!$B$4="c"),_xlfn.NORM.S.DIST((LN(J$1 / MonteCarlo!$B$5) + (MonteCarlo!$B$9 + MonteCarlo!$B$7 ^ 2 / 2) *$A18) / (MonteCarlo!$B$7 * SQRT($A18)),TRUE),_xlfn.NORM.S.DIST((LN(J$1 / MonteCarlo!$B$5) + (MonteCarlo!$B$9 - MonteCarlo!$B$7 ^ 2 / 2) *$A18) / (MonteCarlo!$B$7 * SQRT($A18)),TRUE)-1),"")</f>
        <v/>
      </c>
      <c r="K18" t="str">
        <f>IFERROR(IF(OR(MonteCarlo!$B$4="C",MonteCarlo!$B$4="c"),_xlfn.NORM.S.DIST((LN(K$1 / MonteCarlo!$B$5) + (MonteCarlo!$B$9 + MonteCarlo!$B$7 ^ 2 / 2) *$A18) / (MonteCarlo!$B$7 * SQRT($A18)),TRUE),_xlfn.NORM.S.DIST((LN(K$1 / MonteCarlo!$B$5) + (MonteCarlo!$B$9 - MonteCarlo!$B$7 ^ 2 / 2) *$A18) / (MonteCarlo!$B$7 * SQRT($A18)),TRUE)-1),"")</f>
        <v/>
      </c>
      <c r="L18" t="str">
        <f>IFERROR(IF(OR(MonteCarlo!$B$4="C",MonteCarlo!$B$4="c"),_xlfn.NORM.S.DIST((LN(L$1 / MonteCarlo!$B$5) + (MonteCarlo!$B$9 + MonteCarlo!$B$7 ^ 2 / 2) *$A18) / (MonteCarlo!$B$7 * SQRT($A18)),TRUE),_xlfn.NORM.S.DIST((LN(L$1 / MonteCarlo!$B$5) + (MonteCarlo!$B$9 - MonteCarlo!$B$7 ^ 2 / 2) *$A18) / (MonteCarlo!$B$7 * SQRT($A18)),TRUE)-1),"")</f>
        <v/>
      </c>
      <c r="M18" t="str">
        <f>IFERROR(IF(OR(MonteCarlo!$B$4="C",MonteCarlo!$B$4="c"),_xlfn.NORM.S.DIST((LN(M$1 / MonteCarlo!$B$5) + (MonteCarlo!$B$9 + MonteCarlo!$B$7 ^ 2 / 2) *$A18) / (MonteCarlo!$B$7 * SQRT($A18)),TRUE),_xlfn.NORM.S.DIST((LN(M$1 / MonteCarlo!$B$5) + (MonteCarlo!$B$9 - MonteCarlo!$B$7 ^ 2 / 2) *$A18) / (MonteCarlo!$B$7 * SQRT($A18)),TRUE)-1),"")</f>
        <v/>
      </c>
      <c r="N18" t="str">
        <f>IFERROR(IF(OR(MonteCarlo!$B$4="C",MonteCarlo!$B$4="c"),_xlfn.NORM.S.DIST((LN(N$1 / MonteCarlo!$B$5) + (MonteCarlo!$B$9 + MonteCarlo!$B$7 ^ 2 / 2) *$A18) / (MonteCarlo!$B$7 * SQRT($A18)),TRUE),_xlfn.NORM.S.DIST((LN(N$1 / MonteCarlo!$B$5) + (MonteCarlo!$B$9 - MonteCarlo!$B$7 ^ 2 / 2) *$A18) / (MonteCarlo!$B$7 * SQRT($A18)),TRUE)-1),"")</f>
        <v/>
      </c>
      <c r="O18" t="str">
        <f>IFERROR(IF(OR(MonteCarlo!$B$4="C",MonteCarlo!$B$4="c"),_xlfn.NORM.S.DIST((LN(O$1 / MonteCarlo!$B$5) + (MonteCarlo!$B$9 + MonteCarlo!$B$7 ^ 2 / 2) *$A18) / (MonteCarlo!$B$7 * SQRT($A18)),TRUE),_xlfn.NORM.S.DIST((LN(O$1 / MonteCarlo!$B$5) + (MonteCarlo!$B$9 - MonteCarlo!$B$7 ^ 2 / 2) *$A18) / (MonteCarlo!$B$7 * SQRT($A18)),TRUE)-1),"")</f>
        <v/>
      </c>
      <c r="P18" t="str">
        <f>IFERROR(IF(OR(MonteCarlo!$B$4="C",MonteCarlo!$B$4="c"),_xlfn.NORM.S.DIST((LN(P$1 / MonteCarlo!$B$5) + (MonteCarlo!$B$9 + MonteCarlo!$B$7 ^ 2 / 2) *$A18) / (MonteCarlo!$B$7 * SQRT($A18)),TRUE),_xlfn.NORM.S.DIST((LN(P$1 / MonteCarlo!$B$5) + (MonteCarlo!$B$9 - MonteCarlo!$B$7 ^ 2 / 2) *$A18) / (MonteCarlo!$B$7 * SQRT($A18)),TRUE)-1),"")</f>
        <v/>
      </c>
      <c r="Q18" t="str">
        <f>IFERROR(IF(OR(MonteCarlo!$B$4="C",MonteCarlo!$B$4="c"),_xlfn.NORM.S.DIST((LN(Q$1 / MonteCarlo!$B$5) + (MonteCarlo!$B$9 + MonteCarlo!$B$7 ^ 2 / 2) *$A18) / (MonteCarlo!$B$7 * SQRT($A18)),TRUE),_xlfn.NORM.S.DIST((LN(Q$1 / MonteCarlo!$B$5) + (MonteCarlo!$B$9 - MonteCarlo!$B$7 ^ 2 / 2) *$A18) / (MonteCarlo!$B$7 * SQRT($A18)),TRUE)-1),"")</f>
        <v/>
      </c>
      <c r="R18" t="str">
        <f>IFERROR(IF(OR(MonteCarlo!$B$4="C",MonteCarlo!$B$4="c"),_xlfn.NORM.S.DIST((LN(R$1 / MonteCarlo!$B$5) + (MonteCarlo!$B$9 + MonteCarlo!$B$7 ^ 2 / 2) *$A18) / (MonteCarlo!$B$7 * SQRT($A18)),TRUE),_xlfn.NORM.S.DIST((LN(R$1 / MonteCarlo!$B$5) + (MonteCarlo!$B$9 - MonteCarlo!$B$7 ^ 2 / 2) *$A18) / (MonteCarlo!$B$7 * SQRT($A18)),TRUE)-1),"")</f>
        <v/>
      </c>
      <c r="S18" t="str">
        <f>IFERROR(IF(OR(MonteCarlo!$B$4="C",MonteCarlo!$B$4="c"),_xlfn.NORM.S.DIST((LN(S$1 / MonteCarlo!$B$5) + (MonteCarlo!$B$9 + MonteCarlo!$B$7 ^ 2 / 2) *$A18) / (MonteCarlo!$B$7 * SQRT($A18)),TRUE),_xlfn.NORM.S.DIST((LN(S$1 / MonteCarlo!$B$5) + (MonteCarlo!$B$9 - MonteCarlo!$B$7 ^ 2 / 2) *$A18) / (MonteCarlo!$B$7 * SQRT($A18)),TRUE)-1),"")</f>
        <v/>
      </c>
      <c r="T18" t="str">
        <f>IFERROR(IF(OR(MonteCarlo!$B$4="C",MonteCarlo!$B$4="c"),_xlfn.NORM.S.DIST((LN(T$1 / MonteCarlo!$B$5) + (MonteCarlo!$B$9 + MonteCarlo!$B$7 ^ 2 / 2) *$A18) / (MonteCarlo!$B$7 * SQRT($A18)),TRUE),_xlfn.NORM.S.DIST((LN(T$1 / MonteCarlo!$B$5) + (MonteCarlo!$B$9 - MonteCarlo!$B$7 ^ 2 / 2) *$A18) / (MonteCarlo!$B$7 * SQRT($A18)),TRUE)-1),"")</f>
        <v/>
      </c>
      <c r="U18" t="str">
        <f>IFERROR(IF(OR(MonteCarlo!$B$4="C",MonteCarlo!$B$4="c"),_xlfn.NORM.S.DIST((LN(U$1 / MonteCarlo!$B$5) + (MonteCarlo!$B$9 + MonteCarlo!$B$7 ^ 2 / 2) *$A18) / (MonteCarlo!$B$7 * SQRT($A18)),TRUE),_xlfn.NORM.S.DIST((LN(U$1 / MonteCarlo!$B$5) + (MonteCarlo!$B$9 - MonteCarlo!$B$7 ^ 2 / 2) *$A18) / (MonteCarlo!$B$7 * SQRT($A18)),TRUE)-1),"")</f>
        <v/>
      </c>
      <c r="V18" t="str">
        <f>IFERROR(IF(OR(MonteCarlo!$B$4="C",MonteCarlo!$B$4="c"),_xlfn.NORM.S.DIST((LN(V$1 / MonteCarlo!$B$5) + (MonteCarlo!$B$9 + MonteCarlo!$B$7 ^ 2 / 2) *$A18) / (MonteCarlo!$B$7 * SQRT($A18)),TRUE),_xlfn.NORM.S.DIST((LN(V$1 / MonteCarlo!$B$5) + (MonteCarlo!$B$9 - MonteCarlo!$B$7 ^ 2 / 2) *$A18) / (MonteCarlo!$B$7 * SQRT($A18)),TRUE)-1),"")</f>
        <v/>
      </c>
      <c r="W18" t="str">
        <f>IFERROR(IF(OR(MonteCarlo!$B$4="C",MonteCarlo!$B$4="c"),_xlfn.NORM.S.DIST((LN(W$1 / MonteCarlo!$B$5) + (MonteCarlo!$B$9 + MonteCarlo!$B$7 ^ 2 / 2) *$A18) / (MonteCarlo!$B$7 * SQRT($A18)),TRUE),_xlfn.NORM.S.DIST((LN(W$1 / MonteCarlo!$B$5) + (MonteCarlo!$B$9 - MonteCarlo!$B$7 ^ 2 / 2) *$A18) / (MonteCarlo!$B$7 * SQRT($A18)),TRUE)-1),"")</f>
        <v/>
      </c>
      <c r="X18" t="str">
        <f>IFERROR(IF(OR(MonteCarlo!$B$4="C",MonteCarlo!$B$4="c"),_xlfn.NORM.S.DIST((LN(X$1 / MonteCarlo!$B$5) + (MonteCarlo!$B$9 + MonteCarlo!$B$7 ^ 2 / 2) *$A18) / (MonteCarlo!$B$7 * SQRT($A18)),TRUE),_xlfn.NORM.S.DIST((LN(X$1 / MonteCarlo!$B$5) + (MonteCarlo!$B$9 - MonteCarlo!$B$7 ^ 2 / 2) *$A18) / (MonteCarlo!$B$7 * SQRT($A18)),TRUE)-1),"")</f>
        <v/>
      </c>
      <c r="Y18" t="str">
        <f>IFERROR(IF(OR(MonteCarlo!$B$4="C",MonteCarlo!$B$4="c"),_xlfn.NORM.S.DIST((LN(Y$1 / MonteCarlo!$B$5) + (MonteCarlo!$B$9 + MonteCarlo!$B$7 ^ 2 / 2) *$A18) / (MonteCarlo!$B$7 * SQRT($A18)),TRUE),_xlfn.NORM.S.DIST((LN(Y$1 / MonteCarlo!$B$5) + (MonteCarlo!$B$9 - MonteCarlo!$B$7 ^ 2 / 2) *$A18) / (MonteCarlo!$B$7 * SQRT($A18)),TRUE)-1),"")</f>
        <v/>
      </c>
      <c r="Z18" t="str">
        <f>IFERROR(IF(OR(MonteCarlo!$B$4="C",MonteCarlo!$B$4="c"),_xlfn.NORM.S.DIST((LN(Z$1 / MonteCarlo!$B$5) + (MonteCarlo!$B$9 + MonteCarlo!$B$7 ^ 2 / 2) *$A18) / (MonteCarlo!$B$7 * SQRT($A18)),TRUE),_xlfn.NORM.S.DIST((LN(Z$1 / MonteCarlo!$B$5) + (MonteCarlo!$B$9 - MonteCarlo!$B$7 ^ 2 / 2) *$A18) / (MonteCarlo!$B$7 * SQRT($A18)),TRUE)-1),"")</f>
        <v/>
      </c>
      <c r="AA18" t="str">
        <f>IFERROR(IF(OR(MonteCarlo!$B$4="C",MonteCarlo!$B$4="c"),_xlfn.NORM.S.DIST((LN(AA$1 / MonteCarlo!$B$5) + (MonteCarlo!$B$9 + MonteCarlo!$B$7 ^ 2 / 2) *$A18) / (MonteCarlo!$B$7 * SQRT($A18)),TRUE),_xlfn.NORM.S.DIST((LN(AA$1 / MonteCarlo!$B$5) + (MonteCarlo!$B$9 - MonteCarlo!$B$7 ^ 2 / 2) *$A18) / (MonteCarlo!$B$7 * SQRT($A18)),TRUE)-1),"")</f>
        <v/>
      </c>
      <c r="AB18" t="str">
        <f>IFERROR(IF(OR(MonteCarlo!$B$4="C",MonteCarlo!$B$4="c"),_xlfn.NORM.S.DIST((LN(AB$1 / MonteCarlo!$B$5) + (MonteCarlo!$B$9 + MonteCarlo!$B$7 ^ 2 / 2) *$A18) / (MonteCarlo!$B$7 * SQRT($A18)),TRUE),_xlfn.NORM.S.DIST((LN(AB$1 / MonteCarlo!$B$5) + (MonteCarlo!$B$9 - MonteCarlo!$B$7 ^ 2 / 2) *$A18) / (MonteCarlo!$B$7 * SQRT($A18)),TRUE)-1),"")</f>
        <v/>
      </c>
      <c r="AC18" t="str">
        <f>IFERROR(IF(OR(MonteCarlo!$B$4="C",MonteCarlo!$B$4="c"),_xlfn.NORM.S.DIST((LN(AC$1 / MonteCarlo!$B$5) + (MonteCarlo!$B$9 + MonteCarlo!$B$7 ^ 2 / 2) *$A18) / (MonteCarlo!$B$7 * SQRT($A18)),TRUE),_xlfn.NORM.S.DIST((LN(AC$1 / MonteCarlo!$B$5) + (MonteCarlo!$B$9 - MonteCarlo!$B$7 ^ 2 / 2) *$A18) / (MonteCarlo!$B$7 * SQRT($A18)),TRUE)-1),"")</f>
        <v/>
      </c>
      <c r="AD18" t="str">
        <f>IFERROR(IF(OR(MonteCarlo!$B$4="C",MonteCarlo!$B$4="c"),_xlfn.NORM.S.DIST((LN(AD$1 / MonteCarlo!$B$5) + (MonteCarlo!$B$9 + MonteCarlo!$B$7 ^ 2 / 2) *$A18) / (MonteCarlo!$B$7 * SQRT($A18)),TRUE),_xlfn.NORM.S.DIST((LN(AD$1 / MonteCarlo!$B$5) + (MonteCarlo!$B$9 - MonteCarlo!$B$7 ^ 2 / 2) *$A18) / (MonteCarlo!$B$7 * SQRT($A18)),TRUE)-1),"")</f>
        <v/>
      </c>
      <c r="AE18" t="str">
        <f>IFERROR(IF(OR(MonteCarlo!$B$4="C",MonteCarlo!$B$4="c"),_xlfn.NORM.S.DIST((LN(AE$1 / MonteCarlo!$B$5) + (MonteCarlo!$B$9 + MonteCarlo!$B$7 ^ 2 / 2) *$A18) / (MonteCarlo!$B$7 * SQRT($A18)),TRUE),_xlfn.NORM.S.DIST((LN(AE$1 / MonteCarlo!$B$5) + (MonteCarlo!$B$9 - MonteCarlo!$B$7 ^ 2 / 2) *$A18) / (MonteCarlo!$B$7 * SQRT($A18)),TRUE)-1),"")</f>
        <v/>
      </c>
      <c r="AF18" t="str">
        <f>IFERROR(IF(OR(MonteCarlo!$B$4="C",MonteCarlo!$B$4="c"),_xlfn.NORM.S.DIST((LN(AF$1 / MonteCarlo!$B$5) + (MonteCarlo!$B$9 + MonteCarlo!$B$7 ^ 2 / 2) *$A18) / (MonteCarlo!$B$7 * SQRT($A18)),TRUE),_xlfn.NORM.S.DIST((LN(AF$1 / MonteCarlo!$B$5) + (MonteCarlo!$B$9 - MonteCarlo!$B$7 ^ 2 / 2) *$A18) / (MonteCarlo!$B$7 * SQRT($A18)),TRUE)-1),"")</f>
        <v/>
      </c>
    </row>
    <row r="19" spans="2:32" x14ac:dyDescent="0.25">
      <c r="B19" t="str">
        <f>IFERROR(IF(OR(MonteCarlo!$B$4="C",MonteCarlo!$B$4="c"),_xlfn.NORM.S.DIST((LN(B$1 / MonteCarlo!$B$5) + (MonteCarlo!$B$9 + MonteCarlo!$B$7 ^ 2 / 2) *$A19) / (MonteCarlo!$B$7 * SQRT($A19)),TRUE),_xlfn.NORM.S.DIST((LN(B$1 / MonteCarlo!$B$5) + (MonteCarlo!$B$9 - MonteCarlo!$B$7 ^ 2 / 2) *$A19) / (MonteCarlo!$B$7 * SQRT($A19)),TRUE)-1),"")</f>
        <v/>
      </c>
      <c r="C19" t="str">
        <f>IFERROR(IF(OR(MonteCarlo!$B$4="C",MonteCarlo!$B$4="c"),_xlfn.NORM.S.DIST((LN(C$1 / MonteCarlo!$B$5) + (MonteCarlo!$B$9 + MonteCarlo!$B$7 ^ 2 / 2) *$A19) / (MonteCarlo!$B$7 * SQRT($A19)),TRUE),_xlfn.NORM.S.DIST((LN(C$1 / MonteCarlo!$B$5) + (MonteCarlo!$B$9 - MonteCarlo!$B$7 ^ 2 / 2) *$A19) / (MonteCarlo!$B$7 * SQRT($A19)),TRUE)-1),"")</f>
        <v/>
      </c>
      <c r="D19" t="str">
        <f>IFERROR(IF(OR(MonteCarlo!$B$4="C",MonteCarlo!$B$4="c"),_xlfn.NORM.S.DIST((LN(D$1 / MonteCarlo!$B$5) + (MonteCarlo!$B$9 + MonteCarlo!$B$7 ^ 2 / 2) *$A19) / (MonteCarlo!$B$7 * SQRT($A19)),TRUE),_xlfn.NORM.S.DIST((LN(D$1 / MonteCarlo!$B$5) + (MonteCarlo!$B$9 - MonteCarlo!$B$7 ^ 2 / 2) *$A19) / (MonteCarlo!$B$7 * SQRT($A19)),TRUE)-1),"")</f>
        <v/>
      </c>
      <c r="E19" t="str">
        <f>IFERROR(IF(OR(MonteCarlo!$B$4="C",MonteCarlo!$B$4="c"),_xlfn.NORM.S.DIST((LN(E$1 / MonteCarlo!$B$5) + (MonteCarlo!$B$9 + MonteCarlo!$B$7 ^ 2 / 2) *$A19) / (MonteCarlo!$B$7 * SQRT($A19)),TRUE),_xlfn.NORM.S.DIST((LN(E$1 / MonteCarlo!$B$5) + (MonteCarlo!$B$9 - MonteCarlo!$B$7 ^ 2 / 2) *$A19) / (MonteCarlo!$B$7 * SQRT($A19)),TRUE)-1),"")</f>
        <v/>
      </c>
      <c r="F19" t="str">
        <f>IFERROR(IF(OR(MonteCarlo!$B$4="C",MonteCarlo!$B$4="c"),_xlfn.NORM.S.DIST((LN(F$1 / MonteCarlo!$B$5) + (MonteCarlo!$B$9 + MonteCarlo!$B$7 ^ 2 / 2) *$A19) / (MonteCarlo!$B$7 * SQRT($A19)),TRUE),_xlfn.NORM.S.DIST((LN(F$1 / MonteCarlo!$B$5) + (MonteCarlo!$B$9 - MonteCarlo!$B$7 ^ 2 / 2) *$A19) / (MonteCarlo!$B$7 * SQRT($A19)),TRUE)-1),"")</f>
        <v/>
      </c>
      <c r="G19" t="str">
        <f>IFERROR(IF(OR(MonteCarlo!$B$4="C",MonteCarlo!$B$4="c"),_xlfn.NORM.S.DIST((LN(G$1 / MonteCarlo!$B$5) + (MonteCarlo!$B$9 + MonteCarlo!$B$7 ^ 2 / 2) *$A19) / (MonteCarlo!$B$7 * SQRT($A19)),TRUE),_xlfn.NORM.S.DIST((LN(G$1 / MonteCarlo!$B$5) + (MonteCarlo!$B$9 - MonteCarlo!$B$7 ^ 2 / 2) *$A19) / (MonteCarlo!$B$7 * SQRT($A19)),TRUE)-1),"")</f>
        <v/>
      </c>
      <c r="H19" t="str">
        <f>IFERROR(IF(OR(MonteCarlo!$B$4="C",MonteCarlo!$B$4="c"),_xlfn.NORM.S.DIST((LN(H$1 / MonteCarlo!$B$5) + (MonteCarlo!$B$9 + MonteCarlo!$B$7 ^ 2 / 2) *$A19) / (MonteCarlo!$B$7 * SQRT($A19)),TRUE),_xlfn.NORM.S.DIST((LN(H$1 / MonteCarlo!$B$5) + (MonteCarlo!$B$9 - MonteCarlo!$B$7 ^ 2 / 2) *$A19) / (MonteCarlo!$B$7 * SQRT($A19)),TRUE)-1),"")</f>
        <v/>
      </c>
      <c r="I19" t="str">
        <f>IFERROR(IF(OR(MonteCarlo!$B$4="C",MonteCarlo!$B$4="c"),_xlfn.NORM.S.DIST((LN(I$1 / MonteCarlo!$B$5) + (MonteCarlo!$B$9 + MonteCarlo!$B$7 ^ 2 / 2) *$A19) / (MonteCarlo!$B$7 * SQRT($A19)),TRUE),_xlfn.NORM.S.DIST((LN(I$1 / MonteCarlo!$B$5) + (MonteCarlo!$B$9 - MonteCarlo!$B$7 ^ 2 / 2) *$A19) / (MonteCarlo!$B$7 * SQRT($A19)),TRUE)-1),"")</f>
        <v/>
      </c>
      <c r="J19" t="str">
        <f>IFERROR(IF(OR(MonteCarlo!$B$4="C",MonteCarlo!$B$4="c"),_xlfn.NORM.S.DIST((LN(J$1 / MonteCarlo!$B$5) + (MonteCarlo!$B$9 + MonteCarlo!$B$7 ^ 2 / 2) *$A19) / (MonteCarlo!$B$7 * SQRT($A19)),TRUE),_xlfn.NORM.S.DIST((LN(J$1 / MonteCarlo!$B$5) + (MonteCarlo!$B$9 - MonteCarlo!$B$7 ^ 2 / 2) *$A19) / (MonteCarlo!$B$7 * SQRT($A19)),TRUE)-1),"")</f>
        <v/>
      </c>
      <c r="K19" t="str">
        <f>IFERROR(IF(OR(MonteCarlo!$B$4="C",MonteCarlo!$B$4="c"),_xlfn.NORM.S.DIST((LN(K$1 / MonteCarlo!$B$5) + (MonteCarlo!$B$9 + MonteCarlo!$B$7 ^ 2 / 2) *$A19) / (MonteCarlo!$B$7 * SQRT($A19)),TRUE),_xlfn.NORM.S.DIST((LN(K$1 / MonteCarlo!$B$5) + (MonteCarlo!$B$9 - MonteCarlo!$B$7 ^ 2 / 2) *$A19) / (MonteCarlo!$B$7 * SQRT($A19)),TRUE)-1),"")</f>
        <v/>
      </c>
      <c r="L19" t="str">
        <f>IFERROR(IF(OR(MonteCarlo!$B$4="C",MonteCarlo!$B$4="c"),_xlfn.NORM.S.DIST((LN(L$1 / MonteCarlo!$B$5) + (MonteCarlo!$B$9 + MonteCarlo!$B$7 ^ 2 / 2) *$A19) / (MonteCarlo!$B$7 * SQRT($A19)),TRUE),_xlfn.NORM.S.DIST((LN(L$1 / MonteCarlo!$B$5) + (MonteCarlo!$B$9 - MonteCarlo!$B$7 ^ 2 / 2) *$A19) / (MonteCarlo!$B$7 * SQRT($A19)),TRUE)-1),"")</f>
        <v/>
      </c>
      <c r="M19" t="str">
        <f>IFERROR(IF(OR(MonteCarlo!$B$4="C",MonteCarlo!$B$4="c"),_xlfn.NORM.S.DIST((LN(M$1 / MonteCarlo!$B$5) + (MonteCarlo!$B$9 + MonteCarlo!$B$7 ^ 2 / 2) *$A19) / (MonteCarlo!$B$7 * SQRT($A19)),TRUE),_xlfn.NORM.S.DIST((LN(M$1 / MonteCarlo!$B$5) + (MonteCarlo!$B$9 - MonteCarlo!$B$7 ^ 2 / 2) *$A19) / (MonteCarlo!$B$7 * SQRT($A19)),TRUE)-1),"")</f>
        <v/>
      </c>
      <c r="N19" t="str">
        <f>IFERROR(IF(OR(MonteCarlo!$B$4="C",MonteCarlo!$B$4="c"),_xlfn.NORM.S.DIST((LN(N$1 / MonteCarlo!$B$5) + (MonteCarlo!$B$9 + MonteCarlo!$B$7 ^ 2 / 2) *$A19) / (MonteCarlo!$B$7 * SQRT($A19)),TRUE),_xlfn.NORM.S.DIST((LN(N$1 / MonteCarlo!$B$5) + (MonteCarlo!$B$9 - MonteCarlo!$B$7 ^ 2 / 2) *$A19) / (MonteCarlo!$B$7 * SQRT($A19)),TRUE)-1),"")</f>
        <v/>
      </c>
      <c r="O19" t="str">
        <f>IFERROR(IF(OR(MonteCarlo!$B$4="C",MonteCarlo!$B$4="c"),_xlfn.NORM.S.DIST((LN(O$1 / MonteCarlo!$B$5) + (MonteCarlo!$B$9 + MonteCarlo!$B$7 ^ 2 / 2) *$A19) / (MonteCarlo!$B$7 * SQRT($A19)),TRUE),_xlfn.NORM.S.DIST((LN(O$1 / MonteCarlo!$B$5) + (MonteCarlo!$B$9 - MonteCarlo!$B$7 ^ 2 / 2) *$A19) / (MonteCarlo!$B$7 * SQRT($A19)),TRUE)-1),"")</f>
        <v/>
      </c>
      <c r="P19" t="str">
        <f>IFERROR(IF(OR(MonteCarlo!$B$4="C",MonteCarlo!$B$4="c"),_xlfn.NORM.S.DIST((LN(P$1 / MonteCarlo!$B$5) + (MonteCarlo!$B$9 + MonteCarlo!$B$7 ^ 2 / 2) *$A19) / (MonteCarlo!$B$7 * SQRT($A19)),TRUE),_xlfn.NORM.S.DIST((LN(P$1 / MonteCarlo!$B$5) + (MonteCarlo!$B$9 - MonteCarlo!$B$7 ^ 2 / 2) *$A19) / (MonteCarlo!$B$7 * SQRT($A19)),TRUE)-1),"")</f>
        <v/>
      </c>
      <c r="Q19" t="str">
        <f>IFERROR(IF(OR(MonteCarlo!$B$4="C",MonteCarlo!$B$4="c"),_xlfn.NORM.S.DIST((LN(Q$1 / MonteCarlo!$B$5) + (MonteCarlo!$B$9 + MonteCarlo!$B$7 ^ 2 / 2) *$A19) / (MonteCarlo!$B$7 * SQRT($A19)),TRUE),_xlfn.NORM.S.DIST((LN(Q$1 / MonteCarlo!$B$5) + (MonteCarlo!$B$9 - MonteCarlo!$B$7 ^ 2 / 2) *$A19) / (MonteCarlo!$B$7 * SQRT($A19)),TRUE)-1),"")</f>
        <v/>
      </c>
      <c r="R19" t="str">
        <f>IFERROR(IF(OR(MonteCarlo!$B$4="C",MonteCarlo!$B$4="c"),_xlfn.NORM.S.DIST((LN(R$1 / MonteCarlo!$B$5) + (MonteCarlo!$B$9 + MonteCarlo!$B$7 ^ 2 / 2) *$A19) / (MonteCarlo!$B$7 * SQRT($A19)),TRUE),_xlfn.NORM.S.DIST((LN(R$1 / MonteCarlo!$B$5) + (MonteCarlo!$B$9 - MonteCarlo!$B$7 ^ 2 / 2) *$A19) / (MonteCarlo!$B$7 * SQRT($A19)),TRUE)-1),"")</f>
        <v/>
      </c>
      <c r="S19" t="str">
        <f>IFERROR(IF(OR(MonteCarlo!$B$4="C",MonteCarlo!$B$4="c"),_xlfn.NORM.S.DIST((LN(S$1 / MonteCarlo!$B$5) + (MonteCarlo!$B$9 + MonteCarlo!$B$7 ^ 2 / 2) *$A19) / (MonteCarlo!$B$7 * SQRT($A19)),TRUE),_xlfn.NORM.S.DIST((LN(S$1 / MonteCarlo!$B$5) + (MonteCarlo!$B$9 - MonteCarlo!$B$7 ^ 2 / 2) *$A19) / (MonteCarlo!$B$7 * SQRT($A19)),TRUE)-1),"")</f>
        <v/>
      </c>
      <c r="T19" t="str">
        <f>IFERROR(IF(OR(MonteCarlo!$B$4="C",MonteCarlo!$B$4="c"),_xlfn.NORM.S.DIST((LN(T$1 / MonteCarlo!$B$5) + (MonteCarlo!$B$9 + MonteCarlo!$B$7 ^ 2 / 2) *$A19) / (MonteCarlo!$B$7 * SQRT($A19)),TRUE),_xlfn.NORM.S.DIST((LN(T$1 / MonteCarlo!$B$5) + (MonteCarlo!$B$9 - MonteCarlo!$B$7 ^ 2 / 2) *$A19) / (MonteCarlo!$B$7 * SQRT($A19)),TRUE)-1),"")</f>
        <v/>
      </c>
      <c r="U19" t="str">
        <f>IFERROR(IF(OR(MonteCarlo!$B$4="C",MonteCarlo!$B$4="c"),_xlfn.NORM.S.DIST((LN(U$1 / MonteCarlo!$B$5) + (MonteCarlo!$B$9 + MonteCarlo!$B$7 ^ 2 / 2) *$A19) / (MonteCarlo!$B$7 * SQRT($A19)),TRUE),_xlfn.NORM.S.DIST((LN(U$1 / MonteCarlo!$B$5) + (MonteCarlo!$B$9 - MonteCarlo!$B$7 ^ 2 / 2) *$A19) / (MonteCarlo!$B$7 * SQRT($A19)),TRUE)-1),"")</f>
        <v/>
      </c>
      <c r="V19" t="str">
        <f>IFERROR(IF(OR(MonteCarlo!$B$4="C",MonteCarlo!$B$4="c"),_xlfn.NORM.S.DIST((LN(V$1 / MonteCarlo!$B$5) + (MonteCarlo!$B$9 + MonteCarlo!$B$7 ^ 2 / 2) *$A19) / (MonteCarlo!$B$7 * SQRT($A19)),TRUE),_xlfn.NORM.S.DIST((LN(V$1 / MonteCarlo!$B$5) + (MonteCarlo!$B$9 - MonteCarlo!$B$7 ^ 2 / 2) *$A19) / (MonteCarlo!$B$7 * SQRT($A19)),TRUE)-1),"")</f>
        <v/>
      </c>
      <c r="W19" t="str">
        <f>IFERROR(IF(OR(MonteCarlo!$B$4="C",MonteCarlo!$B$4="c"),_xlfn.NORM.S.DIST((LN(W$1 / MonteCarlo!$B$5) + (MonteCarlo!$B$9 + MonteCarlo!$B$7 ^ 2 / 2) *$A19) / (MonteCarlo!$B$7 * SQRT($A19)),TRUE),_xlfn.NORM.S.DIST((LN(W$1 / MonteCarlo!$B$5) + (MonteCarlo!$B$9 - MonteCarlo!$B$7 ^ 2 / 2) *$A19) / (MonteCarlo!$B$7 * SQRT($A19)),TRUE)-1),"")</f>
        <v/>
      </c>
      <c r="X19" t="str">
        <f>IFERROR(IF(OR(MonteCarlo!$B$4="C",MonteCarlo!$B$4="c"),_xlfn.NORM.S.DIST((LN(X$1 / MonteCarlo!$B$5) + (MonteCarlo!$B$9 + MonteCarlo!$B$7 ^ 2 / 2) *$A19) / (MonteCarlo!$B$7 * SQRT($A19)),TRUE),_xlfn.NORM.S.DIST((LN(X$1 / MonteCarlo!$B$5) + (MonteCarlo!$B$9 - MonteCarlo!$B$7 ^ 2 / 2) *$A19) / (MonteCarlo!$B$7 * SQRT($A19)),TRUE)-1),"")</f>
        <v/>
      </c>
      <c r="Y19" t="str">
        <f>IFERROR(IF(OR(MonteCarlo!$B$4="C",MonteCarlo!$B$4="c"),_xlfn.NORM.S.DIST((LN(Y$1 / MonteCarlo!$B$5) + (MonteCarlo!$B$9 + MonteCarlo!$B$7 ^ 2 / 2) *$A19) / (MonteCarlo!$B$7 * SQRT($A19)),TRUE),_xlfn.NORM.S.DIST((LN(Y$1 / MonteCarlo!$B$5) + (MonteCarlo!$B$9 - MonteCarlo!$B$7 ^ 2 / 2) *$A19) / (MonteCarlo!$B$7 * SQRT($A19)),TRUE)-1),"")</f>
        <v/>
      </c>
      <c r="Z19" t="str">
        <f>IFERROR(IF(OR(MonteCarlo!$B$4="C",MonteCarlo!$B$4="c"),_xlfn.NORM.S.DIST((LN(Z$1 / MonteCarlo!$B$5) + (MonteCarlo!$B$9 + MonteCarlo!$B$7 ^ 2 / 2) *$A19) / (MonteCarlo!$B$7 * SQRT($A19)),TRUE),_xlfn.NORM.S.DIST((LN(Z$1 / MonteCarlo!$B$5) + (MonteCarlo!$B$9 - MonteCarlo!$B$7 ^ 2 / 2) *$A19) / (MonteCarlo!$B$7 * SQRT($A19)),TRUE)-1),"")</f>
        <v/>
      </c>
      <c r="AA19" t="str">
        <f>IFERROR(IF(OR(MonteCarlo!$B$4="C",MonteCarlo!$B$4="c"),_xlfn.NORM.S.DIST((LN(AA$1 / MonteCarlo!$B$5) + (MonteCarlo!$B$9 + MonteCarlo!$B$7 ^ 2 / 2) *$A19) / (MonteCarlo!$B$7 * SQRT($A19)),TRUE),_xlfn.NORM.S.DIST((LN(AA$1 / MonteCarlo!$B$5) + (MonteCarlo!$B$9 - MonteCarlo!$B$7 ^ 2 / 2) *$A19) / (MonteCarlo!$B$7 * SQRT($A19)),TRUE)-1),"")</f>
        <v/>
      </c>
      <c r="AB19" t="str">
        <f>IFERROR(IF(OR(MonteCarlo!$B$4="C",MonteCarlo!$B$4="c"),_xlfn.NORM.S.DIST((LN(AB$1 / MonteCarlo!$B$5) + (MonteCarlo!$B$9 + MonteCarlo!$B$7 ^ 2 / 2) *$A19) / (MonteCarlo!$B$7 * SQRT($A19)),TRUE),_xlfn.NORM.S.DIST((LN(AB$1 / MonteCarlo!$B$5) + (MonteCarlo!$B$9 - MonteCarlo!$B$7 ^ 2 / 2) *$A19) / (MonteCarlo!$B$7 * SQRT($A19)),TRUE)-1),"")</f>
        <v/>
      </c>
      <c r="AC19" t="str">
        <f>IFERROR(IF(OR(MonteCarlo!$B$4="C",MonteCarlo!$B$4="c"),_xlfn.NORM.S.DIST((LN(AC$1 / MonteCarlo!$B$5) + (MonteCarlo!$B$9 + MonteCarlo!$B$7 ^ 2 / 2) *$A19) / (MonteCarlo!$B$7 * SQRT($A19)),TRUE),_xlfn.NORM.S.DIST((LN(AC$1 / MonteCarlo!$B$5) + (MonteCarlo!$B$9 - MonteCarlo!$B$7 ^ 2 / 2) *$A19) / (MonteCarlo!$B$7 * SQRT($A19)),TRUE)-1),"")</f>
        <v/>
      </c>
      <c r="AD19" t="str">
        <f>IFERROR(IF(OR(MonteCarlo!$B$4="C",MonteCarlo!$B$4="c"),_xlfn.NORM.S.DIST((LN(AD$1 / MonteCarlo!$B$5) + (MonteCarlo!$B$9 + MonteCarlo!$B$7 ^ 2 / 2) *$A19) / (MonteCarlo!$B$7 * SQRT($A19)),TRUE),_xlfn.NORM.S.DIST((LN(AD$1 / MonteCarlo!$B$5) + (MonteCarlo!$B$9 - MonteCarlo!$B$7 ^ 2 / 2) *$A19) / (MonteCarlo!$B$7 * SQRT($A19)),TRUE)-1),"")</f>
        <v/>
      </c>
      <c r="AE19" t="str">
        <f>IFERROR(IF(OR(MonteCarlo!$B$4="C",MonteCarlo!$B$4="c"),_xlfn.NORM.S.DIST((LN(AE$1 / MonteCarlo!$B$5) + (MonteCarlo!$B$9 + MonteCarlo!$B$7 ^ 2 / 2) *$A19) / (MonteCarlo!$B$7 * SQRT($A19)),TRUE),_xlfn.NORM.S.DIST((LN(AE$1 / MonteCarlo!$B$5) + (MonteCarlo!$B$9 - MonteCarlo!$B$7 ^ 2 / 2) *$A19) / (MonteCarlo!$B$7 * SQRT($A19)),TRUE)-1),"")</f>
        <v/>
      </c>
      <c r="AF19" t="str">
        <f>IFERROR(IF(OR(MonteCarlo!$B$4="C",MonteCarlo!$B$4="c"),_xlfn.NORM.S.DIST((LN(AF$1 / MonteCarlo!$B$5) + (MonteCarlo!$B$9 + MonteCarlo!$B$7 ^ 2 / 2) *$A19) / (MonteCarlo!$B$7 * SQRT($A19)),TRUE),_xlfn.NORM.S.DIST((LN(AF$1 / MonteCarlo!$B$5) + (MonteCarlo!$B$9 - MonteCarlo!$B$7 ^ 2 / 2) *$A19) / (MonteCarlo!$B$7 * SQRT($A19)),TRUE)-1),"")</f>
        <v/>
      </c>
    </row>
    <row r="20" spans="2:32" x14ac:dyDescent="0.25">
      <c r="B20" t="str">
        <f>IFERROR(IF(OR(MonteCarlo!$B$4="C",MonteCarlo!$B$4="c"),_xlfn.NORM.S.DIST((LN(B$1 / MonteCarlo!$B$5) + (MonteCarlo!$B$9 + MonteCarlo!$B$7 ^ 2 / 2) *$A20) / (MonteCarlo!$B$7 * SQRT($A20)),TRUE),_xlfn.NORM.S.DIST((LN(B$1 / MonteCarlo!$B$5) + (MonteCarlo!$B$9 - MonteCarlo!$B$7 ^ 2 / 2) *$A20) / (MonteCarlo!$B$7 * SQRT($A20)),TRUE)-1),"")</f>
        <v/>
      </c>
      <c r="C20" t="str">
        <f>IFERROR(IF(OR(MonteCarlo!$B$4="C",MonteCarlo!$B$4="c"),_xlfn.NORM.S.DIST((LN(C$1 / MonteCarlo!$B$5) + (MonteCarlo!$B$9 + MonteCarlo!$B$7 ^ 2 / 2) *$A20) / (MonteCarlo!$B$7 * SQRT($A20)),TRUE),_xlfn.NORM.S.DIST((LN(C$1 / MonteCarlo!$B$5) + (MonteCarlo!$B$9 - MonteCarlo!$B$7 ^ 2 / 2) *$A20) / (MonteCarlo!$B$7 * SQRT($A20)),TRUE)-1),"")</f>
        <v/>
      </c>
      <c r="D20" t="str">
        <f>IFERROR(IF(OR(MonteCarlo!$B$4="C",MonteCarlo!$B$4="c"),_xlfn.NORM.S.DIST((LN(D$1 / MonteCarlo!$B$5) + (MonteCarlo!$B$9 + MonteCarlo!$B$7 ^ 2 / 2) *$A20) / (MonteCarlo!$B$7 * SQRT($A20)),TRUE),_xlfn.NORM.S.DIST((LN(D$1 / MonteCarlo!$B$5) + (MonteCarlo!$B$9 - MonteCarlo!$B$7 ^ 2 / 2) *$A20) / (MonteCarlo!$B$7 * SQRT($A20)),TRUE)-1),"")</f>
        <v/>
      </c>
      <c r="E20" t="str">
        <f>IFERROR(IF(OR(MonteCarlo!$B$4="C",MonteCarlo!$B$4="c"),_xlfn.NORM.S.DIST((LN(E$1 / MonteCarlo!$B$5) + (MonteCarlo!$B$9 + MonteCarlo!$B$7 ^ 2 / 2) *$A20) / (MonteCarlo!$B$7 * SQRT($A20)),TRUE),_xlfn.NORM.S.DIST((LN(E$1 / MonteCarlo!$B$5) + (MonteCarlo!$B$9 - MonteCarlo!$B$7 ^ 2 / 2) *$A20) / (MonteCarlo!$B$7 * SQRT($A20)),TRUE)-1),"")</f>
        <v/>
      </c>
      <c r="F20" t="str">
        <f>IFERROR(IF(OR(MonteCarlo!$B$4="C",MonteCarlo!$B$4="c"),_xlfn.NORM.S.DIST((LN(F$1 / MonteCarlo!$B$5) + (MonteCarlo!$B$9 + MonteCarlo!$B$7 ^ 2 / 2) *$A20) / (MonteCarlo!$B$7 * SQRT($A20)),TRUE),_xlfn.NORM.S.DIST((LN(F$1 / MonteCarlo!$B$5) + (MonteCarlo!$B$9 - MonteCarlo!$B$7 ^ 2 / 2) *$A20) / (MonteCarlo!$B$7 * SQRT($A20)),TRUE)-1),"")</f>
        <v/>
      </c>
      <c r="G20" t="str">
        <f>IFERROR(IF(OR(MonteCarlo!$B$4="C",MonteCarlo!$B$4="c"),_xlfn.NORM.S.DIST((LN(G$1 / MonteCarlo!$B$5) + (MonteCarlo!$B$9 + MonteCarlo!$B$7 ^ 2 / 2) *$A20) / (MonteCarlo!$B$7 * SQRT($A20)),TRUE),_xlfn.NORM.S.DIST((LN(G$1 / MonteCarlo!$B$5) + (MonteCarlo!$B$9 - MonteCarlo!$B$7 ^ 2 / 2) *$A20) / (MonteCarlo!$B$7 * SQRT($A20)),TRUE)-1),"")</f>
        <v/>
      </c>
      <c r="H20" t="str">
        <f>IFERROR(IF(OR(MonteCarlo!$B$4="C",MonteCarlo!$B$4="c"),_xlfn.NORM.S.DIST((LN(H$1 / MonteCarlo!$B$5) + (MonteCarlo!$B$9 + MonteCarlo!$B$7 ^ 2 / 2) *$A20) / (MonteCarlo!$B$7 * SQRT($A20)),TRUE),_xlfn.NORM.S.DIST((LN(H$1 / MonteCarlo!$B$5) + (MonteCarlo!$B$9 - MonteCarlo!$B$7 ^ 2 / 2) *$A20) / (MonteCarlo!$B$7 * SQRT($A20)),TRUE)-1),"")</f>
        <v/>
      </c>
      <c r="I20" t="str">
        <f>IFERROR(IF(OR(MonteCarlo!$B$4="C",MonteCarlo!$B$4="c"),_xlfn.NORM.S.DIST((LN(I$1 / MonteCarlo!$B$5) + (MonteCarlo!$B$9 + MonteCarlo!$B$7 ^ 2 / 2) *$A20) / (MonteCarlo!$B$7 * SQRT($A20)),TRUE),_xlfn.NORM.S.DIST((LN(I$1 / MonteCarlo!$B$5) + (MonteCarlo!$B$9 - MonteCarlo!$B$7 ^ 2 / 2) *$A20) / (MonteCarlo!$B$7 * SQRT($A20)),TRUE)-1),"")</f>
        <v/>
      </c>
      <c r="J20" t="str">
        <f>IFERROR(IF(OR(MonteCarlo!$B$4="C",MonteCarlo!$B$4="c"),_xlfn.NORM.S.DIST((LN(J$1 / MonteCarlo!$B$5) + (MonteCarlo!$B$9 + MonteCarlo!$B$7 ^ 2 / 2) *$A20) / (MonteCarlo!$B$7 * SQRT($A20)),TRUE),_xlfn.NORM.S.DIST((LN(J$1 / MonteCarlo!$B$5) + (MonteCarlo!$B$9 - MonteCarlo!$B$7 ^ 2 / 2) *$A20) / (MonteCarlo!$B$7 * SQRT($A20)),TRUE)-1),"")</f>
        <v/>
      </c>
      <c r="K20" t="str">
        <f>IFERROR(IF(OR(MonteCarlo!$B$4="C",MonteCarlo!$B$4="c"),_xlfn.NORM.S.DIST((LN(K$1 / MonteCarlo!$B$5) + (MonteCarlo!$B$9 + MonteCarlo!$B$7 ^ 2 / 2) *$A20) / (MonteCarlo!$B$7 * SQRT($A20)),TRUE),_xlfn.NORM.S.DIST((LN(K$1 / MonteCarlo!$B$5) + (MonteCarlo!$B$9 - MonteCarlo!$B$7 ^ 2 / 2) *$A20) / (MonteCarlo!$B$7 * SQRT($A20)),TRUE)-1),"")</f>
        <v/>
      </c>
      <c r="L20" t="str">
        <f>IFERROR(IF(OR(MonteCarlo!$B$4="C",MonteCarlo!$B$4="c"),_xlfn.NORM.S.DIST((LN(L$1 / MonteCarlo!$B$5) + (MonteCarlo!$B$9 + MonteCarlo!$B$7 ^ 2 / 2) *$A20) / (MonteCarlo!$B$7 * SQRT($A20)),TRUE),_xlfn.NORM.S.DIST((LN(L$1 / MonteCarlo!$B$5) + (MonteCarlo!$B$9 - MonteCarlo!$B$7 ^ 2 / 2) *$A20) / (MonteCarlo!$B$7 * SQRT($A20)),TRUE)-1),"")</f>
        <v/>
      </c>
      <c r="M20" t="str">
        <f>IFERROR(IF(OR(MonteCarlo!$B$4="C",MonteCarlo!$B$4="c"),_xlfn.NORM.S.DIST((LN(M$1 / MonteCarlo!$B$5) + (MonteCarlo!$B$9 + MonteCarlo!$B$7 ^ 2 / 2) *$A20) / (MonteCarlo!$B$7 * SQRT($A20)),TRUE),_xlfn.NORM.S.DIST((LN(M$1 / MonteCarlo!$B$5) + (MonteCarlo!$B$9 - MonteCarlo!$B$7 ^ 2 / 2) *$A20) / (MonteCarlo!$B$7 * SQRT($A20)),TRUE)-1),"")</f>
        <v/>
      </c>
      <c r="N20" t="str">
        <f>IFERROR(IF(OR(MonteCarlo!$B$4="C",MonteCarlo!$B$4="c"),_xlfn.NORM.S.DIST((LN(N$1 / MonteCarlo!$B$5) + (MonteCarlo!$B$9 + MonteCarlo!$B$7 ^ 2 / 2) *$A20) / (MonteCarlo!$B$7 * SQRT($A20)),TRUE),_xlfn.NORM.S.DIST((LN(N$1 / MonteCarlo!$B$5) + (MonteCarlo!$B$9 - MonteCarlo!$B$7 ^ 2 / 2) *$A20) / (MonteCarlo!$B$7 * SQRT($A20)),TRUE)-1),"")</f>
        <v/>
      </c>
      <c r="O20" t="str">
        <f>IFERROR(IF(OR(MonteCarlo!$B$4="C",MonteCarlo!$B$4="c"),_xlfn.NORM.S.DIST((LN(O$1 / MonteCarlo!$B$5) + (MonteCarlo!$B$9 + MonteCarlo!$B$7 ^ 2 / 2) *$A20) / (MonteCarlo!$B$7 * SQRT($A20)),TRUE),_xlfn.NORM.S.DIST((LN(O$1 / MonteCarlo!$B$5) + (MonteCarlo!$B$9 - MonteCarlo!$B$7 ^ 2 / 2) *$A20) / (MonteCarlo!$B$7 * SQRT($A20)),TRUE)-1),"")</f>
        <v/>
      </c>
      <c r="P20" t="str">
        <f>IFERROR(IF(OR(MonteCarlo!$B$4="C",MonteCarlo!$B$4="c"),_xlfn.NORM.S.DIST((LN(P$1 / MonteCarlo!$B$5) + (MonteCarlo!$B$9 + MonteCarlo!$B$7 ^ 2 / 2) *$A20) / (MonteCarlo!$B$7 * SQRT($A20)),TRUE),_xlfn.NORM.S.DIST((LN(P$1 / MonteCarlo!$B$5) + (MonteCarlo!$B$9 - MonteCarlo!$B$7 ^ 2 / 2) *$A20) / (MonteCarlo!$B$7 * SQRT($A20)),TRUE)-1),"")</f>
        <v/>
      </c>
      <c r="Q20" t="str">
        <f>IFERROR(IF(OR(MonteCarlo!$B$4="C",MonteCarlo!$B$4="c"),_xlfn.NORM.S.DIST((LN(Q$1 / MonteCarlo!$B$5) + (MonteCarlo!$B$9 + MonteCarlo!$B$7 ^ 2 / 2) *$A20) / (MonteCarlo!$B$7 * SQRT($A20)),TRUE),_xlfn.NORM.S.DIST((LN(Q$1 / MonteCarlo!$B$5) + (MonteCarlo!$B$9 - MonteCarlo!$B$7 ^ 2 / 2) *$A20) / (MonteCarlo!$B$7 * SQRT($A20)),TRUE)-1),"")</f>
        <v/>
      </c>
      <c r="R20" t="str">
        <f>IFERROR(IF(OR(MonteCarlo!$B$4="C",MonteCarlo!$B$4="c"),_xlfn.NORM.S.DIST((LN(R$1 / MonteCarlo!$B$5) + (MonteCarlo!$B$9 + MonteCarlo!$B$7 ^ 2 / 2) *$A20) / (MonteCarlo!$B$7 * SQRT($A20)),TRUE),_xlfn.NORM.S.DIST((LN(R$1 / MonteCarlo!$B$5) + (MonteCarlo!$B$9 - MonteCarlo!$B$7 ^ 2 / 2) *$A20) / (MonteCarlo!$B$7 * SQRT($A20)),TRUE)-1),"")</f>
        <v/>
      </c>
      <c r="S20" t="str">
        <f>IFERROR(IF(OR(MonteCarlo!$B$4="C",MonteCarlo!$B$4="c"),_xlfn.NORM.S.DIST((LN(S$1 / MonteCarlo!$B$5) + (MonteCarlo!$B$9 + MonteCarlo!$B$7 ^ 2 / 2) *$A20) / (MonteCarlo!$B$7 * SQRT($A20)),TRUE),_xlfn.NORM.S.DIST((LN(S$1 / MonteCarlo!$B$5) + (MonteCarlo!$B$9 - MonteCarlo!$B$7 ^ 2 / 2) *$A20) / (MonteCarlo!$B$7 * SQRT($A20)),TRUE)-1),"")</f>
        <v/>
      </c>
      <c r="T20" t="str">
        <f>IFERROR(IF(OR(MonteCarlo!$B$4="C",MonteCarlo!$B$4="c"),_xlfn.NORM.S.DIST((LN(T$1 / MonteCarlo!$B$5) + (MonteCarlo!$B$9 + MonteCarlo!$B$7 ^ 2 / 2) *$A20) / (MonteCarlo!$B$7 * SQRT($A20)),TRUE),_xlfn.NORM.S.DIST((LN(T$1 / MonteCarlo!$B$5) + (MonteCarlo!$B$9 - MonteCarlo!$B$7 ^ 2 / 2) *$A20) / (MonteCarlo!$B$7 * SQRT($A20)),TRUE)-1),"")</f>
        <v/>
      </c>
      <c r="U20" t="str">
        <f>IFERROR(IF(OR(MonteCarlo!$B$4="C",MonteCarlo!$B$4="c"),_xlfn.NORM.S.DIST((LN(U$1 / MonteCarlo!$B$5) + (MonteCarlo!$B$9 + MonteCarlo!$B$7 ^ 2 / 2) *$A20) / (MonteCarlo!$B$7 * SQRT($A20)),TRUE),_xlfn.NORM.S.DIST((LN(U$1 / MonteCarlo!$B$5) + (MonteCarlo!$B$9 - MonteCarlo!$B$7 ^ 2 / 2) *$A20) / (MonteCarlo!$B$7 * SQRT($A20)),TRUE)-1),"")</f>
        <v/>
      </c>
      <c r="V20" t="str">
        <f>IFERROR(IF(OR(MonteCarlo!$B$4="C",MonteCarlo!$B$4="c"),_xlfn.NORM.S.DIST((LN(V$1 / MonteCarlo!$B$5) + (MonteCarlo!$B$9 + MonteCarlo!$B$7 ^ 2 / 2) *$A20) / (MonteCarlo!$B$7 * SQRT($A20)),TRUE),_xlfn.NORM.S.DIST((LN(V$1 / MonteCarlo!$B$5) + (MonteCarlo!$B$9 - MonteCarlo!$B$7 ^ 2 / 2) *$A20) / (MonteCarlo!$B$7 * SQRT($A20)),TRUE)-1),"")</f>
        <v/>
      </c>
      <c r="W20" t="str">
        <f>IFERROR(IF(OR(MonteCarlo!$B$4="C",MonteCarlo!$B$4="c"),_xlfn.NORM.S.DIST((LN(W$1 / MonteCarlo!$B$5) + (MonteCarlo!$B$9 + MonteCarlo!$B$7 ^ 2 / 2) *$A20) / (MonteCarlo!$B$7 * SQRT($A20)),TRUE),_xlfn.NORM.S.DIST((LN(W$1 / MonteCarlo!$B$5) + (MonteCarlo!$B$9 - MonteCarlo!$B$7 ^ 2 / 2) *$A20) / (MonteCarlo!$B$7 * SQRT($A20)),TRUE)-1),"")</f>
        <v/>
      </c>
      <c r="X20" t="str">
        <f>IFERROR(IF(OR(MonteCarlo!$B$4="C",MonteCarlo!$B$4="c"),_xlfn.NORM.S.DIST((LN(X$1 / MonteCarlo!$B$5) + (MonteCarlo!$B$9 + MonteCarlo!$B$7 ^ 2 / 2) *$A20) / (MonteCarlo!$B$7 * SQRT($A20)),TRUE),_xlfn.NORM.S.DIST((LN(X$1 / MonteCarlo!$B$5) + (MonteCarlo!$B$9 - MonteCarlo!$B$7 ^ 2 / 2) *$A20) / (MonteCarlo!$B$7 * SQRT($A20)),TRUE)-1),"")</f>
        <v/>
      </c>
      <c r="Y20" t="str">
        <f>IFERROR(IF(OR(MonteCarlo!$B$4="C",MonteCarlo!$B$4="c"),_xlfn.NORM.S.DIST((LN(Y$1 / MonteCarlo!$B$5) + (MonteCarlo!$B$9 + MonteCarlo!$B$7 ^ 2 / 2) *$A20) / (MonteCarlo!$B$7 * SQRT($A20)),TRUE),_xlfn.NORM.S.DIST((LN(Y$1 / MonteCarlo!$B$5) + (MonteCarlo!$B$9 - MonteCarlo!$B$7 ^ 2 / 2) *$A20) / (MonteCarlo!$B$7 * SQRT($A20)),TRUE)-1),"")</f>
        <v/>
      </c>
      <c r="Z20" t="str">
        <f>IFERROR(IF(OR(MonteCarlo!$B$4="C",MonteCarlo!$B$4="c"),_xlfn.NORM.S.DIST((LN(Z$1 / MonteCarlo!$B$5) + (MonteCarlo!$B$9 + MonteCarlo!$B$7 ^ 2 / 2) *$A20) / (MonteCarlo!$B$7 * SQRT($A20)),TRUE),_xlfn.NORM.S.DIST((LN(Z$1 / MonteCarlo!$B$5) + (MonteCarlo!$B$9 - MonteCarlo!$B$7 ^ 2 / 2) *$A20) / (MonteCarlo!$B$7 * SQRT($A20)),TRUE)-1),"")</f>
        <v/>
      </c>
      <c r="AA20" t="str">
        <f>IFERROR(IF(OR(MonteCarlo!$B$4="C",MonteCarlo!$B$4="c"),_xlfn.NORM.S.DIST((LN(AA$1 / MonteCarlo!$B$5) + (MonteCarlo!$B$9 + MonteCarlo!$B$7 ^ 2 / 2) *$A20) / (MonteCarlo!$B$7 * SQRT($A20)),TRUE),_xlfn.NORM.S.DIST((LN(AA$1 / MonteCarlo!$B$5) + (MonteCarlo!$B$9 - MonteCarlo!$B$7 ^ 2 / 2) *$A20) / (MonteCarlo!$B$7 * SQRT($A20)),TRUE)-1),"")</f>
        <v/>
      </c>
      <c r="AB20" t="str">
        <f>IFERROR(IF(OR(MonteCarlo!$B$4="C",MonteCarlo!$B$4="c"),_xlfn.NORM.S.DIST((LN(AB$1 / MonteCarlo!$B$5) + (MonteCarlo!$B$9 + MonteCarlo!$B$7 ^ 2 / 2) *$A20) / (MonteCarlo!$B$7 * SQRT($A20)),TRUE),_xlfn.NORM.S.DIST((LN(AB$1 / MonteCarlo!$B$5) + (MonteCarlo!$B$9 - MonteCarlo!$B$7 ^ 2 / 2) *$A20) / (MonteCarlo!$B$7 * SQRT($A20)),TRUE)-1),"")</f>
        <v/>
      </c>
      <c r="AC20" t="str">
        <f>IFERROR(IF(OR(MonteCarlo!$B$4="C",MonteCarlo!$B$4="c"),_xlfn.NORM.S.DIST((LN(AC$1 / MonteCarlo!$B$5) + (MonteCarlo!$B$9 + MonteCarlo!$B$7 ^ 2 / 2) *$A20) / (MonteCarlo!$B$7 * SQRT($A20)),TRUE),_xlfn.NORM.S.DIST((LN(AC$1 / MonteCarlo!$B$5) + (MonteCarlo!$B$9 - MonteCarlo!$B$7 ^ 2 / 2) *$A20) / (MonteCarlo!$B$7 * SQRT($A20)),TRUE)-1),"")</f>
        <v/>
      </c>
      <c r="AD20" t="str">
        <f>IFERROR(IF(OR(MonteCarlo!$B$4="C",MonteCarlo!$B$4="c"),_xlfn.NORM.S.DIST((LN(AD$1 / MonteCarlo!$B$5) + (MonteCarlo!$B$9 + MonteCarlo!$B$7 ^ 2 / 2) *$A20) / (MonteCarlo!$B$7 * SQRT($A20)),TRUE),_xlfn.NORM.S.DIST((LN(AD$1 / MonteCarlo!$B$5) + (MonteCarlo!$B$9 - MonteCarlo!$B$7 ^ 2 / 2) *$A20) / (MonteCarlo!$B$7 * SQRT($A20)),TRUE)-1),"")</f>
        <v/>
      </c>
      <c r="AE20" t="str">
        <f>IFERROR(IF(OR(MonteCarlo!$B$4="C",MonteCarlo!$B$4="c"),_xlfn.NORM.S.DIST((LN(AE$1 / MonteCarlo!$B$5) + (MonteCarlo!$B$9 + MonteCarlo!$B$7 ^ 2 / 2) *$A20) / (MonteCarlo!$B$7 * SQRT($A20)),TRUE),_xlfn.NORM.S.DIST((LN(AE$1 / MonteCarlo!$B$5) + (MonteCarlo!$B$9 - MonteCarlo!$B$7 ^ 2 / 2) *$A20) / (MonteCarlo!$B$7 * SQRT($A20)),TRUE)-1),"")</f>
        <v/>
      </c>
      <c r="AF20" t="str">
        <f>IFERROR(IF(OR(MonteCarlo!$B$4="C",MonteCarlo!$B$4="c"),_xlfn.NORM.S.DIST((LN(AF$1 / MonteCarlo!$B$5) + (MonteCarlo!$B$9 + MonteCarlo!$B$7 ^ 2 / 2) *$A20) / (MonteCarlo!$B$7 * SQRT($A20)),TRUE),_xlfn.NORM.S.DIST((LN(AF$1 / MonteCarlo!$B$5) + (MonteCarlo!$B$9 - MonteCarlo!$B$7 ^ 2 / 2) *$A20) / (MonteCarlo!$B$7 * SQRT($A20)),TRUE)-1),"")</f>
        <v/>
      </c>
    </row>
    <row r="21" spans="2:32" x14ac:dyDescent="0.25">
      <c r="B21" t="str">
        <f>IFERROR(IF(OR(MonteCarlo!$B$4="C",MonteCarlo!$B$4="c"),_xlfn.NORM.S.DIST((LN(B$1 / MonteCarlo!$B$5) + (MonteCarlo!$B$9 + MonteCarlo!$B$7 ^ 2 / 2) *$A21) / (MonteCarlo!$B$7 * SQRT($A21)),TRUE),_xlfn.NORM.S.DIST((LN(B$1 / MonteCarlo!$B$5) + (MonteCarlo!$B$9 - MonteCarlo!$B$7 ^ 2 / 2) *$A21) / (MonteCarlo!$B$7 * SQRT($A21)),TRUE)-1),"")</f>
        <v/>
      </c>
      <c r="C21" t="str">
        <f>IFERROR(IF(OR(MonteCarlo!$B$4="C",MonteCarlo!$B$4="c"),_xlfn.NORM.S.DIST((LN(C$1 / MonteCarlo!$B$5) + (MonteCarlo!$B$9 + MonteCarlo!$B$7 ^ 2 / 2) *$A21) / (MonteCarlo!$B$7 * SQRT($A21)),TRUE),_xlfn.NORM.S.DIST((LN(C$1 / MonteCarlo!$B$5) + (MonteCarlo!$B$9 - MonteCarlo!$B$7 ^ 2 / 2) *$A21) / (MonteCarlo!$B$7 * SQRT($A21)),TRUE)-1),"")</f>
        <v/>
      </c>
      <c r="D21" t="str">
        <f>IFERROR(IF(OR(MonteCarlo!$B$4="C",MonteCarlo!$B$4="c"),_xlfn.NORM.S.DIST((LN(D$1 / MonteCarlo!$B$5) + (MonteCarlo!$B$9 + MonteCarlo!$B$7 ^ 2 / 2) *$A21) / (MonteCarlo!$B$7 * SQRT($A21)),TRUE),_xlfn.NORM.S.DIST((LN(D$1 / MonteCarlo!$B$5) + (MonteCarlo!$B$9 - MonteCarlo!$B$7 ^ 2 / 2) *$A21) / (MonteCarlo!$B$7 * SQRT($A21)),TRUE)-1),"")</f>
        <v/>
      </c>
      <c r="E21" t="str">
        <f>IFERROR(IF(OR(MonteCarlo!$B$4="C",MonteCarlo!$B$4="c"),_xlfn.NORM.S.DIST((LN(E$1 / MonteCarlo!$B$5) + (MonteCarlo!$B$9 + MonteCarlo!$B$7 ^ 2 / 2) *$A21) / (MonteCarlo!$B$7 * SQRT($A21)),TRUE),_xlfn.NORM.S.DIST((LN(E$1 / MonteCarlo!$B$5) + (MonteCarlo!$B$9 - MonteCarlo!$B$7 ^ 2 / 2) *$A21) / (MonteCarlo!$B$7 * SQRT($A21)),TRUE)-1),"")</f>
        <v/>
      </c>
      <c r="F21" t="str">
        <f>IFERROR(IF(OR(MonteCarlo!$B$4="C",MonteCarlo!$B$4="c"),_xlfn.NORM.S.DIST((LN(F$1 / MonteCarlo!$B$5) + (MonteCarlo!$B$9 + MonteCarlo!$B$7 ^ 2 / 2) *$A21) / (MonteCarlo!$B$7 * SQRT($A21)),TRUE),_xlfn.NORM.S.DIST((LN(F$1 / MonteCarlo!$B$5) + (MonteCarlo!$B$9 - MonteCarlo!$B$7 ^ 2 / 2) *$A21) / (MonteCarlo!$B$7 * SQRT($A21)),TRUE)-1),"")</f>
        <v/>
      </c>
      <c r="G21" t="str">
        <f>IFERROR(IF(OR(MonteCarlo!$B$4="C",MonteCarlo!$B$4="c"),_xlfn.NORM.S.DIST((LN(G$1 / MonteCarlo!$B$5) + (MonteCarlo!$B$9 + MonteCarlo!$B$7 ^ 2 / 2) *$A21) / (MonteCarlo!$B$7 * SQRT($A21)),TRUE),_xlfn.NORM.S.DIST((LN(G$1 / MonteCarlo!$B$5) + (MonteCarlo!$B$9 - MonteCarlo!$B$7 ^ 2 / 2) *$A21) / (MonteCarlo!$B$7 * SQRT($A21)),TRUE)-1),"")</f>
        <v/>
      </c>
      <c r="H21" t="str">
        <f>IFERROR(IF(OR(MonteCarlo!$B$4="C",MonteCarlo!$B$4="c"),_xlfn.NORM.S.DIST((LN(H$1 / MonteCarlo!$B$5) + (MonteCarlo!$B$9 + MonteCarlo!$B$7 ^ 2 / 2) *$A21) / (MonteCarlo!$B$7 * SQRT($A21)),TRUE),_xlfn.NORM.S.DIST((LN(H$1 / MonteCarlo!$B$5) + (MonteCarlo!$B$9 - MonteCarlo!$B$7 ^ 2 / 2) *$A21) / (MonteCarlo!$B$7 * SQRT($A21)),TRUE)-1),"")</f>
        <v/>
      </c>
      <c r="I21" t="str">
        <f>IFERROR(IF(OR(MonteCarlo!$B$4="C",MonteCarlo!$B$4="c"),_xlfn.NORM.S.DIST((LN(I$1 / MonteCarlo!$B$5) + (MonteCarlo!$B$9 + MonteCarlo!$B$7 ^ 2 / 2) *$A21) / (MonteCarlo!$B$7 * SQRT($A21)),TRUE),_xlfn.NORM.S.DIST((LN(I$1 / MonteCarlo!$B$5) + (MonteCarlo!$B$9 - MonteCarlo!$B$7 ^ 2 / 2) *$A21) / (MonteCarlo!$B$7 * SQRT($A21)),TRUE)-1),"")</f>
        <v/>
      </c>
      <c r="J21" t="str">
        <f>IFERROR(IF(OR(MonteCarlo!$B$4="C",MonteCarlo!$B$4="c"),_xlfn.NORM.S.DIST((LN(J$1 / MonteCarlo!$B$5) + (MonteCarlo!$B$9 + MonteCarlo!$B$7 ^ 2 / 2) *$A21) / (MonteCarlo!$B$7 * SQRT($A21)),TRUE),_xlfn.NORM.S.DIST((LN(J$1 / MonteCarlo!$B$5) + (MonteCarlo!$B$9 - MonteCarlo!$B$7 ^ 2 / 2) *$A21) / (MonteCarlo!$B$7 * SQRT($A21)),TRUE)-1),"")</f>
        <v/>
      </c>
      <c r="K21" t="str">
        <f>IFERROR(IF(OR(MonteCarlo!$B$4="C",MonteCarlo!$B$4="c"),_xlfn.NORM.S.DIST((LN(K$1 / MonteCarlo!$B$5) + (MonteCarlo!$B$9 + MonteCarlo!$B$7 ^ 2 / 2) *$A21) / (MonteCarlo!$B$7 * SQRT($A21)),TRUE),_xlfn.NORM.S.DIST((LN(K$1 / MonteCarlo!$B$5) + (MonteCarlo!$B$9 - MonteCarlo!$B$7 ^ 2 / 2) *$A21) / (MonteCarlo!$B$7 * SQRT($A21)),TRUE)-1),"")</f>
        <v/>
      </c>
      <c r="L21" t="str">
        <f>IFERROR(IF(OR(MonteCarlo!$B$4="C",MonteCarlo!$B$4="c"),_xlfn.NORM.S.DIST((LN(L$1 / MonteCarlo!$B$5) + (MonteCarlo!$B$9 + MonteCarlo!$B$7 ^ 2 / 2) *$A21) / (MonteCarlo!$B$7 * SQRT($A21)),TRUE),_xlfn.NORM.S.DIST((LN(L$1 / MonteCarlo!$B$5) + (MonteCarlo!$B$9 - MonteCarlo!$B$7 ^ 2 / 2) *$A21) / (MonteCarlo!$B$7 * SQRT($A21)),TRUE)-1),"")</f>
        <v/>
      </c>
      <c r="M21" t="str">
        <f>IFERROR(IF(OR(MonteCarlo!$B$4="C",MonteCarlo!$B$4="c"),_xlfn.NORM.S.DIST((LN(M$1 / MonteCarlo!$B$5) + (MonteCarlo!$B$9 + MonteCarlo!$B$7 ^ 2 / 2) *$A21) / (MonteCarlo!$B$7 * SQRT($A21)),TRUE),_xlfn.NORM.S.DIST((LN(M$1 / MonteCarlo!$B$5) + (MonteCarlo!$B$9 - MonteCarlo!$B$7 ^ 2 / 2) *$A21) / (MonteCarlo!$B$7 * SQRT($A21)),TRUE)-1),"")</f>
        <v/>
      </c>
      <c r="N21" t="str">
        <f>IFERROR(IF(OR(MonteCarlo!$B$4="C",MonteCarlo!$B$4="c"),_xlfn.NORM.S.DIST((LN(N$1 / MonteCarlo!$B$5) + (MonteCarlo!$B$9 + MonteCarlo!$B$7 ^ 2 / 2) *$A21) / (MonteCarlo!$B$7 * SQRT($A21)),TRUE),_xlfn.NORM.S.DIST((LN(N$1 / MonteCarlo!$B$5) + (MonteCarlo!$B$9 - MonteCarlo!$B$7 ^ 2 / 2) *$A21) / (MonteCarlo!$B$7 * SQRT($A21)),TRUE)-1),"")</f>
        <v/>
      </c>
      <c r="O21" t="str">
        <f>IFERROR(IF(OR(MonteCarlo!$B$4="C",MonteCarlo!$B$4="c"),_xlfn.NORM.S.DIST((LN(O$1 / MonteCarlo!$B$5) + (MonteCarlo!$B$9 + MonteCarlo!$B$7 ^ 2 / 2) *$A21) / (MonteCarlo!$B$7 * SQRT($A21)),TRUE),_xlfn.NORM.S.DIST((LN(O$1 / MonteCarlo!$B$5) + (MonteCarlo!$B$9 - MonteCarlo!$B$7 ^ 2 / 2) *$A21) / (MonteCarlo!$B$7 * SQRT($A21)),TRUE)-1),"")</f>
        <v/>
      </c>
      <c r="P21" t="str">
        <f>IFERROR(IF(OR(MonteCarlo!$B$4="C",MonteCarlo!$B$4="c"),_xlfn.NORM.S.DIST((LN(P$1 / MonteCarlo!$B$5) + (MonteCarlo!$B$9 + MonteCarlo!$B$7 ^ 2 / 2) *$A21) / (MonteCarlo!$B$7 * SQRT($A21)),TRUE),_xlfn.NORM.S.DIST((LN(P$1 / MonteCarlo!$B$5) + (MonteCarlo!$B$9 - MonteCarlo!$B$7 ^ 2 / 2) *$A21) / (MonteCarlo!$B$7 * SQRT($A21)),TRUE)-1),"")</f>
        <v/>
      </c>
      <c r="Q21" t="str">
        <f>IFERROR(IF(OR(MonteCarlo!$B$4="C",MonteCarlo!$B$4="c"),_xlfn.NORM.S.DIST((LN(Q$1 / MonteCarlo!$B$5) + (MonteCarlo!$B$9 + MonteCarlo!$B$7 ^ 2 / 2) *$A21) / (MonteCarlo!$B$7 * SQRT($A21)),TRUE),_xlfn.NORM.S.DIST((LN(Q$1 / MonteCarlo!$B$5) + (MonteCarlo!$B$9 - MonteCarlo!$B$7 ^ 2 / 2) *$A21) / (MonteCarlo!$B$7 * SQRT($A21)),TRUE)-1),"")</f>
        <v/>
      </c>
      <c r="R21" t="str">
        <f>IFERROR(IF(OR(MonteCarlo!$B$4="C",MonteCarlo!$B$4="c"),_xlfn.NORM.S.DIST((LN(R$1 / MonteCarlo!$B$5) + (MonteCarlo!$B$9 + MonteCarlo!$B$7 ^ 2 / 2) *$A21) / (MonteCarlo!$B$7 * SQRT($A21)),TRUE),_xlfn.NORM.S.DIST((LN(R$1 / MonteCarlo!$B$5) + (MonteCarlo!$B$9 - MonteCarlo!$B$7 ^ 2 / 2) *$A21) / (MonteCarlo!$B$7 * SQRT($A21)),TRUE)-1),"")</f>
        <v/>
      </c>
      <c r="S21" t="str">
        <f>IFERROR(IF(OR(MonteCarlo!$B$4="C",MonteCarlo!$B$4="c"),_xlfn.NORM.S.DIST((LN(S$1 / MonteCarlo!$B$5) + (MonteCarlo!$B$9 + MonteCarlo!$B$7 ^ 2 / 2) *$A21) / (MonteCarlo!$B$7 * SQRT($A21)),TRUE),_xlfn.NORM.S.DIST((LN(S$1 / MonteCarlo!$B$5) + (MonteCarlo!$B$9 - MonteCarlo!$B$7 ^ 2 / 2) *$A21) / (MonteCarlo!$B$7 * SQRT($A21)),TRUE)-1),"")</f>
        <v/>
      </c>
      <c r="T21" t="str">
        <f>IFERROR(IF(OR(MonteCarlo!$B$4="C",MonteCarlo!$B$4="c"),_xlfn.NORM.S.DIST((LN(T$1 / MonteCarlo!$B$5) + (MonteCarlo!$B$9 + MonteCarlo!$B$7 ^ 2 / 2) *$A21) / (MonteCarlo!$B$7 * SQRT($A21)),TRUE),_xlfn.NORM.S.DIST((LN(T$1 / MonteCarlo!$B$5) + (MonteCarlo!$B$9 - MonteCarlo!$B$7 ^ 2 / 2) *$A21) / (MonteCarlo!$B$7 * SQRT($A21)),TRUE)-1),"")</f>
        <v/>
      </c>
      <c r="U21" t="str">
        <f>IFERROR(IF(OR(MonteCarlo!$B$4="C",MonteCarlo!$B$4="c"),_xlfn.NORM.S.DIST((LN(U$1 / MonteCarlo!$B$5) + (MonteCarlo!$B$9 + MonteCarlo!$B$7 ^ 2 / 2) *$A21) / (MonteCarlo!$B$7 * SQRT($A21)),TRUE),_xlfn.NORM.S.DIST((LN(U$1 / MonteCarlo!$B$5) + (MonteCarlo!$B$9 - MonteCarlo!$B$7 ^ 2 / 2) *$A21) / (MonteCarlo!$B$7 * SQRT($A21)),TRUE)-1),"")</f>
        <v/>
      </c>
      <c r="V21" t="str">
        <f>IFERROR(IF(OR(MonteCarlo!$B$4="C",MonteCarlo!$B$4="c"),_xlfn.NORM.S.DIST((LN(V$1 / MonteCarlo!$B$5) + (MonteCarlo!$B$9 + MonteCarlo!$B$7 ^ 2 / 2) *$A21) / (MonteCarlo!$B$7 * SQRT($A21)),TRUE),_xlfn.NORM.S.DIST((LN(V$1 / MonteCarlo!$B$5) + (MonteCarlo!$B$9 - MonteCarlo!$B$7 ^ 2 / 2) *$A21) / (MonteCarlo!$B$7 * SQRT($A21)),TRUE)-1),"")</f>
        <v/>
      </c>
      <c r="W21" t="str">
        <f>IFERROR(IF(OR(MonteCarlo!$B$4="C",MonteCarlo!$B$4="c"),_xlfn.NORM.S.DIST((LN(W$1 / MonteCarlo!$B$5) + (MonteCarlo!$B$9 + MonteCarlo!$B$7 ^ 2 / 2) *$A21) / (MonteCarlo!$B$7 * SQRT($A21)),TRUE),_xlfn.NORM.S.DIST((LN(W$1 / MonteCarlo!$B$5) + (MonteCarlo!$B$9 - MonteCarlo!$B$7 ^ 2 / 2) *$A21) / (MonteCarlo!$B$7 * SQRT($A21)),TRUE)-1),"")</f>
        <v/>
      </c>
      <c r="X21" t="str">
        <f>IFERROR(IF(OR(MonteCarlo!$B$4="C",MonteCarlo!$B$4="c"),_xlfn.NORM.S.DIST((LN(X$1 / MonteCarlo!$B$5) + (MonteCarlo!$B$9 + MonteCarlo!$B$7 ^ 2 / 2) *$A21) / (MonteCarlo!$B$7 * SQRT($A21)),TRUE),_xlfn.NORM.S.DIST((LN(X$1 / MonteCarlo!$B$5) + (MonteCarlo!$B$9 - MonteCarlo!$B$7 ^ 2 / 2) *$A21) / (MonteCarlo!$B$7 * SQRT($A21)),TRUE)-1),"")</f>
        <v/>
      </c>
      <c r="Y21" t="str">
        <f>IFERROR(IF(OR(MonteCarlo!$B$4="C",MonteCarlo!$B$4="c"),_xlfn.NORM.S.DIST((LN(Y$1 / MonteCarlo!$B$5) + (MonteCarlo!$B$9 + MonteCarlo!$B$7 ^ 2 / 2) *$A21) / (MonteCarlo!$B$7 * SQRT($A21)),TRUE),_xlfn.NORM.S.DIST((LN(Y$1 / MonteCarlo!$B$5) + (MonteCarlo!$B$9 - MonteCarlo!$B$7 ^ 2 / 2) *$A21) / (MonteCarlo!$B$7 * SQRT($A21)),TRUE)-1),"")</f>
        <v/>
      </c>
      <c r="Z21" t="str">
        <f>IFERROR(IF(OR(MonteCarlo!$B$4="C",MonteCarlo!$B$4="c"),_xlfn.NORM.S.DIST((LN(Z$1 / MonteCarlo!$B$5) + (MonteCarlo!$B$9 + MonteCarlo!$B$7 ^ 2 / 2) *$A21) / (MonteCarlo!$B$7 * SQRT($A21)),TRUE),_xlfn.NORM.S.DIST((LN(Z$1 / MonteCarlo!$B$5) + (MonteCarlo!$B$9 - MonteCarlo!$B$7 ^ 2 / 2) *$A21) / (MonteCarlo!$B$7 * SQRT($A21)),TRUE)-1),"")</f>
        <v/>
      </c>
      <c r="AA21" t="str">
        <f>IFERROR(IF(OR(MonteCarlo!$B$4="C",MonteCarlo!$B$4="c"),_xlfn.NORM.S.DIST((LN(AA$1 / MonteCarlo!$B$5) + (MonteCarlo!$B$9 + MonteCarlo!$B$7 ^ 2 / 2) *$A21) / (MonteCarlo!$B$7 * SQRT($A21)),TRUE),_xlfn.NORM.S.DIST((LN(AA$1 / MonteCarlo!$B$5) + (MonteCarlo!$B$9 - MonteCarlo!$B$7 ^ 2 / 2) *$A21) / (MonteCarlo!$B$7 * SQRT($A21)),TRUE)-1),"")</f>
        <v/>
      </c>
      <c r="AB21" t="str">
        <f>IFERROR(IF(OR(MonteCarlo!$B$4="C",MonteCarlo!$B$4="c"),_xlfn.NORM.S.DIST((LN(AB$1 / MonteCarlo!$B$5) + (MonteCarlo!$B$9 + MonteCarlo!$B$7 ^ 2 / 2) *$A21) / (MonteCarlo!$B$7 * SQRT($A21)),TRUE),_xlfn.NORM.S.DIST((LN(AB$1 / MonteCarlo!$B$5) + (MonteCarlo!$B$9 - MonteCarlo!$B$7 ^ 2 / 2) *$A21) / (MonteCarlo!$B$7 * SQRT($A21)),TRUE)-1),"")</f>
        <v/>
      </c>
      <c r="AC21" t="str">
        <f>IFERROR(IF(OR(MonteCarlo!$B$4="C",MonteCarlo!$B$4="c"),_xlfn.NORM.S.DIST((LN(AC$1 / MonteCarlo!$B$5) + (MonteCarlo!$B$9 + MonteCarlo!$B$7 ^ 2 / 2) *$A21) / (MonteCarlo!$B$7 * SQRT($A21)),TRUE),_xlfn.NORM.S.DIST((LN(AC$1 / MonteCarlo!$B$5) + (MonteCarlo!$B$9 - MonteCarlo!$B$7 ^ 2 / 2) *$A21) / (MonteCarlo!$B$7 * SQRT($A21)),TRUE)-1),"")</f>
        <v/>
      </c>
      <c r="AD21" t="str">
        <f>IFERROR(IF(OR(MonteCarlo!$B$4="C",MonteCarlo!$B$4="c"),_xlfn.NORM.S.DIST((LN(AD$1 / MonteCarlo!$B$5) + (MonteCarlo!$B$9 + MonteCarlo!$B$7 ^ 2 / 2) *$A21) / (MonteCarlo!$B$7 * SQRT($A21)),TRUE),_xlfn.NORM.S.DIST((LN(AD$1 / MonteCarlo!$B$5) + (MonteCarlo!$B$9 - MonteCarlo!$B$7 ^ 2 / 2) *$A21) / (MonteCarlo!$B$7 * SQRT($A21)),TRUE)-1),"")</f>
        <v/>
      </c>
      <c r="AE21" t="str">
        <f>IFERROR(IF(OR(MonteCarlo!$B$4="C",MonteCarlo!$B$4="c"),_xlfn.NORM.S.DIST((LN(AE$1 / MonteCarlo!$B$5) + (MonteCarlo!$B$9 + MonteCarlo!$B$7 ^ 2 / 2) *$A21) / (MonteCarlo!$B$7 * SQRT($A21)),TRUE),_xlfn.NORM.S.DIST((LN(AE$1 / MonteCarlo!$B$5) + (MonteCarlo!$B$9 - MonteCarlo!$B$7 ^ 2 / 2) *$A21) / (MonteCarlo!$B$7 * SQRT($A21)),TRUE)-1),"")</f>
        <v/>
      </c>
      <c r="AF21" t="str">
        <f>IFERROR(IF(OR(MonteCarlo!$B$4="C",MonteCarlo!$B$4="c"),_xlfn.NORM.S.DIST((LN(AF$1 / MonteCarlo!$B$5) + (MonteCarlo!$B$9 + MonteCarlo!$B$7 ^ 2 / 2) *$A21) / (MonteCarlo!$B$7 * SQRT($A21)),TRUE),_xlfn.NORM.S.DIST((LN(AF$1 / MonteCarlo!$B$5) + (MonteCarlo!$B$9 - MonteCarlo!$B$7 ^ 2 / 2) *$A21) / (MonteCarlo!$B$7 * SQRT($A21)),TRUE)-1),"")</f>
        <v/>
      </c>
    </row>
    <row r="22" spans="2:32" x14ac:dyDescent="0.25">
      <c r="B22" t="str">
        <f>IFERROR(IF(OR(MonteCarlo!$B$4="C",MonteCarlo!$B$4="c"),_xlfn.NORM.S.DIST((LN(B$1 / MonteCarlo!$B$5) + (MonteCarlo!$B$9 + MonteCarlo!$B$7 ^ 2 / 2) *$A22) / (MonteCarlo!$B$7 * SQRT($A22)),TRUE),_xlfn.NORM.S.DIST((LN(B$1 / MonteCarlo!$B$5) + (MonteCarlo!$B$9 - MonteCarlo!$B$7 ^ 2 / 2) *$A22) / (MonteCarlo!$B$7 * SQRT($A22)),TRUE)-1),"")</f>
        <v/>
      </c>
      <c r="C22" t="str">
        <f>IFERROR(IF(OR(MonteCarlo!$B$4="C",MonteCarlo!$B$4="c"),_xlfn.NORM.S.DIST((LN(C$1 / MonteCarlo!$B$5) + (MonteCarlo!$B$9 + MonteCarlo!$B$7 ^ 2 / 2) *$A22) / (MonteCarlo!$B$7 * SQRT($A22)),TRUE),_xlfn.NORM.S.DIST((LN(C$1 / MonteCarlo!$B$5) + (MonteCarlo!$B$9 - MonteCarlo!$B$7 ^ 2 / 2) *$A22) / (MonteCarlo!$B$7 * SQRT($A22)),TRUE)-1),"")</f>
        <v/>
      </c>
      <c r="D22" t="str">
        <f>IFERROR(IF(OR(MonteCarlo!$B$4="C",MonteCarlo!$B$4="c"),_xlfn.NORM.S.DIST((LN(D$1 / MonteCarlo!$B$5) + (MonteCarlo!$B$9 + MonteCarlo!$B$7 ^ 2 / 2) *$A22) / (MonteCarlo!$B$7 * SQRT($A22)),TRUE),_xlfn.NORM.S.DIST((LN(D$1 / MonteCarlo!$B$5) + (MonteCarlo!$B$9 - MonteCarlo!$B$7 ^ 2 / 2) *$A22) / (MonteCarlo!$B$7 * SQRT($A22)),TRUE)-1),"")</f>
        <v/>
      </c>
      <c r="E22" t="str">
        <f>IFERROR(IF(OR(MonteCarlo!$B$4="C",MonteCarlo!$B$4="c"),_xlfn.NORM.S.DIST((LN(E$1 / MonteCarlo!$B$5) + (MonteCarlo!$B$9 + MonteCarlo!$B$7 ^ 2 / 2) *$A22) / (MonteCarlo!$B$7 * SQRT($A22)),TRUE),_xlfn.NORM.S.DIST((LN(E$1 / MonteCarlo!$B$5) + (MonteCarlo!$B$9 - MonteCarlo!$B$7 ^ 2 / 2) *$A22) / (MonteCarlo!$B$7 * SQRT($A22)),TRUE)-1),"")</f>
        <v/>
      </c>
      <c r="F22" t="str">
        <f>IFERROR(IF(OR(MonteCarlo!$B$4="C",MonteCarlo!$B$4="c"),_xlfn.NORM.S.DIST((LN(F$1 / MonteCarlo!$B$5) + (MonteCarlo!$B$9 + MonteCarlo!$B$7 ^ 2 / 2) *$A22) / (MonteCarlo!$B$7 * SQRT($A22)),TRUE),_xlfn.NORM.S.DIST((LN(F$1 / MonteCarlo!$B$5) + (MonteCarlo!$B$9 - MonteCarlo!$B$7 ^ 2 / 2) *$A22) / (MonteCarlo!$B$7 * SQRT($A22)),TRUE)-1),"")</f>
        <v/>
      </c>
      <c r="G22" t="str">
        <f>IFERROR(IF(OR(MonteCarlo!$B$4="C",MonteCarlo!$B$4="c"),_xlfn.NORM.S.DIST((LN(G$1 / MonteCarlo!$B$5) + (MonteCarlo!$B$9 + MonteCarlo!$B$7 ^ 2 / 2) *$A22) / (MonteCarlo!$B$7 * SQRT($A22)),TRUE),_xlfn.NORM.S.DIST((LN(G$1 / MonteCarlo!$B$5) + (MonteCarlo!$B$9 - MonteCarlo!$B$7 ^ 2 / 2) *$A22) / (MonteCarlo!$B$7 * SQRT($A22)),TRUE)-1),"")</f>
        <v/>
      </c>
      <c r="H22" t="str">
        <f>IFERROR(IF(OR(MonteCarlo!$B$4="C",MonteCarlo!$B$4="c"),_xlfn.NORM.S.DIST((LN(H$1 / MonteCarlo!$B$5) + (MonteCarlo!$B$9 + MonteCarlo!$B$7 ^ 2 / 2) *$A22) / (MonteCarlo!$B$7 * SQRT($A22)),TRUE),_xlfn.NORM.S.DIST((LN(H$1 / MonteCarlo!$B$5) + (MonteCarlo!$B$9 - MonteCarlo!$B$7 ^ 2 / 2) *$A22) / (MonteCarlo!$B$7 * SQRT($A22)),TRUE)-1),"")</f>
        <v/>
      </c>
      <c r="I22" t="str">
        <f>IFERROR(IF(OR(MonteCarlo!$B$4="C",MonteCarlo!$B$4="c"),_xlfn.NORM.S.DIST((LN(I$1 / MonteCarlo!$B$5) + (MonteCarlo!$B$9 + MonteCarlo!$B$7 ^ 2 / 2) *$A22) / (MonteCarlo!$B$7 * SQRT($A22)),TRUE),_xlfn.NORM.S.DIST((LN(I$1 / MonteCarlo!$B$5) + (MonteCarlo!$B$9 - MonteCarlo!$B$7 ^ 2 / 2) *$A22) / (MonteCarlo!$B$7 * SQRT($A22)),TRUE)-1),"")</f>
        <v/>
      </c>
      <c r="J22" t="str">
        <f>IFERROR(IF(OR(MonteCarlo!$B$4="C",MonteCarlo!$B$4="c"),_xlfn.NORM.S.DIST((LN(J$1 / MonteCarlo!$B$5) + (MonteCarlo!$B$9 + MonteCarlo!$B$7 ^ 2 / 2) *$A22) / (MonteCarlo!$B$7 * SQRT($A22)),TRUE),_xlfn.NORM.S.DIST((LN(J$1 / MonteCarlo!$B$5) + (MonteCarlo!$B$9 - MonteCarlo!$B$7 ^ 2 / 2) *$A22) / (MonteCarlo!$B$7 * SQRT($A22)),TRUE)-1),"")</f>
        <v/>
      </c>
      <c r="K22" t="str">
        <f>IFERROR(IF(OR(MonteCarlo!$B$4="C",MonteCarlo!$B$4="c"),_xlfn.NORM.S.DIST((LN(K$1 / MonteCarlo!$B$5) + (MonteCarlo!$B$9 + MonteCarlo!$B$7 ^ 2 / 2) *$A22) / (MonteCarlo!$B$7 * SQRT($A22)),TRUE),_xlfn.NORM.S.DIST((LN(K$1 / MonteCarlo!$B$5) + (MonteCarlo!$B$9 - MonteCarlo!$B$7 ^ 2 / 2) *$A22) / (MonteCarlo!$B$7 * SQRT($A22)),TRUE)-1),"")</f>
        <v/>
      </c>
      <c r="L22" t="str">
        <f>IFERROR(IF(OR(MonteCarlo!$B$4="C",MonteCarlo!$B$4="c"),_xlfn.NORM.S.DIST((LN(L$1 / MonteCarlo!$B$5) + (MonteCarlo!$B$9 + MonteCarlo!$B$7 ^ 2 / 2) *$A22) / (MonteCarlo!$B$7 * SQRT($A22)),TRUE),_xlfn.NORM.S.DIST((LN(L$1 / MonteCarlo!$B$5) + (MonteCarlo!$B$9 - MonteCarlo!$B$7 ^ 2 / 2) *$A22) / (MonteCarlo!$B$7 * SQRT($A22)),TRUE)-1),"")</f>
        <v/>
      </c>
      <c r="M22" t="str">
        <f>IFERROR(IF(OR(MonteCarlo!$B$4="C",MonteCarlo!$B$4="c"),_xlfn.NORM.S.DIST((LN(M$1 / MonteCarlo!$B$5) + (MonteCarlo!$B$9 + MonteCarlo!$B$7 ^ 2 / 2) *$A22) / (MonteCarlo!$B$7 * SQRT($A22)),TRUE),_xlfn.NORM.S.DIST((LN(M$1 / MonteCarlo!$B$5) + (MonteCarlo!$B$9 - MonteCarlo!$B$7 ^ 2 / 2) *$A22) / (MonteCarlo!$B$7 * SQRT($A22)),TRUE)-1),"")</f>
        <v/>
      </c>
      <c r="N22" t="str">
        <f>IFERROR(IF(OR(MonteCarlo!$B$4="C",MonteCarlo!$B$4="c"),_xlfn.NORM.S.DIST((LN(N$1 / MonteCarlo!$B$5) + (MonteCarlo!$B$9 + MonteCarlo!$B$7 ^ 2 / 2) *$A22) / (MonteCarlo!$B$7 * SQRT($A22)),TRUE),_xlfn.NORM.S.DIST((LN(N$1 / MonteCarlo!$B$5) + (MonteCarlo!$B$9 - MonteCarlo!$B$7 ^ 2 / 2) *$A22) / (MonteCarlo!$B$7 * SQRT($A22)),TRUE)-1),"")</f>
        <v/>
      </c>
      <c r="O22" t="str">
        <f>IFERROR(IF(OR(MonteCarlo!$B$4="C",MonteCarlo!$B$4="c"),_xlfn.NORM.S.DIST((LN(O$1 / MonteCarlo!$B$5) + (MonteCarlo!$B$9 + MonteCarlo!$B$7 ^ 2 / 2) *$A22) / (MonteCarlo!$B$7 * SQRT($A22)),TRUE),_xlfn.NORM.S.DIST((LN(O$1 / MonteCarlo!$B$5) + (MonteCarlo!$B$9 - MonteCarlo!$B$7 ^ 2 / 2) *$A22) / (MonteCarlo!$B$7 * SQRT($A22)),TRUE)-1),"")</f>
        <v/>
      </c>
      <c r="P22" t="str">
        <f>IFERROR(IF(OR(MonteCarlo!$B$4="C",MonteCarlo!$B$4="c"),_xlfn.NORM.S.DIST((LN(P$1 / MonteCarlo!$B$5) + (MonteCarlo!$B$9 + MonteCarlo!$B$7 ^ 2 / 2) *$A22) / (MonteCarlo!$B$7 * SQRT($A22)),TRUE),_xlfn.NORM.S.DIST((LN(P$1 / MonteCarlo!$B$5) + (MonteCarlo!$B$9 - MonteCarlo!$B$7 ^ 2 / 2) *$A22) / (MonteCarlo!$B$7 * SQRT($A22)),TRUE)-1),"")</f>
        <v/>
      </c>
      <c r="Q22" t="str">
        <f>IFERROR(IF(OR(MonteCarlo!$B$4="C",MonteCarlo!$B$4="c"),_xlfn.NORM.S.DIST((LN(Q$1 / MonteCarlo!$B$5) + (MonteCarlo!$B$9 + MonteCarlo!$B$7 ^ 2 / 2) *$A22) / (MonteCarlo!$B$7 * SQRT($A22)),TRUE),_xlfn.NORM.S.DIST((LN(Q$1 / MonteCarlo!$B$5) + (MonteCarlo!$B$9 - MonteCarlo!$B$7 ^ 2 / 2) *$A22) / (MonteCarlo!$B$7 * SQRT($A22)),TRUE)-1),"")</f>
        <v/>
      </c>
      <c r="R22" t="str">
        <f>IFERROR(IF(OR(MonteCarlo!$B$4="C",MonteCarlo!$B$4="c"),_xlfn.NORM.S.DIST((LN(R$1 / MonteCarlo!$B$5) + (MonteCarlo!$B$9 + MonteCarlo!$B$7 ^ 2 / 2) *$A22) / (MonteCarlo!$B$7 * SQRT($A22)),TRUE),_xlfn.NORM.S.DIST((LN(R$1 / MonteCarlo!$B$5) + (MonteCarlo!$B$9 - MonteCarlo!$B$7 ^ 2 / 2) *$A22) / (MonteCarlo!$B$7 * SQRT($A22)),TRUE)-1),"")</f>
        <v/>
      </c>
      <c r="S22" t="str">
        <f>IFERROR(IF(OR(MonteCarlo!$B$4="C",MonteCarlo!$B$4="c"),_xlfn.NORM.S.DIST((LN(S$1 / MonteCarlo!$B$5) + (MonteCarlo!$B$9 + MonteCarlo!$B$7 ^ 2 / 2) *$A22) / (MonteCarlo!$B$7 * SQRT($A22)),TRUE),_xlfn.NORM.S.DIST((LN(S$1 / MonteCarlo!$B$5) + (MonteCarlo!$B$9 - MonteCarlo!$B$7 ^ 2 / 2) *$A22) / (MonteCarlo!$B$7 * SQRT($A22)),TRUE)-1),"")</f>
        <v/>
      </c>
      <c r="T22" t="str">
        <f>IFERROR(IF(OR(MonteCarlo!$B$4="C",MonteCarlo!$B$4="c"),_xlfn.NORM.S.DIST((LN(T$1 / MonteCarlo!$B$5) + (MonteCarlo!$B$9 + MonteCarlo!$B$7 ^ 2 / 2) *$A22) / (MonteCarlo!$B$7 * SQRT($A22)),TRUE),_xlfn.NORM.S.DIST((LN(T$1 / MonteCarlo!$B$5) + (MonteCarlo!$B$9 - MonteCarlo!$B$7 ^ 2 / 2) *$A22) / (MonteCarlo!$B$7 * SQRT($A22)),TRUE)-1),"")</f>
        <v/>
      </c>
      <c r="U22" t="str">
        <f>IFERROR(IF(OR(MonteCarlo!$B$4="C",MonteCarlo!$B$4="c"),_xlfn.NORM.S.DIST((LN(U$1 / MonteCarlo!$B$5) + (MonteCarlo!$B$9 + MonteCarlo!$B$7 ^ 2 / 2) *$A22) / (MonteCarlo!$B$7 * SQRT($A22)),TRUE),_xlfn.NORM.S.DIST((LN(U$1 / MonteCarlo!$B$5) + (MonteCarlo!$B$9 - MonteCarlo!$B$7 ^ 2 / 2) *$A22) / (MonteCarlo!$B$7 * SQRT($A22)),TRUE)-1),"")</f>
        <v/>
      </c>
      <c r="V22" t="str">
        <f>IFERROR(IF(OR(MonteCarlo!$B$4="C",MonteCarlo!$B$4="c"),_xlfn.NORM.S.DIST((LN(V$1 / MonteCarlo!$B$5) + (MonteCarlo!$B$9 + MonteCarlo!$B$7 ^ 2 / 2) *$A22) / (MonteCarlo!$B$7 * SQRT($A22)),TRUE),_xlfn.NORM.S.DIST((LN(V$1 / MonteCarlo!$B$5) + (MonteCarlo!$B$9 - MonteCarlo!$B$7 ^ 2 / 2) *$A22) / (MonteCarlo!$B$7 * SQRT($A22)),TRUE)-1),"")</f>
        <v/>
      </c>
      <c r="W22" t="str">
        <f>IFERROR(IF(OR(MonteCarlo!$B$4="C",MonteCarlo!$B$4="c"),_xlfn.NORM.S.DIST((LN(W$1 / MonteCarlo!$B$5) + (MonteCarlo!$B$9 + MonteCarlo!$B$7 ^ 2 / 2) *$A22) / (MonteCarlo!$B$7 * SQRT($A22)),TRUE),_xlfn.NORM.S.DIST((LN(W$1 / MonteCarlo!$B$5) + (MonteCarlo!$B$9 - MonteCarlo!$B$7 ^ 2 / 2) *$A22) / (MonteCarlo!$B$7 * SQRT($A22)),TRUE)-1),"")</f>
        <v/>
      </c>
      <c r="X22" t="str">
        <f>IFERROR(IF(OR(MonteCarlo!$B$4="C",MonteCarlo!$B$4="c"),_xlfn.NORM.S.DIST((LN(X$1 / MonteCarlo!$B$5) + (MonteCarlo!$B$9 + MonteCarlo!$B$7 ^ 2 / 2) *$A22) / (MonteCarlo!$B$7 * SQRT($A22)),TRUE),_xlfn.NORM.S.DIST((LN(X$1 / MonteCarlo!$B$5) + (MonteCarlo!$B$9 - MonteCarlo!$B$7 ^ 2 / 2) *$A22) / (MonteCarlo!$B$7 * SQRT($A22)),TRUE)-1),"")</f>
        <v/>
      </c>
      <c r="Y22" t="str">
        <f>IFERROR(IF(OR(MonteCarlo!$B$4="C",MonteCarlo!$B$4="c"),_xlfn.NORM.S.DIST((LN(Y$1 / MonteCarlo!$B$5) + (MonteCarlo!$B$9 + MonteCarlo!$B$7 ^ 2 / 2) *$A22) / (MonteCarlo!$B$7 * SQRT($A22)),TRUE),_xlfn.NORM.S.DIST((LN(Y$1 / MonteCarlo!$B$5) + (MonteCarlo!$B$9 - MonteCarlo!$B$7 ^ 2 / 2) *$A22) / (MonteCarlo!$B$7 * SQRT($A22)),TRUE)-1),"")</f>
        <v/>
      </c>
      <c r="Z22" t="str">
        <f>IFERROR(IF(OR(MonteCarlo!$B$4="C",MonteCarlo!$B$4="c"),_xlfn.NORM.S.DIST((LN(Z$1 / MonteCarlo!$B$5) + (MonteCarlo!$B$9 + MonteCarlo!$B$7 ^ 2 / 2) *$A22) / (MonteCarlo!$B$7 * SQRT($A22)),TRUE),_xlfn.NORM.S.DIST((LN(Z$1 / MonteCarlo!$B$5) + (MonteCarlo!$B$9 - MonteCarlo!$B$7 ^ 2 / 2) *$A22) / (MonteCarlo!$B$7 * SQRT($A22)),TRUE)-1),"")</f>
        <v/>
      </c>
      <c r="AA22" t="str">
        <f>IFERROR(IF(OR(MonteCarlo!$B$4="C",MonteCarlo!$B$4="c"),_xlfn.NORM.S.DIST((LN(AA$1 / MonteCarlo!$B$5) + (MonteCarlo!$B$9 + MonteCarlo!$B$7 ^ 2 / 2) *$A22) / (MonteCarlo!$B$7 * SQRT($A22)),TRUE),_xlfn.NORM.S.DIST((LN(AA$1 / MonteCarlo!$B$5) + (MonteCarlo!$B$9 - MonteCarlo!$B$7 ^ 2 / 2) *$A22) / (MonteCarlo!$B$7 * SQRT($A22)),TRUE)-1),"")</f>
        <v/>
      </c>
      <c r="AB22" t="str">
        <f>IFERROR(IF(OR(MonteCarlo!$B$4="C",MonteCarlo!$B$4="c"),_xlfn.NORM.S.DIST((LN(AB$1 / MonteCarlo!$B$5) + (MonteCarlo!$B$9 + MonteCarlo!$B$7 ^ 2 / 2) *$A22) / (MonteCarlo!$B$7 * SQRT($A22)),TRUE),_xlfn.NORM.S.DIST((LN(AB$1 / MonteCarlo!$B$5) + (MonteCarlo!$B$9 - MonteCarlo!$B$7 ^ 2 / 2) *$A22) / (MonteCarlo!$B$7 * SQRT($A22)),TRUE)-1),"")</f>
        <v/>
      </c>
      <c r="AC22" t="str">
        <f>IFERROR(IF(OR(MonteCarlo!$B$4="C",MonteCarlo!$B$4="c"),_xlfn.NORM.S.DIST((LN(AC$1 / MonteCarlo!$B$5) + (MonteCarlo!$B$9 + MonteCarlo!$B$7 ^ 2 / 2) *$A22) / (MonteCarlo!$B$7 * SQRT($A22)),TRUE),_xlfn.NORM.S.DIST((LN(AC$1 / MonteCarlo!$B$5) + (MonteCarlo!$B$9 - MonteCarlo!$B$7 ^ 2 / 2) *$A22) / (MonteCarlo!$B$7 * SQRT($A22)),TRUE)-1),"")</f>
        <v/>
      </c>
      <c r="AD22" t="str">
        <f>IFERROR(IF(OR(MonteCarlo!$B$4="C",MonteCarlo!$B$4="c"),_xlfn.NORM.S.DIST((LN(AD$1 / MonteCarlo!$B$5) + (MonteCarlo!$B$9 + MonteCarlo!$B$7 ^ 2 / 2) *$A22) / (MonteCarlo!$B$7 * SQRT($A22)),TRUE),_xlfn.NORM.S.DIST((LN(AD$1 / MonteCarlo!$B$5) + (MonteCarlo!$B$9 - MonteCarlo!$B$7 ^ 2 / 2) *$A22) / (MonteCarlo!$B$7 * SQRT($A22)),TRUE)-1),"")</f>
        <v/>
      </c>
      <c r="AE22" t="str">
        <f>IFERROR(IF(OR(MonteCarlo!$B$4="C",MonteCarlo!$B$4="c"),_xlfn.NORM.S.DIST((LN(AE$1 / MonteCarlo!$B$5) + (MonteCarlo!$B$9 + MonteCarlo!$B$7 ^ 2 / 2) *$A22) / (MonteCarlo!$B$7 * SQRT($A22)),TRUE),_xlfn.NORM.S.DIST((LN(AE$1 / MonteCarlo!$B$5) + (MonteCarlo!$B$9 - MonteCarlo!$B$7 ^ 2 / 2) *$A22) / (MonteCarlo!$B$7 * SQRT($A22)),TRUE)-1),"")</f>
        <v/>
      </c>
      <c r="AF22" t="str">
        <f>IFERROR(IF(OR(MonteCarlo!$B$4="C",MonteCarlo!$B$4="c"),_xlfn.NORM.S.DIST((LN(AF$1 / MonteCarlo!$B$5) + (MonteCarlo!$B$9 + MonteCarlo!$B$7 ^ 2 / 2) *$A22) / (MonteCarlo!$B$7 * SQRT($A22)),TRUE),_xlfn.NORM.S.DIST((LN(AF$1 / MonteCarlo!$B$5) + (MonteCarlo!$B$9 - MonteCarlo!$B$7 ^ 2 / 2) *$A22) / (MonteCarlo!$B$7 * SQRT($A22)),TRUE)-1),"")</f>
        <v/>
      </c>
    </row>
    <row r="23" spans="2:32" x14ac:dyDescent="0.25">
      <c r="B23" t="str">
        <f>IFERROR(IF(OR(MonteCarlo!$B$4="C",MonteCarlo!$B$4="c"),_xlfn.NORM.S.DIST((LN(B$1 / MonteCarlo!$B$5) + (MonteCarlo!$B$9 + MonteCarlo!$B$7 ^ 2 / 2) *$A23) / (MonteCarlo!$B$7 * SQRT($A23)),TRUE),_xlfn.NORM.S.DIST((LN(B$1 / MonteCarlo!$B$5) + (MonteCarlo!$B$9 - MonteCarlo!$B$7 ^ 2 / 2) *$A23) / (MonteCarlo!$B$7 * SQRT($A23)),TRUE)-1),"")</f>
        <v/>
      </c>
      <c r="C23" t="str">
        <f>IFERROR(IF(OR(MonteCarlo!$B$4="C",MonteCarlo!$B$4="c"),_xlfn.NORM.S.DIST((LN(C$1 / MonteCarlo!$B$5) + (MonteCarlo!$B$9 + MonteCarlo!$B$7 ^ 2 / 2) *$A23) / (MonteCarlo!$B$7 * SQRT($A23)),TRUE),_xlfn.NORM.S.DIST((LN(C$1 / MonteCarlo!$B$5) + (MonteCarlo!$B$9 - MonteCarlo!$B$7 ^ 2 / 2) *$A23) / (MonteCarlo!$B$7 * SQRT($A23)),TRUE)-1),"")</f>
        <v/>
      </c>
      <c r="D23" t="str">
        <f>IFERROR(IF(OR(MonteCarlo!$B$4="C",MonteCarlo!$B$4="c"),_xlfn.NORM.S.DIST((LN(D$1 / MonteCarlo!$B$5) + (MonteCarlo!$B$9 + MonteCarlo!$B$7 ^ 2 / 2) *$A23) / (MonteCarlo!$B$7 * SQRT($A23)),TRUE),_xlfn.NORM.S.DIST((LN(D$1 / MonteCarlo!$B$5) + (MonteCarlo!$B$9 - MonteCarlo!$B$7 ^ 2 / 2) *$A23) / (MonteCarlo!$B$7 * SQRT($A23)),TRUE)-1),"")</f>
        <v/>
      </c>
      <c r="E23" t="str">
        <f>IFERROR(IF(OR(MonteCarlo!$B$4="C",MonteCarlo!$B$4="c"),_xlfn.NORM.S.DIST((LN(E$1 / MonteCarlo!$B$5) + (MonteCarlo!$B$9 + MonteCarlo!$B$7 ^ 2 / 2) *$A23) / (MonteCarlo!$B$7 * SQRT($A23)),TRUE),_xlfn.NORM.S.DIST((LN(E$1 / MonteCarlo!$B$5) + (MonteCarlo!$B$9 - MonteCarlo!$B$7 ^ 2 / 2) *$A23) / (MonteCarlo!$B$7 * SQRT($A23)),TRUE)-1),"")</f>
        <v/>
      </c>
      <c r="F23" t="str">
        <f>IFERROR(IF(OR(MonteCarlo!$B$4="C",MonteCarlo!$B$4="c"),_xlfn.NORM.S.DIST((LN(F$1 / MonteCarlo!$B$5) + (MonteCarlo!$B$9 + MonteCarlo!$B$7 ^ 2 / 2) *$A23) / (MonteCarlo!$B$7 * SQRT($A23)),TRUE),_xlfn.NORM.S.DIST((LN(F$1 / MonteCarlo!$B$5) + (MonteCarlo!$B$9 - MonteCarlo!$B$7 ^ 2 / 2) *$A23) / (MonteCarlo!$B$7 * SQRT($A23)),TRUE)-1),"")</f>
        <v/>
      </c>
      <c r="G23" t="str">
        <f>IFERROR(IF(OR(MonteCarlo!$B$4="C",MonteCarlo!$B$4="c"),_xlfn.NORM.S.DIST((LN(G$1 / MonteCarlo!$B$5) + (MonteCarlo!$B$9 + MonteCarlo!$B$7 ^ 2 / 2) *$A23) / (MonteCarlo!$B$7 * SQRT($A23)),TRUE),_xlfn.NORM.S.DIST((LN(G$1 / MonteCarlo!$B$5) + (MonteCarlo!$B$9 - MonteCarlo!$B$7 ^ 2 / 2) *$A23) / (MonteCarlo!$B$7 * SQRT($A23)),TRUE)-1),"")</f>
        <v/>
      </c>
      <c r="H23" t="str">
        <f>IFERROR(IF(OR(MonteCarlo!$B$4="C",MonteCarlo!$B$4="c"),_xlfn.NORM.S.DIST((LN(H$1 / MonteCarlo!$B$5) + (MonteCarlo!$B$9 + MonteCarlo!$B$7 ^ 2 / 2) *$A23) / (MonteCarlo!$B$7 * SQRT($A23)),TRUE),_xlfn.NORM.S.DIST((LN(H$1 / MonteCarlo!$B$5) + (MonteCarlo!$B$9 - MonteCarlo!$B$7 ^ 2 / 2) *$A23) / (MonteCarlo!$B$7 * SQRT($A23)),TRUE)-1),"")</f>
        <v/>
      </c>
      <c r="I23" t="str">
        <f>IFERROR(IF(OR(MonteCarlo!$B$4="C",MonteCarlo!$B$4="c"),_xlfn.NORM.S.DIST((LN(I$1 / MonteCarlo!$B$5) + (MonteCarlo!$B$9 + MonteCarlo!$B$7 ^ 2 / 2) *$A23) / (MonteCarlo!$B$7 * SQRT($A23)),TRUE),_xlfn.NORM.S.DIST((LN(I$1 / MonteCarlo!$B$5) + (MonteCarlo!$B$9 - MonteCarlo!$B$7 ^ 2 / 2) *$A23) / (MonteCarlo!$B$7 * SQRT($A23)),TRUE)-1),"")</f>
        <v/>
      </c>
      <c r="J23" t="str">
        <f>IFERROR(IF(OR(MonteCarlo!$B$4="C",MonteCarlo!$B$4="c"),_xlfn.NORM.S.DIST((LN(J$1 / MonteCarlo!$B$5) + (MonteCarlo!$B$9 + MonteCarlo!$B$7 ^ 2 / 2) *$A23) / (MonteCarlo!$B$7 * SQRT($A23)),TRUE),_xlfn.NORM.S.DIST((LN(J$1 / MonteCarlo!$B$5) + (MonteCarlo!$B$9 - MonteCarlo!$B$7 ^ 2 / 2) *$A23) / (MonteCarlo!$B$7 * SQRT($A23)),TRUE)-1),"")</f>
        <v/>
      </c>
      <c r="K23" t="str">
        <f>IFERROR(IF(OR(MonteCarlo!$B$4="C",MonteCarlo!$B$4="c"),_xlfn.NORM.S.DIST((LN(K$1 / MonteCarlo!$B$5) + (MonteCarlo!$B$9 + MonteCarlo!$B$7 ^ 2 / 2) *$A23) / (MonteCarlo!$B$7 * SQRT($A23)),TRUE),_xlfn.NORM.S.DIST((LN(K$1 / MonteCarlo!$B$5) + (MonteCarlo!$B$9 - MonteCarlo!$B$7 ^ 2 / 2) *$A23) / (MonteCarlo!$B$7 * SQRT($A23)),TRUE)-1),"")</f>
        <v/>
      </c>
      <c r="L23" t="str">
        <f>IFERROR(IF(OR(MonteCarlo!$B$4="C",MonteCarlo!$B$4="c"),_xlfn.NORM.S.DIST((LN(L$1 / MonteCarlo!$B$5) + (MonteCarlo!$B$9 + MonteCarlo!$B$7 ^ 2 / 2) *$A23) / (MonteCarlo!$B$7 * SQRT($A23)),TRUE),_xlfn.NORM.S.DIST((LN(L$1 / MonteCarlo!$B$5) + (MonteCarlo!$B$9 - MonteCarlo!$B$7 ^ 2 / 2) *$A23) / (MonteCarlo!$B$7 * SQRT($A23)),TRUE)-1),"")</f>
        <v/>
      </c>
      <c r="M23" t="str">
        <f>IFERROR(IF(OR(MonteCarlo!$B$4="C",MonteCarlo!$B$4="c"),_xlfn.NORM.S.DIST((LN(M$1 / MonteCarlo!$B$5) + (MonteCarlo!$B$9 + MonteCarlo!$B$7 ^ 2 / 2) *$A23) / (MonteCarlo!$B$7 * SQRT($A23)),TRUE),_xlfn.NORM.S.DIST((LN(M$1 / MonteCarlo!$B$5) + (MonteCarlo!$B$9 - MonteCarlo!$B$7 ^ 2 / 2) *$A23) / (MonteCarlo!$B$7 * SQRT($A23)),TRUE)-1),"")</f>
        <v/>
      </c>
      <c r="N23" t="str">
        <f>IFERROR(IF(OR(MonteCarlo!$B$4="C",MonteCarlo!$B$4="c"),_xlfn.NORM.S.DIST((LN(N$1 / MonteCarlo!$B$5) + (MonteCarlo!$B$9 + MonteCarlo!$B$7 ^ 2 / 2) *$A23) / (MonteCarlo!$B$7 * SQRT($A23)),TRUE),_xlfn.NORM.S.DIST((LN(N$1 / MonteCarlo!$B$5) + (MonteCarlo!$B$9 - MonteCarlo!$B$7 ^ 2 / 2) *$A23) / (MonteCarlo!$B$7 * SQRT($A23)),TRUE)-1),"")</f>
        <v/>
      </c>
      <c r="O23" t="str">
        <f>IFERROR(IF(OR(MonteCarlo!$B$4="C",MonteCarlo!$B$4="c"),_xlfn.NORM.S.DIST((LN(O$1 / MonteCarlo!$B$5) + (MonteCarlo!$B$9 + MonteCarlo!$B$7 ^ 2 / 2) *$A23) / (MonteCarlo!$B$7 * SQRT($A23)),TRUE),_xlfn.NORM.S.DIST((LN(O$1 / MonteCarlo!$B$5) + (MonteCarlo!$B$9 - MonteCarlo!$B$7 ^ 2 / 2) *$A23) / (MonteCarlo!$B$7 * SQRT($A23)),TRUE)-1),"")</f>
        <v/>
      </c>
      <c r="P23" t="str">
        <f>IFERROR(IF(OR(MonteCarlo!$B$4="C",MonteCarlo!$B$4="c"),_xlfn.NORM.S.DIST((LN(P$1 / MonteCarlo!$B$5) + (MonteCarlo!$B$9 + MonteCarlo!$B$7 ^ 2 / 2) *$A23) / (MonteCarlo!$B$7 * SQRT($A23)),TRUE),_xlfn.NORM.S.DIST((LN(P$1 / MonteCarlo!$B$5) + (MonteCarlo!$B$9 - MonteCarlo!$B$7 ^ 2 / 2) *$A23) / (MonteCarlo!$B$7 * SQRT($A23)),TRUE)-1),"")</f>
        <v/>
      </c>
      <c r="Q23" t="str">
        <f>IFERROR(IF(OR(MonteCarlo!$B$4="C",MonteCarlo!$B$4="c"),_xlfn.NORM.S.DIST((LN(Q$1 / MonteCarlo!$B$5) + (MonteCarlo!$B$9 + MonteCarlo!$B$7 ^ 2 / 2) *$A23) / (MonteCarlo!$B$7 * SQRT($A23)),TRUE),_xlfn.NORM.S.DIST((LN(Q$1 / MonteCarlo!$B$5) + (MonteCarlo!$B$9 - MonteCarlo!$B$7 ^ 2 / 2) *$A23) / (MonteCarlo!$B$7 * SQRT($A23)),TRUE)-1),"")</f>
        <v/>
      </c>
      <c r="R23" t="str">
        <f>IFERROR(IF(OR(MonteCarlo!$B$4="C",MonteCarlo!$B$4="c"),_xlfn.NORM.S.DIST((LN(R$1 / MonteCarlo!$B$5) + (MonteCarlo!$B$9 + MonteCarlo!$B$7 ^ 2 / 2) *$A23) / (MonteCarlo!$B$7 * SQRT($A23)),TRUE),_xlfn.NORM.S.DIST((LN(R$1 / MonteCarlo!$B$5) + (MonteCarlo!$B$9 - MonteCarlo!$B$7 ^ 2 / 2) *$A23) / (MonteCarlo!$B$7 * SQRT($A23)),TRUE)-1),"")</f>
        <v/>
      </c>
      <c r="S23" t="str">
        <f>IFERROR(IF(OR(MonteCarlo!$B$4="C",MonteCarlo!$B$4="c"),_xlfn.NORM.S.DIST((LN(S$1 / MonteCarlo!$B$5) + (MonteCarlo!$B$9 + MonteCarlo!$B$7 ^ 2 / 2) *$A23) / (MonteCarlo!$B$7 * SQRT($A23)),TRUE),_xlfn.NORM.S.DIST((LN(S$1 / MonteCarlo!$B$5) + (MonteCarlo!$B$9 - MonteCarlo!$B$7 ^ 2 / 2) *$A23) / (MonteCarlo!$B$7 * SQRT($A23)),TRUE)-1),"")</f>
        <v/>
      </c>
      <c r="T23" t="str">
        <f>IFERROR(IF(OR(MonteCarlo!$B$4="C",MonteCarlo!$B$4="c"),_xlfn.NORM.S.DIST((LN(T$1 / MonteCarlo!$B$5) + (MonteCarlo!$B$9 + MonteCarlo!$B$7 ^ 2 / 2) *$A23) / (MonteCarlo!$B$7 * SQRT($A23)),TRUE),_xlfn.NORM.S.DIST((LN(T$1 / MonteCarlo!$B$5) + (MonteCarlo!$B$9 - MonteCarlo!$B$7 ^ 2 / 2) *$A23) / (MonteCarlo!$B$7 * SQRT($A23)),TRUE)-1),"")</f>
        <v/>
      </c>
      <c r="U23" t="str">
        <f>IFERROR(IF(OR(MonteCarlo!$B$4="C",MonteCarlo!$B$4="c"),_xlfn.NORM.S.DIST((LN(U$1 / MonteCarlo!$B$5) + (MonteCarlo!$B$9 + MonteCarlo!$B$7 ^ 2 / 2) *$A23) / (MonteCarlo!$B$7 * SQRT($A23)),TRUE),_xlfn.NORM.S.DIST((LN(U$1 / MonteCarlo!$B$5) + (MonteCarlo!$B$9 - MonteCarlo!$B$7 ^ 2 / 2) *$A23) / (MonteCarlo!$B$7 * SQRT($A23)),TRUE)-1),"")</f>
        <v/>
      </c>
      <c r="V23" t="str">
        <f>IFERROR(IF(OR(MonteCarlo!$B$4="C",MonteCarlo!$B$4="c"),_xlfn.NORM.S.DIST((LN(V$1 / MonteCarlo!$B$5) + (MonteCarlo!$B$9 + MonteCarlo!$B$7 ^ 2 / 2) *$A23) / (MonteCarlo!$B$7 * SQRT($A23)),TRUE),_xlfn.NORM.S.DIST((LN(V$1 / MonteCarlo!$B$5) + (MonteCarlo!$B$9 - MonteCarlo!$B$7 ^ 2 / 2) *$A23) / (MonteCarlo!$B$7 * SQRT($A23)),TRUE)-1),"")</f>
        <v/>
      </c>
      <c r="W23" t="str">
        <f>IFERROR(IF(OR(MonteCarlo!$B$4="C",MonteCarlo!$B$4="c"),_xlfn.NORM.S.DIST((LN(W$1 / MonteCarlo!$B$5) + (MonteCarlo!$B$9 + MonteCarlo!$B$7 ^ 2 / 2) *$A23) / (MonteCarlo!$B$7 * SQRT($A23)),TRUE),_xlfn.NORM.S.DIST((LN(W$1 / MonteCarlo!$B$5) + (MonteCarlo!$B$9 - MonteCarlo!$B$7 ^ 2 / 2) *$A23) / (MonteCarlo!$B$7 * SQRT($A23)),TRUE)-1),"")</f>
        <v/>
      </c>
      <c r="X23" t="str">
        <f>IFERROR(IF(OR(MonteCarlo!$B$4="C",MonteCarlo!$B$4="c"),_xlfn.NORM.S.DIST((LN(X$1 / MonteCarlo!$B$5) + (MonteCarlo!$B$9 + MonteCarlo!$B$7 ^ 2 / 2) *$A23) / (MonteCarlo!$B$7 * SQRT($A23)),TRUE),_xlfn.NORM.S.DIST((LN(X$1 / MonteCarlo!$B$5) + (MonteCarlo!$B$9 - MonteCarlo!$B$7 ^ 2 / 2) *$A23) / (MonteCarlo!$B$7 * SQRT($A23)),TRUE)-1),"")</f>
        <v/>
      </c>
      <c r="Y23" t="str">
        <f>IFERROR(IF(OR(MonteCarlo!$B$4="C",MonteCarlo!$B$4="c"),_xlfn.NORM.S.DIST((LN(Y$1 / MonteCarlo!$B$5) + (MonteCarlo!$B$9 + MonteCarlo!$B$7 ^ 2 / 2) *$A23) / (MonteCarlo!$B$7 * SQRT($A23)),TRUE),_xlfn.NORM.S.DIST((LN(Y$1 / MonteCarlo!$B$5) + (MonteCarlo!$B$9 - MonteCarlo!$B$7 ^ 2 / 2) *$A23) / (MonteCarlo!$B$7 * SQRT($A23)),TRUE)-1),"")</f>
        <v/>
      </c>
      <c r="Z23" t="str">
        <f>IFERROR(IF(OR(MonteCarlo!$B$4="C",MonteCarlo!$B$4="c"),_xlfn.NORM.S.DIST((LN(Z$1 / MonteCarlo!$B$5) + (MonteCarlo!$B$9 + MonteCarlo!$B$7 ^ 2 / 2) *$A23) / (MonteCarlo!$B$7 * SQRT($A23)),TRUE),_xlfn.NORM.S.DIST((LN(Z$1 / MonteCarlo!$B$5) + (MonteCarlo!$B$9 - MonteCarlo!$B$7 ^ 2 / 2) *$A23) / (MonteCarlo!$B$7 * SQRT($A23)),TRUE)-1),"")</f>
        <v/>
      </c>
      <c r="AA23" t="str">
        <f>IFERROR(IF(OR(MonteCarlo!$B$4="C",MonteCarlo!$B$4="c"),_xlfn.NORM.S.DIST((LN(AA$1 / MonteCarlo!$B$5) + (MonteCarlo!$B$9 + MonteCarlo!$B$7 ^ 2 / 2) *$A23) / (MonteCarlo!$B$7 * SQRT($A23)),TRUE),_xlfn.NORM.S.DIST((LN(AA$1 / MonteCarlo!$B$5) + (MonteCarlo!$B$9 - MonteCarlo!$B$7 ^ 2 / 2) *$A23) / (MonteCarlo!$B$7 * SQRT($A23)),TRUE)-1),"")</f>
        <v/>
      </c>
      <c r="AB23" t="str">
        <f>IFERROR(IF(OR(MonteCarlo!$B$4="C",MonteCarlo!$B$4="c"),_xlfn.NORM.S.DIST((LN(AB$1 / MonteCarlo!$B$5) + (MonteCarlo!$B$9 + MonteCarlo!$B$7 ^ 2 / 2) *$A23) / (MonteCarlo!$B$7 * SQRT($A23)),TRUE),_xlfn.NORM.S.DIST((LN(AB$1 / MonteCarlo!$B$5) + (MonteCarlo!$B$9 - MonteCarlo!$B$7 ^ 2 / 2) *$A23) / (MonteCarlo!$B$7 * SQRT($A23)),TRUE)-1),"")</f>
        <v/>
      </c>
      <c r="AC23" t="str">
        <f>IFERROR(IF(OR(MonteCarlo!$B$4="C",MonteCarlo!$B$4="c"),_xlfn.NORM.S.DIST((LN(AC$1 / MonteCarlo!$B$5) + (MonteCarlo!$B$9 + MonteCarlo!$B$7 ^ 2 / 2) *$A23) / (MonteCarlo!$B$7 * SQRT($A23)),TRUE),_xlfn.NORM.S.DIST((LN(AC$1 / MonteCarlo!$B$5) + (MonteCarlo!$B$9 - MonteCarlo!$B$7 ^ 2 / 2) *$A23) / (MonteCarlo!$B$7 * SQRT($A23)),TRUE)-1),"")</f>
        <v/>
      </c>
      <c r="AD23" t="str">
        <f>IFERROR(IF(OR(MonteCarlo!$B$4="C",MonteCarlo!$B$4="c"),_xlfn.NORM.S.DIST((LN(AD$1 / MonteCarlo!$B$5) + (MonteCarlo!$B$9 + MonteCarlo!$B$7 ^ 2 / 2) *$A23) / (MonteCarlo!$B$7 * SQRT($A23)),TRUE),_xlfn.NORM.S.DIST((LN(AD$1 / MonteCarlo!$B$5) + (MonteCarlo!$B$9 - MonteCarlo!$B$7 ^ 2 / 2) *$A23) / (MonteCarlo!$B$7 * SQRT($A23)),TRUE)-1),"")</f>
        <v/>
      </c>
      <c r="AE23" t="str">
        <f>IFERROR(IF(OR(MonteCarlo!$B$4="C",MonteCarlo!$B$4="c"),_xlfn.NORM.S.DIST((LN(AE$1 / MonteCarlo!$B$5) + (MonteCarlo!$B$9 + MonteCarlo!$B$7 ^ 2 / 2) *$A23) / (MonteCarlo!$B$7 * SQRT($A23)),TRUE),_xlfn.NORM.S.DIST((LN(AE$1 / MonteCarlo!$B$5) + (MonteCarlo!$B$9 - MonteCarlo!$B$7 ^ 2 / 2) *$A23) / (MonteCarlo!$B$7 * SQRT($A23)),TRUE)-1),"")</f>
        <v/>
      </c>
      <c r="AF23" t="str">
        <f>IFERROR(IF(OR(MonteCarlo!$B$4="C",MonteCarlo!$B$4="c"),_xlfn.NORM.S.DIST((LN(AF$1 / MonteCarlo!$B$5) + (MonteCarlo!$B$9 + MonteCarlo!$B$7 ^ 2 / 2) *$A23) / (MonteCarlo!$B$7 * SQRT($A23)),TRUE),_xlfn.NORM.S.DIST((LN(AF$1 / MonteCarlo!$B$5) + (MonteCarlo!$B$9 - MonteCarlo!$B$7 ^ 2 / 2) *$A23) / (MonteCarlo!$B$7 * SQRT($A23)),TRUE)-1),"")</f>
        <v/>
      </c>
    </row>
    <row r="24" spans="2:32" x14ac:dyDescent="0.25">
      <c r="B24" t="str">
        <f>IFERROR(IF(OR(MonteCarlo!$B$4="C",MonteCarlo!$B$4="c"),_xlfn.NORM.S.DIST((LN(B$1 / MonteCarlo!$B$5) + (MonteCarlo!$B$9 + MonteCarlo!$B$7 ^ 2 / 2) *$A24) / (MonteCarlo!$B$7 * SQRT($A24)),TRUE),_xlfn.NORM.S.DIST((LN(B$1 / MonteCarlo!$B$5) + (MonteCarlo!$B$9 - MonteCarlo!$B$7 ^ 2 / 2) *$A24) / (MonteCarlo!$B$7 * SQRT($A24)),TRUE)-1),"")</f>
        <v/>
      </c>
      <c r="C24" t="str">
        <f>IFERROR(IF(OR(MonteCarlo!$B$4="C",MonteCarlo!$B$4="c"),_xlfn.NORM.S.DIST((LN(C$1 / MonteCarlo!$B$5) + (MonteCarlo!$B$9 + MonteCarlo!$B$7 ^ 2 / 2) *$A24) / (MonteCarlo!$B$7 * SQRT($A24)),TRUE),_xlfn.NORM.S.DIST((LN(C$1 / MonteCarlo!$B$5) + (MonteCarlo!$B$9 - MonteCarlo!$B$7 ^ 2 / 2) *$A24) / (MonteCarlo!$B$7 * SQRT($A24)),TRUE)-1),"")</f>
        <v/>
      </c>
      <c r="D24" t="str">
        <f>IFERROR(IF(OR(MonteCarlo!$B$4="C",MonteCarlo!$B$4="c"),_xlfn.NORM.S.DIST((LN(D$1 / MonteCarlo!$B$5) + (MonteCarlo!$B$9 + MonteCarlo!$B$7 ^ 2 / 2) *$A24) / (MonteCarlo!$B$7 * SQRT($A24)),TRUE),_xlfn.NORM.S.DIST((LN(D$1 / MonteCarlo!$B$5) + (MonteCarlo!$B$9 - MonteCarlo!$B$7 ^ 2 / 2) *$A24) / (MonteCarlo!$B$7 * SQRT($A24)),TRUE)-1),"")</f>
        <v/>
      </c>
      <c r="E24" t="str">
        <f>IFERROR(IF(OR(MonteCarlo!$B$4="C",MonteCarlo!$B$4="c"),_xlfn.NORM.S.DIST((LN(E$1 / MonteCarlo!$B$5) + (MonteCarlo!$B$9 + MonteCarlo!$B$7 ^ 2 / 2) *$A24) / (MonteCarlo!$B$7 * SQRT($A24)),TRUE),_xlfn.NORM.S.DIST((LN(E$1 / MonteCarlo!$B$5) + (MonteCarlo!$B$9 - MonteCarlo!$B$7 ^ 2 / 2) *$A24) / (MonteCarlo!$B$7 * SQRT($A24)),TRUE)-1),"")</f>
        <v/>
      </c>
      <c r="F24" t="str">
        <f>IFERROR(IF(OR(MonteCarlo!$B$4="C",MonteCarlo!$B$4="c"),_xlfn.NORM.S.DIST((LN(F$1 / MonteCarlo!$B$5) + (MonteCarlo!$B$9 + MonteCarlo!$B$7 ^ 2 / 2) *$A24) / (MonteCarlo!$B$7 * SQRT($A24)),TRUE),_xlfn.NORM.S.DIST((LN(F$1 / MonteCarlo!$B$5) + (MonteCarlo!$B$9 - MonteCarlo!$B$7 ^ 2 / 2) *$A24) / (MonteCarlo!$B$7 * SQRT($A24)),TRUE)-1),"")</f>
        <v/>
      </c>
      <c r="G24" t="str">
        <f>IFERROR(IF(OR(MonteCarlo!$B$4="C",MonteCarlo!$B$4="c"),_xlfn.NORM.S.DIST((LN(G$1 / MonteCarlo!$B$5) + (MonteCarlo!$B$9 + MonteCarlo!$B$7 ^ 2 / 2) *$A24) / (MonteCarlo!$B$7 * SQRT($A24)),TRUE),_xlfn.NORM.S.DIST((LN(G$1 / MonteCarlo!$B$5) + (MonteCarlo!$B$9 - MonteCarlo!$B$7 ^ 2 / 2) *$A24) / (MonteCarlo!$B$7 * SQRT($A24)),TRUE)-1),"")</f>
        <v/>
      </c>
      <c r="H24" t="str">
        <f>IFERROR(IF(OR(MonteCarlo!$B$4="C",MonteCarlo!$B$4="c"),_xlfn.NORM.S.DIST((LN(H$1 / MonteCarlo!$B$5) + (MonteCarlo!$B$9 + MonteCarlo!$B$7 ^ 2 / 2) *$A24) / (MonteCarlo!$B$7 * SQRT($A24)),TRUE),_xlfn.NORM.S.DIST((LN(H$1 / MonteCarlo!$B$5) + (MonteCarlo!$B$9 - MonteCarlo!$B$7 ^ 2 / 2) *$A24) / (MonteCarlo!$B$7 * SQRT($A24)),TRUE)-1),"")</f>
        <v/>
      </c>
      <c r="I24" t="str">
        <f>IFERROR(IF(OR(MonteCarlo!$B$4="C",MonteCarlo!$B$4="c"),_xlfn.NORM.S.DIST((LN(I$1 / MonteCarlo!$B$5) + (MonteCarlo!$B$9 + MonteCarlo!$B$7 ^ 2 / 2) *$A24) / (MonteCarlo!$B$7 * SQRT($A24)),TRUE),_xlfn.NORM.S.DIST((LN(I$1 / MonteCarlo!$B$5) + (MonteCarlo!$B$9 - MonteCarlo!$B$7 ^ 2 / 2) *$A24) / (MonteCarlo!$B$7 * SQRT($A24)),TRUE)-1),"")</f>
        <v/>
      </c>
      <c r="J24" t="str">
        <f>IFERROR(IF(OR(MonteCarlo!$B$4="C",MonteCarlo!$B$4="c"),_xlfn.NORM.S.DIST((LN(J$1 / MonteCarlo!$B$5) + (MonteCarlo!$B$9 + MonteCarlo!$B$7 ^ 2 / 2) *$A24) / (MonteCarlo!$B$7 * SQRT($A24)),TRUE),_xlfn.NORM.S.DIST((LN(J$1 / MonteCarlo!$B$5) + (MonteCarlo!$B$9 - MonteCarlo!$B$7 ^ 2 / 2) *$A24) / (MonteCarlo!$B$7 * SQRT($A24)),TRUE)-1),"")</f>
        <v/>
      </c>
      <c r="K24" t="str">
        <f>IFERROR(IF(OR(MonteCarlo!$B$4="C",MonteCarlo!$B$4="c"),_xlfn.NORM.S.DIST((LN(K$1 / MonteCarlo!$B$5) + (MonteCarlo!$B$9 + MonteCarlo!$B$7 ^ 2 / 2) *$A24) / (MonteCarlo!$B$7 * SQRT($A24)),TRUE),_xlfn.NORM.S.DIST((LN(K$1 / MonteCarlo!$B$5) + (MonteCarlo!$B$9 - MonteCarlo!$B$7 ^ 2 / 2) *$A24) / (MonteCarlo!$B$7 * SQRT($A24)),TRUE)-1),"")</f>
        <v/>
      </c>
      <c r="L24" t="str">
        <f>IFERROR(IF(OR(MonteCarlo!$B$4="C",MonteCarlo!$B$4="c"),_xlfn.NORM.S.DIST((LN(L$1 / MonteCarlo!$B$5) + (MonteCarlo!$B$9 + MonteCarlo!$B$7 ^ 2 / 2) *$A24) / (MonteCarlo!$B$7 * SQRT($A24)),TRUE),_xlfn.NORM.S.DIST((LN(L$1 / MonteCarlo!$B$5) + (MonteCarlo!$B$9 - MonteCarlo!$B$7 ^ 2 / 2) *$A24) / (MonteCarlo!$B$7 * SQRT($A24)),TRUE)-1),"")</f>
        <v/>
      </c>
      <c r="M24" t="str">
        <f>IFERROR(IF(OR(MonteCarlo!$B$4="C",MonteCarlo!$B$4="c"),_xlfn.NORM.S.DIST((LN(M$1 / MonteCarlo!$B$5) + (MonteCarlo!$B$9 + MonteCarlo!$B$7 ^ 2 / 2) *$A24) / (MonteCarlo!$B$7 * SQRT($A24)),TRUE),_xlfn.NORM.S.DIST((LN(M$1 / MonteCarlo!$B$5) + (MonteCarlo!$B$9 - MonteCarlo!$B$7 ^ 2 / 2) *$A24) / (MonteCarlo!$B$7 * SQRT($A24)),TRUE)-1),"")</f>
        <v/>
      </c>
      <c r="N24" t="str">
        <f>IFERROR(IF(OR(MonteCarlo!$B$4="C",MonteCarlo!$B$4="c"),_xlfn.NORM.S.DIST((LN(N$1 / MonteCarlo!$B$5) + (MonteCarlo!$B$9 + MonteCarlo!$B$7 ^ 2 / 2) *$A24) / (MonteCarlo!$B$7 * SQRT($A24)),TRUE),_xlfn.NORM.S.DIST((LN(N$1 / MonteCarlo!$B$5) + (MonteCarlo!$B$9 - MonteCarlo!$B$7 ^ 2 / 2) *$A24) / (MonteCarlo!$B$7 * SQRT($A24)),TRUE)-1),"")</f>
        <v/>
      </c>
      <c r="O24" t="str">
        <f>IFERROR(IF(OR(MonteCarlo!$B$4="C",MonteCarlo!$B$4="c"),_xlfn.NORM.S.DIST((LN(O$1 / MonteCarlo!$B$5) + (MonteCarlo!$B$9 + MonteCarlo!$B$7 ^ 2 / 2) *$A24) / (MonteCarlo!$B$7 * SQRT($A24)),TRUE),_xlfn.NORM.S.DIST((LN(O$1 / MonteCarlo!$B$5) + (MonteCarlo!$B$9 - MonteCarlo!$B$7 ^ 2 / 2) *$A24) / (MonteCarlo!$B$7 * SQRT($A24)),TRUE)-1),"")</f>
        <v/>
      </c>
      <c r="P24" t="str">
        <f>IFERROR(IF(OR(MonteCarlo!$B$4="C",MonteCarlo!$B$4="c"),_xlfn.NORM.S.DIST((LN(P$1 / MonteCarlo!$B$5) + (MonteCarlo!$B$9 + MonteCarlo!$B$7 ^ 2 / 2) *$A24) / (MonteCarlo!$B$7 * SQRT($A24)),TRUE),_xlfn.NORM.S.DIST((LN(P$1 / MonteCarlo!$B$5) + (MonteCarlo!$B$9 - MonteCarlo!$B$7 ^ 2 / 2) *$A24) / (MonteCarlo!$B$7 * SQRT($A24)),TRUE)-1),"")</f>
        <v/>
      </c>
      <c r="Q24" t="str">
        <f>IFERROR(IF(OR(MonteCarlo!$B$4="C",MonteCarlo!$B$4="c"),_xlfn.NORM.S.DIST((LN(Q$1 / MonteCarlo!$B$5) + (MonteCarlo!$B$9 + MonteCarlo!$B$7 ^ 2 / 2) *$A24) / (MonteCarlo!$B$7 * SQRT($A24)),TRUE),_xlfn.NORM.S.DIST((LN(Q$1 / MonteCarlo!$B$5) + (MonteCarlo!$B$9 - MonteCarlo!$B$7 ^ 2 / 2) *$A24) / (MonteCarlo!$B$7 * SQRT($A24)),TRUE)-1),"")</f>
        <v/>
      </c>
      <c r="R24" t="str">
        <f>IFERROR(IF(OR(MonteCarlo!$B$4="C",MonteCarlo!$B$4="c"),_xlfn.NORM.S.DIST((LN(R$1 / MonteCarlo!$B$5) + (MonteCarlo!$B$9 + MonteCarlo!$B$7 ^ 2 / 2) *$A24) / (MonteCarlo!$B$7 * SQRT($A24)),TRUE),_xlfn.NORM.S.DIST((LN(R$1 / MonteCarlo!$B$5) + (MonteCarlo!$B$9 - MonteCarlo!$B$7 ^ 2 / 2) *$A24) / (MonteCarlo!$B$7 * SQRT($A24)),TRUE)-1),"")</f>
        <v/>
      </c>
      <c r="S24" t="str">
        <f>IFERROR(IF(OR(MonteCarlo!$B$4="C",MonteCarlo!$B$4="c"),_xlfn.NORM.S.DIST((LN(S$1 / MonteCarlo!$B$5) + (MonteCarlo!$B$9 + MonteCarlo!$B$7 ^ 2 / 2) *$A24) / (MonteCarlo!$B$7 * SQRT($A24)),TRUE),_xlfn.NORM.S.DIST((LN(S$1 / MonteCarlo!$B$5) + (MonteCarlo!$B$9 - MonteCarlo!$B$7 ^ 2 / 2) *$A24) / (MonteCarlo!$B$7 * SQRT($A24)),TRUE)-1),"")</f>
        <v/>
      </c>
      <c r="T24" t="str">
        <f>IFERROR(IF(OR(MonteCarlo!$B$4="C",MonteCarlo!$B$4="c"),_xlfn.NORM.S.DIST((LN(T$1 / MonteCarlo!$B$5) + (MonteCarlo!$B$9 + MonteCarlo!$B$7 ^ 2 / 2) *$A24) / (MonteCarlo!$B$7 * SQRT($A24)),TRUE),_xlfn.NORM.S.DIST((LN(T$1 / MonteCarlo!$B$5) + (MonteCarlo!$B$9 - MonteCarlo!$B$7 ^ 2 / 2) *$A24) / (MonteCarlo!$B$7 * SQRT($A24)),TRUE)-1),"")</f>
        <v/>
      </c>
      <c r="U24" t="str">
        <f>IFERROR(IF(OR(MonteCarlo!$B$4="C",MonteCarlo!$B$4="c"),_xlfn.NORM.S.DIST((LN(U$1 / MonteCarlo!$B$5) + (MonteCarlo!$B$9 + MonteCarlo!$B$7 ^ 2 / 2) *$A24) / (MonteCarlo!$B$7 * SQRT($A24)),TRUE),_xlfn.NORM.S.DIST((LN(U$1 / MonteCarlo!$B$5) + (MonteCarlo!$B$9 - MonteCarlo!$B$7 ^ 2 / 2) *$A24) / (MonteCarlo!$B$7 * SQRT($A24)),TRUE)-1),"")</f>
        <v/>
      </c>
      <c r="V24" t="str">
        <f>IFERROR(IF(OR(MonteCarlo!$B$4="C",MonteCarlo!$B$4="c"),_xlfn.NORM.S.DIST((LN(V$1 / MonteCarlo!$B$5) + (MonteCarlo!$B$9 + MonteCarlo!$B$7 ^ 2 / 2) *$A24) / (MonteCarlo!$B$7 * SQRT($A24)),TRUE),_xlfn.NORM.S.DIST((LN(V$1 / MonteCarlo!$B$5) + (MonteCarlo!$B$9 - MonteCarlo!$B$7 ^ 2 / 2) *$A24) / (MonteCarlo!$B$7 * SQRT($A24)),TRUE)-1),"")</f>
        <v/>
      </c>
      <c r="W24" t="str">
        <f>IFERROR(IF(OR(MonteCarlo!$B$4="C",MonteCarlo!$B$4="c"),_xlfn.NORM.S.DIST((LN(W$1 / MonteCarlo!$B$5) + (MonteCarlo!$B$9 + MonteCarlo!$B$7 ^ 2 / 2) *$A24) / (MonteCarlo!$B$7 * SQRT($A24)),TRUE),_xlfn.NORM.S.DIST((LN(W$1 / MonteCarlo!$B$5) + (MonteCarlo!$B$9 - MonteCarlo!$B$7 ^ 2 / 2) *$A24) / (MonteCarlo!$B$7 * SQRT($A24)),TRUE)-1),"")</f>
        <v/>
      </c>
      <c r="X24" t="str">
        <f>IFERROR(IF(OR(MonteCarlo!$B$4="C",MonteCarlo!$B$4="c"),_xlfn.NORM.S.DIST((LN(X$1 / MonteCarlo!$B$5) + (MonteCarlo!$B$9 + MonteCarlo!$B$7 ^ 2 / 2) *$A24) / (MonteCarlo!$B$7 * SQRT($A24)),TRUE),_xlfn.NORM.S.DIST((LN(X$1 / MonteCarlo!$B$5) + (MonteCarlo!$B$9 - MonteCarlo!$B$7 ^ 2 / 2) *$A24) / (MonteCarlo!$B$7 * SQRT($A24)),TRUE)-1),"")</f>
        <v/>
      </c>
      <c r="Y24" t="str">
        <f>IFERROR(IF(OR(MonteCarlo!$B$4="C",MonteCarlo!$B$4="c"),_xlfn.NORM.S.DIST((LN(Y$1 / MonteCarlo!$B$5) + (MonteCarlo!$B$9 + MonteCarlo!$B$7 ^ 2 / 2) *$A24) / (MonteCarlo!$B$7 * SQRT($A24)),TRUE),_xlfn.NORM.S.DIST((LN(Y$1 / MonteCarlo!$B$5) + (MonteCarlo!$B$9 - MonteCarlo!$B$7 ^ 2 / 2) *$A24) / (MonteCarlo!$B$7 * SQRT($A24)),TRUE)-1),"")</f>
        <v/>
      </c>
      <c r="Z24" t="str">
        <f>IFERROR(IF(OR(MonteCarlo!$B$4="C",MonteCarlo!$B$4="c"),_xlfn.NORM.S.DIST((LN(Z$1 / MonteCarlo!$B$5) + (MonteCarlo!$B$9 + MonteCarlo!$B$7 ^ 2 / 2) *$A24) / (MonteCarlo!$B$7 * SQRT($A24)),TRUE),_xlfn.NORM.S.DIST((LN(Z$1 / MonteCarlo!$B$5) + (MonteCarlo!$B$9 - MonteCarlo!$B$7 ^ 2 / 2) *$A24) / (MonteCarlo!$B$7 * SQRT($A24)),TRUE)-1),"")</f>
        <v/>
      </c>
      <c r="AA24" t="str">
        <f>IFERROR(IF(OR(MonteCarlo!$B$4="C",MonteCarlo!$B$4="c"),_xlfn.NORM.S.DIST((LN(AA$1 / MonteCarlo!$B$5) + (MonteCarlo!$B$9 + MonteCarlo!$B$7 ^ 2 / 2) *$A24) / (MonteCarlo!$B$7 * SQRT($A24)),TRUE),_xlfn.NORM.S.DIST((LN(AA$1 / MonteCarlo!$B$5) + (MonteCarlo!$B$9 - MonteCarlo!$B$7 ^ 2 / 2) *$A24) / (MonteCarlo!$B$7 * SQRT($A24)),TRUE)-1),"")</f>
        <v/>
      </c>
      <c r="AB24" t="str">
        <f>IFERROR(IF(OR(MonteCarlo!$B$4="C",MonteCarlo!$B$4="c"),_xlfn.NORM.S.DIST((LN(AB$1 / MonteCarlo!$B$5) + (MonteCarlo!$B$9 + MonteCarlo!$B$7 ^ 2 / 2) *$A24) / (MonteCarlo!$B$7 * SQRT($A24)),TRUE),_xlfn.NORM.S.DIST((LN(AB$1 / MonteCarlo!$B$5) + (MonteCarlo!$B$9 - MonteCarlo!$B$7 ^ 2 / 2) *$A24) / (MonteCarlo!$B$7 * SQRT($A24)),TRUE)-1),"")</f>
        <v/>
      </c>
      <c r="AC24" t="str">
        <f>IFERROR(IF(OR(MonteCarlo!$B$4="C",MonteCarlo!$B$4="c"),_xlfn.NORM.S.DIST((LN(AC$1 / MonteCarlo!$B$5) + (MonteCarlo!$B$9 + MonteCarlo!$B$7 ^ 2 / 2) *$A24) / (MonteCarlo!$B$7 * SQRT($A24)),TRUE),_xlfn.NORM.S.DIST((LN(AC$1 / MonteCarlo!$B$5) + (MonteCarlo!$B$9 - MonteCarlo!$B$7 ^ 2 / 2) *$A24) / (MonteCarlo!$B$7 * SQRT($A24)),TRUE)-1),"")</f>
        <v/>
      </c>
      <c r="AD24" t="str">
        <f>IFERROR(IF(OR(MonteCarlo!$B$4="C",MonteCarlo!$B$4="c"),_xlfn.NORM.S.DIST((LN(AD$1 / MonteCarlo!$B$5) + (MonteCarlo!$B$9 + MonteCarlo!$B$7 ^ 2 / 2) *$A24) / (MonteCarlo!$B$7 * SQRT($A24)),TRUE),_xlfn.NORM.S.DIST((LN(AD$1 / MonteCarlo!$B$5) + (MonteCarlo!$B$9 - MonteCarlo!$B$7 ^ 2 / 2) *$A24) / (MonteCarlo!$B$7 * SQRT($A24)),TRUE)-1),"")</f>
        <v/>
      </c>
      <c r="AE24" t="str">
        <f>IFERROR(IF(OR(MonteCarlo!$B$4="C",MonteCarlo!$B$4="c"),_xlfn.NORM.S.DIST((LN(AE$1 / MonteCarlo!$B$5) + (MonteCarlo!$B$9 + MonteCarlo!$B$7 ^ 2 / 2) *$A24) / (MonteCarlo!$B$7 * SQRT($A24)),TRUE),_xlfn.NORM.S.DIST((LN(AE$1 / MonteCarlo!$B$5) + (MonteCarlo!$B$9 - MonteCarlo!$B$7 ^ 2 / 2) *$A24) / (MonteCarlo!$B$7 * SQRT($A24)),TRUE)-1),"")</f>
        <v/>
      </c>
      <c r="AF24" t="str">
        <f>IFERROR(IF(OR(MonteCarlo!$B$4="C",MonteCarlo!$B$4="c"),_xlfn.NORM.S.DIST((LN(AF$1 / MonteCarlo!$B$5) + (MonteCarlo!$B$9 + MonteCarlo!$B$7 ^ 2 / 2) *$A24) / (MonteCarlo!$B$7 * SQRT($A24)),TRUE),_xlfn.NORM.S.DIST((LN(AF$1 / MonteCarlo!$B$5) + (MonteCarlo!$B$9 - MonteCarlo!$B$7 ^ 2 / 2) *$A24) / (MonteCarlo!$B$7 * SQRT($A24)),TRUE)-1),"")</f>
        <v/>
      </c>
    </row>
    <row r="25" spans="2:32" x14ac:dyDescent="0.25">
      <c r="B25" t="str">
        <f>IFERROR(IF(OR(MonteCarlo!$B$4="C",MonteCarlo!$B$4="c"),_xlfn.NORM.S.DIST((LN(B$1 / MonteCarlo!$B$5) + (MonteCarlo!$B$9 + MonteCarlo!$B$7 ^ 2 / 2) *$A25) / (MonteCarlo!$B$7 * SQRT($A25)),TRUE),_xlfn.NORM.S.DIST((LN(B$1 / MonteCarlo!$B$5) + (MonteCarlo!$B$9 - MonteCarlo!$B$7 ^ 2 / 2) *$A25) / (MonteCarlo!$B$7 * SQRT($A25)),TRUE)-1),"")</f>
        <v/>
      </c>
      <c r="C25" t="str">
        <f>IFERROR(IF(OR(MonteCarlo!$B$4="C",MonteCarlo!$B$4="c"),_xlfn.NORM.S.DIST((LN(C$1 / MonteCarlo!$B$5) + (MonteCarlo!$B$9 + MonteCarlo!$B$7 ^ 2 / 2) *$A25) / (MonteCarlo!$B$7 * SQRT($A25)),TRUE),_xlfn.NORM.S.DIST((LN(C$1 / MonteCarlo!$B$5) + (MonteCarlo!$B$9 - MonteCarlo!$B$7 ^ 2 / 2) *$A25) / (MonteCarlo!$B$7 * SQRT($A25)),TRUE)-1),"")</f>
        <v/>
      </c>
      <c r="D25" t="str">
        <f>IFERROR(IF(OR(MonteCarlo!$B$4="C",MonteCarlo!$B$4="c"),_xlfn.NORM.S.DIST((LN(D$1 / MonteCarlo!$B$5) + (MonteCarlo!$B$9 + MonteCarlo!$B$7 ^ 2 / 2) *$A25) / (MonteCarlo!$B$7 * SQRT($A25)),TRUE),_xlfn.NORM.S.DIST((LN(D$1 / MonteCarlo!$B$5) + (MonteCarlo!$B$9 - MonteCarlo!$B$7 ^ 2 / 2) *$A25) / (MonteCarlo!$B$7 * SQRT($A25)),TRUE)-1),"")</f>
        <v/>
      </c>
      <c r="E25" t="str">
        <f>IFERROR(IF(OR(MonteCarlo!$B$4="C",MonteCarlo!$B$4="c"),_xlfn.NORM.S.DIST((LN(E$1 / MonteCarlo!$B$5) + (MonteCarlo!$B$9 + MonteCarlo!$B$7 ^ 2 / 2) *$A25) / (MonteCarlo!$B$7 * SQRT($A25)),TRUE),_xlfn.NORM.S.DIST((LN(E$1 / MonteCarlo!$B$5) + (MonteCarlo!$B$9 - MonteCarlo!$B$7 ^ 2 / 2) *$A25) / (MonteCarlo!$B$7 * SQRT($A25)),TRUE)-1),"")</f>
        <v/>
      </c>
      <c r="F25" t="str">
        <f>IFERROR(IF(OR(MonteCarlo!$B$4="C",MonteCarlo!$B$4="c"),_xlfn.NORM.S.DIST((LN(F$1 / MonteCarlo!$B$5) + (MonteCarlo!$B$9 + MonteCarlo!$B$7 ^ 2 / 2) *$A25) / (MonteCarlo!$B$7 * SQRT($A25)),TRUE),_xlfn.NORM.S.DIST((LN(F$1 / MonteCarlo!$B$5) + (MonteCarlo!$B$9 - MonteCarlo!$B$7 ^ 2 / 2) *$A25) / (MonteCarlo!$B$7 * SQRT($A25)),TRUE)-1),"")</f>
        <v/>
      </c>
      <c r="G25" t="str">
        <f>IFERROR(IF(OR(MonteCarlo!$B$4="C",MonteCarlo!$B$4="c"),_xlfn.NORM.S.DIST((LN(G$1 / MonteCarlo!$B$5) + (MonteCarlo!$B$9 + MonteCarlo!$B$7 ^ 2 / 2) *$A25) / (MonteCarlo!$B$7 * SQRT($A25)),TRUE),_xlfn.NORM.S.DIST((LN(G$1 / MonteCarlo!$B$5) + (MonteCarlo!$B$9 - MonteCarlo!$B$7 ^ 2 / 2) *$A25) / (MonteCarlo!$B$7 * SQRT($A25)),TRUE)-1),"")</f>
        <v/>
      </c>
      <c r="H25" t="str">
        <f>IFERROR(IF(OR(MonteCarlo!$B$4="C",MonteCarlo!$B$4="c"),_xlfn.NORM.S.DIST((LN(H$1 / MonteCarlo!$B$5) + (MonteCarlo!$B$9 + MonteCarlo!$B$7 ^ 2 / 2) *$A25) / (MonteCarlo!$B$7 * SQRT($A25)),TRUE),_xlfn.NORM.S.DIST((LN(H$1 / MonteCarlo!$B$5) + (MonteCarlo!$B$9 - MonteCarlo!$B$7 ^ 2 / 2) *$A25) / (MonteCarlo!$B$7 * SQRT($A25)),TRUE)-1),"")</f>
        <v/>
      </c>
      <c r="I25" t="str">
        <f>IFERROR(IF(OR(MonteCarlo!$B$4="C",MonteCarlo!$B$4="c"),_xlfn.NORM.S.DIST((LN(I$1 / MonteCarlo!$B$5) + (MonteCarlo!$B$9 + MonteCarlo!$B$7 ^ 2 / 2) *$A25) / (MonteCarlo!$B$7 * SQRT($A25)),TRUE),_xlfn.NORM.S.DIST((LN(I$1 / MonteCarlo!$B$5) + (MonteCarlo!$B$9 - MonteCarlo!$B$7 ^ 2 / 2) *$A25) / (MonteCarlo!$B$7 * SQRT($A25)),TRUE)-1),"")</f>
        <v/>
      </c>
      <c r="J25" t="str">
        <f>IFERROR(IF(OR(MonteCarlo!$B$4="C",MonteCarlo!$B$4="c"),_xlfn.NORM.S.DIST((LN(J$1 / MonteCarlo!$B$5) + (MonteCarlo!$B$9 + MonteCarlo!$B$7 ^ 2 / 2) *$A25) / (MonteCarlo!$B$7 * SQRT($A25)),TRUE),_xlfn.NORM.S.DIST((LN(J$1 / MonteCarlo!$B$5) + (MonteCarlo!$B$9 - MonteCarlo!$B$7 ^ 2 / 2) *$A25) / (MonteCarlo!$B$7 * SQRT($A25)),TRUE)-1),"")</f>
        <v/>
      </c>
      <c r="K25" t="str">
        <f>IFERROR(IF(OR(MonteCarlo!$B$4="C",MonteCarlo!$B$4="c"),_xlfn.NORM.S.DIST((LN(K$1 / MonteCarlo!$B$5) + (MonteCarlo!$B$9 + MonteCarlo!$B$7 ^ 2 / 2) *$A25) / (MonteCarlo!$B$7 * SQRT($A25)),TRUE),_xlfn.NORM.S.DIST((LN(K$1 / MonteCarlo!$B$5) + (MonteCarlo!$B$9 - MonteCarlo!$B$7 ^ 2 / 2) *$A25) / (MonteCarlo!$B$7 * SQRT($A25)),TRUE)-1),"")</f>
        <v/>
      </c>
      <c r="L25" t="str">
        <f>IFERROR(IF(OR(MonteCarlo!$B$4="C",MonteCarlo!$B$4="c"),_xlfn.NORM.S.DIST((LN(L$1 / MonteCarlo!$B$5) + (MonteCarlo!$B$9 + MonteCarlo!$B$7 ^ 2 / 2) *$A25) / (MonteCarlo!$B$7 * SQRT($A25)),TRUE),_xlfn.NORM.S.DIST((LN(L$1 / MonteCarlo!$B$5) + (MonteCarlo!$B$9 - MonteCarlo!$B$7 ^ 2 / 2) *$A25) / (MonteCarlo!$B$7 * SQRT($A25)),TRUE)-1),"")</f>
        <v/>
      </c>
      <c r="M25" t="str">
        <f>IFERROR(IF(OR(MonteCarlo!$B$4="C",MonteCarlo!$B$4="c"),_xlfn.NORM.S.DIST((LN(M$1 / MonteCarlo!$B$5) + (MonteCarlo!$B$9 + MonteCarlo!$B$7 ^ 2 / 2) *$A25) / (MonteCarlo!$B$7 * SQRT($A25)),TRUE),_xlfn.NORM.S.DIST((LN(M$1 / MonteCarlo!$B$5) + (MonteCarlo!$B$9 - MonteCarlo!$B$7 ^ 2 / 2) *$A25) / (MonteCarlo!$B$7 * SQRT($A25)),TRUE)-1),"")</f>
        <v/>
      </c>
      <c r="N25" t="str">
        <f>IFERROR(IF(OR(MonteCarlo!$B$4="C",MonteCarlo!$B$4="c"),_xlfn.NORM.S.DIST((LN(N$1 / MonteCarlo!$B$5) + (MonteCarlo!$B$9 + MonteCarlo!$B$7 ^ 2 / 2) *$A25) / (MonteCarlo!$B$7 * SQRT($A25)),TRUE),_xlfn.NORM.S.DIST((LN(N$1 / MonteCarlo!$B$5) + (MonteCarlo!$B$9 - MonteCarlo!$B$7 ^ 2 / 2) *$A25) / (MonteCarlo!$B$7 * SQRT($A25)),TRUE)-1),"")</f>
        <v/>
      </c>
      <c r="O25" t="str">
        <f>IFERROR(IF(OR(MonteCarlo!$B$4="C",MonteCarlo!$B$4="c"),_xlfn.NORM.S.DIST((LN(O$1 / MonteCarlo!$B$5) + (MonteCarlo!$B$9 + MonteCarlo!$B$7 ^ 2 / 2) *$A25) / (MonteCarlo!$B$7 * SQRT($A25)),TRUE),_xlfn.NORM.S.DIST((LN(O$1 / MonteCarlo!$B$5) + (MonteCarlo!$B$9 - MonteCarlo!$B$7 ^ 2 / 2) *$A25) / (MonteCarlo!$B$7 * SQRT($A25)),TRUE)-1),"")</f>
        <v/>
      </c>
      <c r="P25" t="str">
        <f>IFERROR(IF(OR(MonteCarlo!$B$4="C",MonteCarlo!$B$4="c"),_xlfn.NORM.S.DIST((LN(P$1 / MonteCarlo!$B$5) + (MonteCarlo!$B$9 + MonteCarlo!$B$7 ^ 2 / 2) *$A25) / (MonteCarlo!$B$7 * SQRT($A25)),TRUE),_xlfn.NORM.S.DIST((LN(P$1 / MonteCarlo!$B$5) + (MonteCarlo!$B$9 - MonteCarlo!$B$7 ^ 2 / 2) *$A25) / (MonteCarlo!$B$7 * SQRT($A25)),TRUE)-1),"")</f>
        <v/>
      </c>
      <c r="Q25" t="str">
        <f>IFERROR(IF(OR(MonteCarlo!$B$4="C",MonteCarlo!$B$4="c"),_xlfn.NORM.S.DIST((LN(Q$1 / MonteCarlo!$B$5) + (MonteCarlo!$B$9 + MonteCarlo!$B$7 ^ 2 / 2) *$A25) / (MonteCarlo!$B$7 * SQRT($A25)),TRUE),_xlfn.NORM.S.DIST((LN(Q$1 / MonteCarlo!$B$5) + (MonteCarlo!$B$9 - MonteCarlo!$B$7 ^ 2 / 2) *$A25) / (MonteCarlo!$B$7 * SQRT($A25)),TRUE)-1),"")</f>
        <v/>
      </c>
      <c r="R25" t="str">
        <f>IFERROR(IF(OR(MonteCarlo!$B$4="C",MonteCarlo!$B$4="c"),_xlfn.NORM.S.DIST((LN(R$1 / MonteCarlo!$B$5) + (MonteCarlo!$B$9 + MonteCarlo!$B$7 ^ 2 / 2) *$A25) / (MonteCarlo!$B$7 * SQRT($A25)),TRUE),_xlfn.NORM.S.DIST((LN(R$1 / MonteCarlo!$B$5) + (MonteCarlo!$B$9 - MonteCarlo!$B$7 ^ 2 / 2) *$A25) / (MonteCarlo!$B$7 * SQRT($A25)),TRUE)-1),"")</f>
        <v/>
      </c>
      <c r="S25" t="str">
        <f>IFERROR(IF(OR(MonteCarlo!$B$4="C",MonteCarlo!$B$4="c"),_xlfn.NORM.S.DIST((LN(S$1 / MonteCarlo!$B$5) + (MonteCarlo!$B$9 + MonteCarlo!$B$7 ^ 2 / 2) *$A25) / (MonteCarlo!$B$7 * SQRT($A25)),TRUE),_xlfn.NORM.S.DIST((LN(S$1 / MonteCarlo!$B$5) + (MonteCarlo!$B$9 - MonteCarlo!$B$7 ^ 2 / 2) *$A25) / (MonteCarlo!$B$7 * SQRT($A25)),TRUE)-1),"")</f>
        <v/>
      </c>
      <c r="T25" t="str">
        <f>IFERROR(IF(OR(MonteCarlo!$B$4="C",MonteCarlo!$B$4="c"),_xlfn.NORM.S.DIST((LN(T$1 / MonteCarlo!$B$5) + (MonteCarlo!$B$9 + MonteCarlo!$B$7 ^ 2 / 2) *$A25) / (MonteCarlo!$B$7 * SQRT($A25)),TRUE),_xlfn.NORM.S.DIST((LN(T$1 / MonteCarlo!$B$5) + (MonteCarlo!$B$9 - MonteCarlo!$B$7 ^ 2 / 2) *$A25) / (MonteCarlo!$B$7 * SQRT($A25)),TRUE)-1),"")</f>
        <v/>
      </c>
      <c r="U25" t="str">
        <f>IFERROR(IF(OR(MonteCarlo!$B$4="C",MonteCarlo!$B$4="c"),_xlfn.NORM.S.DIST((LN(U$1 / MonteCarlo!$B$5) + (MonteCarlo!$B$9 + MonteCarlo!$B$7 ^ 2 / 2) *$A25) / (MonteCarlo!$B$7 * SQRT($A25)),TRUE),_xlfn.NORM.S.DIST((LN(U$1 / MonteCarlo!$B$5) + (MonteCarlo!$B$9 - MonteCarlo!$B$7 ^ 2 / 2) *$A25) / (MonteCarlo!$B$7 * SQRT($A25)),TRUE)-1),"")</f>
        <v/>
      </c>
      <c r="V25" t="str">
        <f>IFERROR(IF(OR(MonteCarlo!$B$4="C",MonteCarlo!$B$4="c"),_xlfn.NORM.S.DIST((LN(V$1 / MonteCarlo!$B$5) + (MonteCarlo!$B$9 + MonteCarlo!$B$7 ^ 2 / 2) *$A25) / (MonteCarlo!$B$7 * SQRT($A25)),TRUE),_xlfn.NORM.S.DIST((LN(V$1 / MonteCarlo!$B$5) + (MonteCarlo!$B$9 - MonteCarlo!$B$7 ^ 2 / 2) *$A25) / (MonteCarlo!$B$7 * SQRT($A25)),TRUE)-1),"")</f>
        <v/>
      </c>
      <c r="W25" t="str">
        <f>IFERROR(IF(OR(MonteCarlo!$B$4="C",MonteCarlo!$B$4="c"),_xlfn.NORM.S.DIST((LN(W$1 / MonteCarlo!$B$5) + (MonteCarlo!$B$9 + MonteCarlo!$B$7 ^ 2 / 2) *$A25) / (MonteCarlo!$B$7 * SQRT($A25)),TRUE),_xlfn.NORM.S.DIST((LN(W$1 / MonteCarlo!$B$5) + (MonteCarlo!$B$9 - MonteCarlo!$B$7 ^ 2 / 2) *$A25) / (MonteCarlo!$B$7 * SQRT($A25)),TRUE)-1),"")</f>
        <v/>
      </c>
      <c r="X25" t="str">
        <f>IFERROR(IF(OR(MonteCarlo!$B$4="C",MonteCarlo!$B$4="c"),_xlfn.NORM.S.DIST((LN(X$1 / MonteCarlo!$B$5) + (MonteCarlo!$B$9 + MonteCarlo!$B$7 ^ 2 / 2) *$A25) / (MonteCarlo!$B$7 * SQRT($A25)),TRUE),_xlfn.NORM.S.DIST((LN(X$1 / MonteCarlo!$B$5) + (MonteCarlo!$B$9 - MonteCarlo!$B$7 ^ 2 / 2) *$A25) / (MonteCarlo!$B$7 * SQRT($A25)),TRUE)-1),"")</f>
        <v/>
      </c>
      <c r="Y25" t="str">
        <f>IFERROR(IF(OR(MonteCarlo!$B$4="C",MonteCarlo!$B$4="c"),_xlfn.NORM.S.DIST((LN(Y$1 / MonteCarlo!$B$5) + (MonteCarlo!$B$9 + MonteCarlo!$B$7 ^ 2 / 2) *$A25) / (MonteCarlo!$B$7 * SQRT($A25)),TRUE),_xlfn.NORM.S.DIST((LN(Y$1 / MonteCarlo!$B$5) + (MonteCarlo!$B$9 - MonteCarlo!$B$7 ^ 2 / 2) *$A25) / (MonteCarlo!$B$7 * SQRT($A25)),TRUE)-1),"")</f>
        <v/>
      </c>
      <c r="Z25" t="str">
        <f>IFERROR(IF(OR(MonteCarlo!$B$4="C",MonteCarlo!$B$4="c"),_xlfn.NORM.S.DIST((LN(Z$1 / MonteCarlo!$B$5) + (MonteCarlo!$B$9 + MonteCarlo!$B$7 ^ 2 / 2) *$A25) / (MonteCarlo!$B$7 * SQRT($A25)),TRUE),_xlfn.NORM.S.DIST((LN(Z$1 / MonteCarlo!$B$5) + (MonteCarlo!$B$9 - MonteCarlo!$B$7 ^ 2 / 2) *$A25) / (MonteCarlo!$B$7 * SQRT($A25)),TRUE)-1),"")</f>
        <v/>
      </c>
      <c r="AA25" t="str">
        <f>IFERROR(IF(OR(MonteCarlo!$B$4="C",MonteCarlo!$B$4="c"),_xlfn.NORM.S.DIST((LN(AA$1 / MonteCarlo!$B$5) + (MonteCarlo!$B$9 + MonteCarlo!$B$7 ^ 2 / 2) *$A25) / (MonteCarlo!$B$7 * SQRT($A25)),TRUE),_xlfn.NORM.S.DIST((LN(AA$1 / MonteCarlo!$B$5) + (MonteCarlo!$B$9 - MonteCarlo!$B$7 ^ 2 / 2) *$A25) / (MonteCarlo!$B$7 * SQRT($A25)),TRUE)-1),"")</f>
        <v/>
      </c>
      <c r="AB25" t="str">
        <f>IFERROR(IF(OR(MonteCarlo!$B$4="C",MonteCarlo!$B$4="c"),_xlfn.NORM.S.DIST((LN(AB$1 / MonteCarlo!$B$5) + (MonteCarlo!$B$9 + MonteCarlo!$B$7 ^ 2 / 2) *$A25) / (MonteCarlo!$B$7 * SQRT($A25)),TRUE),_xlfn.NORM.S.DIST((LN(AB$1 / MonteCarlo!$B$5) + (MonteCarlo!$B$9 - MonteCarlo!$B$7 ^ 2 / 2) *$A25) / (MonteCarlo!$B$7 * SQRT($A25)),TRUE)-1),"")</f>
        <v/>
      </c>
      <c r="AC25" t="str">
        <f>IFERROR(IF(OR(MonteCarlo!$B$4="C",MonteCarlo!$B$4="c"),_xlfn.NORM.S.DIST((LN(AC$1 / MonteCarlo!$B$5) + (MonteCarlo!$B$9 + MonteCarlo!$B$7 ^ 2 / 2) *$A25) / (MonteCarlo!$B$7 * SQRT($A25)),TRUE),_xlfn.NORM.S.DIST((LN(AC$1 / MonteCarlo!$B$5) + (MonteCarlo!$B$9 - MonteCarlo!$B$7 ^ 2 / 2) *$A25) / (MonteCarlo!$B$7 * SQRT($A25)),TRUE)-1),"")</f>
        <v/>
      </c>
      <c r="AD25" t="str">
        <f>IFERROR(IF(OR(MonteCarlo!$B$4="C",MonteCarlo!$B$4="c"),_xlfn.NORM.S.DIST((LN(AD$1 / MonteCarlo!$B$5) + (MonteCarlo!$B$9 + MonteCarlo!$B$7 ^ 2 / 2) *$A25) / (MonteCarlo!$B$7 * SQRT($A25)),TRUE),_xlfn.NORM.S.DIST((LN(AD$1 / MonteCarlo!$B$5) + (MonteCarlo!$B$9 - MonteCarlo!$B$7 ^ 2 / 2) *$A25) / (MonteCarlo!$B$7 * SQRT($A25)),TRUE)-1),"")</f>
        <v/>
      </c>
      <c r="AE25" t="str">
        <f>IFERROR(IF(OR(MonteCarlo!$B$4="C",MonteCarlo!$B$4="c"),_xlfn.NORM.S.DIST((LN(AE$1 / MonteCarlo!$B$5) + (MonteCarlo!$B$9 + MonteCarlo!$B$7 ^ 2 / 2) *$A25) / (MonteCarlo!$B$7 * SQRT($A25)),TRUE),_xlfn.NORM.S.DIST((LN(AE$1 / MonteCarlo!$B$5) + (MonteCarlo!$B$9 - MonteCarlo!$B$7 ^ 2 / 2) *$A25) / (MonteCarlo!$B$7 * SQRT($A25)),TRUE)-1),"")</f>
        <v/>
      </c>
      <c r="AF25" t="str">
        <f>IFERROR(IF(OR(MonteCarlo!$B$4="C",MonteCarlo!$B$4="c"),_xlfn.NORM.S.DIST((LN(AF$1 / MonteCarlo!$B$5) + (MonteCarlo!$B$9 + MonteCarlo!$B$7 ^ 2 / 2) *$A25) / (MonteCarlo!$B$7 * SQRT($A25)),TRUE),_xlfn.NORM.S.DIST((LN(AF$1 / MonteCarlo!$B$5) + (MonteCarlo!$B$9 - MonteCarlo!$B$7 ^ 2 / 2) *$A25) / (MonteCarlo!$B$7 * SQRT($A25)),TRUE)-1),"")</f>
        <v/>
      </c>
    </row>
    <row r="26" spans="2:32" x14ac:dyDescent="0.25">
      <c r="B26" t="str">
        <f>IFERROR(IF(OR(MonteCarlo!$B$4="C",MonteCarlo!$B$4="c"),_xlfn.NORM.S.DIST((LN(B$1 / MonteCarlo!$B$5) + (MonteCarlo!$B$9 + MonteCarlo!$B$7 ^ 2 / 2) *$A26) / (MonteCarlo!$B$7 * SQRT($A26)),TRUE),_xlfn.NORM.S.DIST((LN(B$1 / MonteCarlo!$B$5) + (MonteCarlo!$B$9 - MonteCarlo!$B$7 ^ 2 / 2) *$A26) / (MonteCarlo!$B$7 * SQRT($A26)),TRUE)-1),"")</f>
        <v/>
      </c>
      <c r="C26" t="str">
        <f>IFERROR(IF(OR(MonteCarlo!$B$4="C",MonteCarlo!$B$4="c"),_xlfn.NORM.S.DIST((LN(C$1 / MonteCarlo!$B$5) + (MonteCarlo!$B$9 + MonteCarlo!$B$7 ^ 2 / 2) *$A26) / (MonteCarlo!$B$7 * SQRT($A26)),TRUE),_xlfn.NORM.S.DIST((LN(C$1 / MonteCarlo!$B$5) + (MonteCarlo!$B$9 - MonteCarlo!$B$7 ^ 2 / 2) *$A26) / (MonteCarlo!$B$7 * SQRT($A26)),TRUE)-1),"")</f>
        <v/>
      </c>
      <c r="D26" t="str">
        <f>IFERROR(IF(OR(MonteCarlo!$B$4="C",MonteCarlo!$B$4="c"),_xlfn.NORM.S.DIST((LN(D$1 / MonteCarlo!$B$5) + (MonteCarlo!$B$9 + MonteCarlo!$B$7 ^ 2 / 2) *$A26) / (MonteCarlo!$B$7 * SQRT($A26)),TRUE),_xlfn.NORM.S.DIST((LN(D$1 / MonteCarlo!$B$5) + (MonteCarlo!$B$9 - MonteCarlo!$B$7 ^ 2 / 2) *$A26) / (MonteCarlo!$B$7 * SQRT($A26)),TRUE)-1),"")</f>
        <v/>
      </c>
      <c r="E26" t="str">
        <f>IFERROR(IF(OR(MonteCarlo!$B$4="C",MonteCarlo!$B$4="c"),_xlfn.NORM.S.DIST((LN(E$1 / MonteCarlo!$B$5) + (MonteCarlo!$B$9 + MonteCarlo!$B$7 ^ 2 / 2) *$A26) / (MonteCarlo!$B$7 * SQRT($A26)),TRUE),_xlfn.NORM.S.DIST((LN(E$1 / MonteCarlo!$B$5) + (MonteCarlo!$B$9 - MonteCarlo!$B$7 ^ 2 / 2) *$A26) / (MonteCarlo!$B$7 * SQRT($A26)),TRUE)-1),"")</f>
        <v/>
      </c>
      <c r="F26" t="str">
        <f>IFERROR(IF(OR(MonteCarlo!$B$4="C",MonteCarlo!$B$4="c"),_xlfn.NORM.S.DIST((LN(F$1 / MonteCarlo!$B$5) + (MonteCarlo!$B$9 + MonteCarlo!$B$7 ^ 2 / 2) *$A26) / (MonteCarlo!$B$7 * SQRT($A26)),TRUE),_xlfn.NORM.S.DIST((LN(F$1 / MonteCarlo!$B$5) + (MonteCarlo!$B$9 - MonteCarlo!$B$7 ^ 2 / 2) *$A26) / (MonteCarlo!$B$7 * SQRT($A26)),TRUE)-1),"")</f>
        <v/>
      </c>
      <c r="G26" t="str">
        <f>IFERROR(IF(OR(MonteCarlo!$B$4="C",MonteCarlo!$B$4="c"),_xlfn.NORM.S.DIST((LN(G$1 / MonteCarlo!$B$5) + (MonteCarlo!$B$9 + MonteCarlo!$B$7 ^ 2 / 2) *$A26) / (MonteCarlo!$B$7 * SQRT($A26)),TRUE),_xlfn.NORM.S.DIST((LN(G$1 / MonteCarlo!$B$5) + (MonteCarlo!$B$9 - MonteCarlo!$B$7 ^ 2 / 2) *$A26) / (MonteCarlo!$B$7 * SQRT($A26)),TRUE)-1),"")</f>
        <v/>
      </c>
      <c r="H26" t="str">
        <f>IFERROR(IF(OR(MonteCarlo!$B$4="C",MonteCarlo!$B$4="c"),_xlfn.NORM.S.DIST((LN(H$1 / MonteCarlo!$B$5) + (MonteCarlo!$B$9 + MonteCarlo!$B$7 ^ 2 / 2) *$A26) / (MonteCarlo!$B$7 * SQRT($A26)),TRUE),_xlfn.NORM.S.DIST((LN(H$1 / MonteCarlo!$B$5) + (MonteCarlo!$B$9 - MonteCarlo!$B$7 ^ 2 / 2) *$A26) / (MonteCarlo!$B$7 * SQRT($A26)),TRUE)-1),"")</f>
        <v/>
      </c>
      <c r="I26" t="str">
        <f>IFERROR(IF(OR(MonteCarlo!$B$4="C",MonteCarlo!$B$4="c"),_xlfn.NORM.S.DIST((LN(I$1 / MonteCarlo!$B$5) + (MonteCarlo!$B$9 + MonteCarlo!$B$7 ^ 2 / 2) *$A26) / (MonteCarlo!$B$7 * SQRT($A26)),TRUE),_xlfn.NORM.S.DIST((LN(I$1 / MonteCarlo!$B$5) + (MonteCarlo!$B$9 - MonteCarlo!$B$7 ^ 2 / 2) *$A26) / (MonteCarlo!$B$7 * SQRT($A26)),TRUE)-1),"")</f>
        <v/>
      </c>
      <c r="J26" t="str">
        <f>IFERROR(IF(OR(MonteCarlo!$B$4="C",MonteCarlo!$B$4="c"),_xlfn.NORM.S.DIST((LN(J$1 / MonteCarlo!$B$5) + (MonteCarlo!$B$9 + MonteCarlo!$B$7 ^ 2 / 2) *$A26) / (MonteCarlo!$B$7 * SQRT($A26)),TRUE),_xlfn.NORM.S.DIST((LN(J$1 / MonteCarlo!$B$5) + (MonteCarlo!$B$9 - MonteCarlo!$B$7 ^ 2 / 2) *$A26) / (MonteCarlo!$B$7 * SQRT($A26)),TRUE)-1),"")</f>
        <v/>
      </c>
      <c r="K26" t="str">
        <f>IFERROR(IF(OR(MonteCarlo!$B$4="C",MonteCarlo!$B$4="c"),_xlfn.NORM.S.DIST((LN(K$1 / MonteCarlo!$B$5) + (MonteCarlo!$B$9 + MonteCarlo!$B$7 ^ 2 / 2) *$A26) / (MonteCarlo!$B$7 * SQRT($A26)),TRUE),_xlfn.NORM.S.DIST((LN(K$1 / MonteCarlo!$B$5) + (MonteCarlo!$B$9 - MonteCarlo!$B$7 ^ 2 / 2) *$A26) / (MonteCarlo!$B$7 * SQRT($A26)),TRUE)-1),"")</f>
        <v/>
      </c>
      <c r="L26" t="str">
        <f>IFERROR(IF(OR(MonteCarlo!$B$4="C",MonteCarlo!$B$4="c"),_xlfn.NORM.S.DIST((LN(L$1 / MonteCarlo!$B$5) + (MonteCarlo!$B$9 + MonteCarlo!$B$7 ^ 2 / 2) *$A26) / (MonteCarlo!$B$7 * SQRT($A26)),TRUE),_xlfn.NORM.S.DIST((LN(L$1 / MonteCarlo!$B$5) + (MonteCarlo!$B$9 - MonteCarlo!$B$7 ^ 2 / 2) *$A26) / (MonteCarlo!$B$7 * SQRT($A26)),TRUE)-1),"")</f>
        <v/>
      </c>
      <c r="M26" t="str">
        <f>IFERROR(IF(OR(MonteCarlo!$B$4="C",MonteCarlo!$B$4="c"),_xlfn.NORM.S.DIST((LN(M$1 / MonteCarlo!$B$5) + (MonteCarlo!$B$9 + MonteCarlo!$B$7 ^ 2 / 2) *$A26) / (MonteCarlo!$B$7 * SQRT($A26)),TRUE),_xlfn.NORM.S.DIST((LN(M$1 / MonteCarlo!$B$5) + (MonteCarlo!$B$9 - MonteCarlo!$B$7 ^ 2 / 2) *$A26) / (MonteCarlo!$B$7 * SQRT($A26)),TRUE)-1),"")</f>
        <v/>
      </c>
      <c r="N26" t="str">
        <f>IFERROR(IF(OR(MonteCarlo!$B$4="C",MonteCarlo!$B$4="c"),_xlfn.NORM.S.DIST((LN(N$1 / MonteCarlo!$B$5) + (MonteCarlo!$B$9 + MonteCarlo!$B$7 ^ 2 / 2) *$A26) / (MonteCarlo!$B$7 * SQRT($A26)),TRUE),_xlfn.NORM.S.DIST((LN(N$1 / MonteCarlo!$B$5) + (MonteCarlo!$B$9 - MonteCarlo!$B$7 ^ 2 / 2) *$A26) / (MonteCarlo!$B$7 * SQRT($A26)),TRUE)-1),"")</f>
        <v/>
      </c>
      <c r="O26" t="str">
        <f>IFERROR(IF(OR(MonteCarlo!$B$4="C",MonteCarlo!$B$4="c"),_xlfn.NORM.S.DIST((LN(O$1 / MonteCarlo!$B$5) + (MonteCarlo!$B$9 + MonteCarlo!$B$7 ^ 2 / 2) *$A26) / (MonteCarlo!$B$7 * SQRT($A26)),TRUE),_xlfn.NORM.S.DIST((LN(O$1 / MonteCarlo!$B$5) + (MonteCarlo!$B$9 - MonteCarlo!$B$7 ^ 2 / 2) *$A26) / (MonteCarlo!$B$7 * SQRT($A26)),TRUE)-1),"")</f>
        <v/>
      </c>
      <c r="P26" t="str">
        <f>IFERROR(IF(OR(MonteCarlo!$B$4="C",MonteCarlo!$B$4="c"),_xlfn.NORM.S.DIST((LN(P$1 / MonteCarlo!$B$5) + (MonteCarlo!$B$9 + MonteCarlo!$B$7 ^ 2 / 2) *$A26) / (MonteCarlo!$B$7 * SQRT($A26)),TRUE),_xlfn.NORM.S.DIST((LN(P$1 / MonteCarlo!$B$5) + (MonteCarlo!$B$9 - MonteCarlo!$B$7 ^ 2 / 2) *$A26) / (MonteCarlo!$B$7 * SQRT($A26)),TRUE)-1),"")</f>
        <v/>
      </c>
      <c r="Q26" t="str">
        <f>IFERROR(IF(OR(MonteCarlo!$B$4="C",MonteCarlo!$B$4="c"),_xlfn.NORM.S.DIST((LN(Q$1 / MonteCarlo!$B$5) + (MonteCarlo!$B$9 + MonteCarlo!$B$7 ^ 2 / 2) *$A26) / (MonteCarlo!$B$7 * SQRT($A26)),TRUE),_xlfn.NORM.S.DIST((LN(Q$1 / MonteCarlo!$B$5) + (MonteCarlo!$B$9 - MonteCarlo!$B$7 ^ 2 / 2) *$A26) / (MonteCarlo!$B$7 * SQRT($A26)),TRUE)-1),"")</f>
        <v/>
      </c>
      <c r="R26" t="str">
        <f>IFERROR(IF(OR(MonteCarlo!$B$4="C",MonteCarlo!$B$4="c"),_xlfn.NORM.S.DIST((LN(R$1 / MonteCarlo!$B$5) + (MonteCarlo!$B$9 + MonteCarlo!$B$7 ^ 2 / 2) *$A26) / (MonteCarlo!$B$7 * SQRT($A26)),TRUE),_xlfn.NORM.S.DIST((LN(R$1 / MonteCarlo!$B$5) + (MonteCarlo!$B$9 - MonteCarlo!$B$7 ^ 2 / 2) *$A26) / (MonteCarlo!$B$7 * SQRT($A26)),TRUE)-1),"")</f>
        <v/>
      </c>
      <c r="S26" t="str">
        <f>IFERROR(IF(OR(MonteCarlo!$B$4="C",MonteCarlo!$B$4="c"),_xlfn.NORM.S.DIST((LN(S$1 / MonteCarlo!$B$5) + (MonteCarlo!$B$9 + MonteCarlo!$B$7 ^ 2 / 2) *$A26) / (MonteCarlo!$B$7 * SQRT($A26)),TRUE),_xlfn.NORM.S.DIST((LN(S$1 / MonteCarlo!$B$5) + (MonteCarlo!$B$9 - MonteCarlo!$B$7 ^ 2 / 2) *$A26) / (MonteCarlo!$B$7 * SQRT($A26)),TRUE)-1),"")</f>
        <v/>
      </c>
      <c r="T26" t="str">
        <f>IFERROR(IF(OR(MonteCarlo!$B$4="C",MonteCarlo!$B$4="c"),_xlfn.NORM.S.DIST((LN(T$1 / MonteCarlo!$B$5) + (MonteCarlo!$B$9 + MonteCarlo!$B$7 ^ 2 / 2) *$A26) / (MonteCarlo!$B$7 * SQRT($A26)),TRUE),_xlfn.NORM.S.DIST((LN(T$1 / MonteCarlo!$B$5) + (MonteCarlo!$B$9 - MonteCarlo!$B$7 ^ 2 / 2) *$A26) / (MonteCarlo!$B$7 * SQRT($A26)),TRUE)-1),"")</f>
        <v/>
      </c>
      <c r="U26" t="str">
        <f>IFERROR(IF(OR(MonteCarlo!$B$4="C",MonteCarlo!$B$4="c"),_xlfn.NORM.S.DIST((LN(U$1 / MonteCarlo!$B$5) + (MonteCarlo!$B$9 + MonteCarlo!$B$7 ^ 2 / 2) *$A26) / (MonteCarlo!$B$7 * SQRT($A26)),TRUE),_xlfn.NORM.S.DIST((LN(U$1 / MonteCarlo!$B$5) + (MonteCarlo!$B$9 - MonteCarlo!$B$7 ^ 2 / 2) *$A26) / (MonteCarlo!$B$7 * SQRT($A26)),TRUE)-1),"")</f>
        <v/>
      </c>
      <c r="V26" t="str">
        <f>IFERROR(IF(OR(MonteCarlo!$B$4="C",MonteCarlo!$B$4="c"),_xlfn.NORM.S.DIST((LN(V$1 / MonteCarlo!$B$5) + (MonteCarlo!$B$9 + MonteCarlo!$B$7 ^ 2 / 2) *$A26) / (MonteCarlo!$B$7 * SQRT($A26)),TRUE),_xlfn.NORM.S.DIST((LN(V$1 / MonteCarlo!$B$5) + (MonteCarlo!$B$9 - MonteCarlo!$B$7 ^ 2 / 2) *$A26) / (MonteCarlo!$B$7 * SQRT($A26)),TRUE)-1),"")</f>
        <v/>
      </c>
      <c r="W26" t="str">
        <f>IFERROR(IF(OR(MonteCarlo!$B$4="C",MonteCarlo!$B$4="c"),_xlfn.NORM.S.DIST((LN(W$1 / MonteCarlo!$B$5) + (MonteCarlo!$B$9 + MonteCarlo!$B$7 ^ 2 / 2) *$A26) / (MonteCarlo!$B$7 * SQRT($A26)),TRUE),_xlfn.NORM.S.DIST((LN(W$1 / MonteCarlo!$B$5) + (MonteCarlo!$B$9 - MonteCarlo!$B$7 ^ 2 / 2) *$A26) / (MonteCarlo!$B$7 * SQRT($A26)),TRUE)-1),"")</f>
        <v/>
      </c>
      <c r="X26" t="str">
        <f>IFERROR(IF(OR(MonteCarlo!$B$4="C",MonteCarlo!$B$4="c"),_xlfn.NORM.S.DIST((LN(X$1 / MonteCarlo!$B$5) + (MonteCarlo!$B$9 + MonteCarlo!$B$7 ^ 2 / 2) *$A26) / (MonteCarlo!$B$7 * SQRT($A26)),TRUE),_xlfn.NORM.S.DIST((LN(X$1 / MonteCarlo!$B$5) + (MonteCarlo!$B$9 - MonteCarlo!$B$7 ^ 2 / 2) *$A26) / (MonteCarlo!$B$7 * SQRT($A26)),TRUE)-1),"")</f>
        <v/>
      </c>
      <c r="Y26" t="str">
        <f>IFERROR(IF(OR(MonteCarlo!$B$4="C",MonteCarlo!$B$4="c"),_xlfn.NORM.S.DIST((LN(Y$1 / MonteCarlo!$B$5) + (MonteCarlo!$B$9 + MonteCarlo!$B$7 ^ 2 / 2) *$A26) / (MonteCarlo!$B$7 * SQRT($A26)),TRUE),_xlfn.NORM.S.DIST((LN(Y$1 / MonteCarlo!$B$5) + (MonteCarlo!$B$9 - MonteCarlo!$B$7 ^ 2 / 2) *$A26) / (MonteCarlo!$B$7 * SQRT($A26)),TRUE)-1),"")</f>
        <v/>
      </c>
      <c r="Z26" t="str">
        <f>IFERROR(IF(OR(MonteCarlo!$B$4="C",MonteCarlo!$B$4="c"),_xlfn.NORM.S.DIST((LN(Z$1 / MonteCarlo!$B$5) + (MonteCarlo!$B$9 + MonteCarlo!$B$7 ^ 2 / 2) *$A26) / (MonteCarlo!$B$7 * SQRT($A26)),TRUE),_xlfn.NORM.S.DIST((LN(Z$1 / MonteCarlo!$B$5) + (MonteCarlo!$B$9 - MonteCarlo!$B$7 ^ 2 / 2) *$A26) / (MonteCarlo!$B$7 * SQRT($A26)),TRUE)-1),"")</f>
        <v/>
      </c>
      <c r="AA26" t="str">
        <f>IFERROR(IF(OR(MonteCarlo!$B$4="C",MonteCarlo!$B$4="c"),_xlfn.NORM.S.DIST((LN(AA$1 / MonteCarlo!$B$5) + (MonteCarlo!$B$9 + MonteCarlo!$B$7 ^ 2 / 2) *$A26) / (MonteCarlo!$B$7 * SQRT($A26)),TRUE),_xlfn.NORM.S.DIST((LN(AA$1 / MonteCarlo!$B$5) + (MonteCarlo!$B$9 - MonteCarlo!$B$7 ^ 2 / 2) *$A26) / (MonteCarlo!$B$7 * SQRT($A26)),TRUE)-1),"")</f>
        <v/>
      </c>
      <c r="AB26" t="str">
        <f>IFERROR(IF(OR(MonteCarlo!$B$4="C",MonteCarlo!$B$4="c"),_xlfn.NORM.S.DIST((LN(AB$1 / MonteCarlo!$B$5) + (MonteCarlo!$B$9 + MonteCarlo!$B$7 ^ 2 / 2) *$A26) / (MonteCarlo!$B$7 * SQRT($A26)),TRUE),_xlfn.NORM.S.DIST((LN(AB$1 / MonteCarlo!$B$5) + (MonteCarlo!$B$9 - MonteCarlo!$B$7 ^ 2 / 2) *$A26) / (MonteCarlo!$B$7 * SQRT($A26)),TRUE)-1),"")</f>
        <v/>
      </c>
      <c r="AC26" t="str">
        <f>IFERROR(IF(OR(MonteCarlo!$B$4="C",MonteCarlo!$B$4="c"),_xlfn.NORM.S.DIST((LN(AC$1 / MonteCarlo!$B$5) + (MonteCarlo!$B$9 + MonteCarlo!$B$7 ^ 2 / 2) *$A26) / (MonteCarlo!$B$7 * SQRT($A26)),TRUE),_xlfn.NORM.S.DIST((LN(AC$1 / MonteCarlo!$B$5) + (MonteCarlo!$B$9 - MonteCarlo!$B$7 ^ 2 / 2) *$A26) / (MonteCarlo!$B$7 * SQRT($A26)),TRUE)-1),"")</f>
        <v/>
      </c>
      <c r="AD26" t="str">
        <f>IFERROR(IF(OR(MonteCarlo!$B$4="C",MonteCarlo!$B$4="c"),_xlfn.NORM.S.DIST((LN(AD$1 / MonteCarlo!$B$5) + (MonteCarlo!$B$9 + MonteCarlo!$B$7 ^ 2 / 2) *$A26) / (MonteCarlo!$B$7 * SQRT($A26)),TRUE),_xlfn.NORM.S.DIST((LN(AD$1 / MonteCarlo!$B$5) + (MonteCarlo!$B$9 - MonteCarlo!$B$7 ^ 2 / 2) *$A26) / (MonteCarlo!$B$7 * SQRT($A26)),TRUE)-1),"")</f>
        <v/>
      </c>
      <c r="AE26" t="str">
        <f>IFERROR(IF(OR(MonteCarlo!$B$4="C",MonteCarlo!$B$4="c"),_xlfn.NORM.S.DIST((LN(AE$1 / MonteCarlo!$B$5) + (MonteCarlo!$B$9 + MonteCarlo!$B$7 ^ 2 / 2) *$A26) / (MonteCarlo!$B$7 * SQRT($A26)),TRUE),_xlfn.NORM.S.DIST((LN(AE$1 / MonteCarlo!$B$5) + (MonteCarlo!$B$9 - MonteCarlo!$B$7 ^ 2 / 2) *$A26) / (MonteCarlo!$B$7 * SQRT($A26)),TRUE)-1),"")</f>
        <v/>
      </c>
      <c r="AF26" t="str">
        <f>IFERROR(IF(OR(MonteCarlo!$B$4="C",MonteCarlo!$B$4="c"),_xlfn.NORM.S.DIST((LN(AF$1 / MonteCarlo!$B$5) + (MonteCarlo!$B$9 + MonteCarlo!$B$7 ^ 2 / 2) *$A26) / (MonteCarlo!$B$7 * SQRT($A26)),TRUE),_xlfn.NORM.S.DIST((LN(AF$1 / MonteCarlo!$B$5) + (MonteCarlo!$B$9 - MonteCarlo!$B$7 ^ 2 / 2) *$A26) / (MonteCarlo!$B$7 * SQRT($A26)),TRUE)-1),"")</f>
        <v/>
      </c>
    </row>
    <row r="27" spans="2:32" x14ac:dyDescent="0.25">
      <c r="B27" t="str">
        <f>IFERROR(IF(OR(MonteCarlo!$B$4="C",MonteCarlo!$B$4="c"),_xlfn.NORM.S.DIST((LN(B$1 / MonteCarlo!$B$5) + (MonteCarlo!$B$9 + MonteCarlo!$B$7 ^ 2 / 2) *$A27) / (MonteCarlo!$B$7 * SQRT($A27)),TRUE),_xlfn.NORM.S.DIST((LN(B$1 / MonteCarlo!$B$5) + (MonteCarlo!$B$9 - MonteCarlo!$B$7 ^ 2 / 2) *$A27) / (MonteCarlo!$B$7 * SQRT($A27)),TRUE)-1),"")</f>
        <v/>
      </c>
      <c r="C27" t="str">
        <f>IFERROR(IF(OR(MonteCarlo!$B$4="C",MonteCarlo!$B$4="c"),_xlfn.NORM.S.DIST((LN(C$1 / MonteCarlo!$B$5) + (MonteCarlo!$B$9 + MonteCarlo!$B$7 ^ 2 / 2) *$A27) / (MonteCarlo!$B$7 * SQRT($A27)),TRUE),_xlfn.NORM.S.DIST((LN(C$1 / MonteCarlo!$B$5) + (MonteCarlo!$B$9 - MonteCarlo!$B$7 ^ 2 / 2) *$A27) / (MonteCarlo!$B$7 * SQRT($A27)),TRUE)-1),"")</f>
        <v/>
      </c>
      <c r="D27" t="str">
        <f>IFERROR(IF(OR(MonteCarlo!$B$4="C",MonteCarlo!$B$4="c"),_xlfn.NORM.S.DIST((LN(D$1 / MonteCarlo!$B$5) + (MonteCarlo!$B$9 + MonteCarlo!$B$7 ^ 2 / 2) *$A27) / (MonteCarlo!$B$7 * SQRT($A27)),TRUE),_xlfn.NORM.S.DIST((LN(D$1 / MonteCarlo!$B$5) + (MonteCarlo!$B$9 - MonteCarlo!$B$7 ^ 2 / 2) *$A27) / (MonteCarlo!$B$7 * SQRT($A27)),TRUE)-1),"")</f>
        <v/>
      </c>
      <c r="E27" t="str">
        <f>IFERROR(IF(OR(MonteCarlo!$B$4="C",MonteCarlo!$B$4="c"),_xlfn.NORM.S.DIST((LN(E$1 / MonteCarlo!$B$5) + (MonteCarlo!$B$9 + MonteCarlo!$B$7 ^ 2 / 2) *$A27) / (MonteCarlo!$B$7 * SQRT($A27)),TRUE),_xlfn.NORM.S.DIST((LN(E$1 / MonteCarlo!$B$5) + (MonteCarlo!$B$9 - MonteCarlo!$B$7 ^ 2 / 2) *$A27) / (MonteCarlo!$B$7 * SQRT($A27)),TRUE)-1),"")</f>
        <v/>
      </c>
      <c r="F27" t="str">
        <f>IFERROR(IF(OR(MonteCarlo!$B$4="C",MonteCarlo!$B$4="c"),_xlfn.NORM.S.DIST((LN(F$1 / MonteCarlo!$B$5) + (MonteCarlo!$B$9 + MonteCarlo!$B$7 ^ 2 / 2) *$A27) / (MonteCarlo!$B$7 * SQRT($A27)),TRUE),_xlfn.NORM.S.DIST((LN(F$1 / MonteCarlo!$B$5) + (MonteCarlo!$B$9 - MonteCarlo!$B$7 ^ 2 / 2) *$A27) / (MonteCarlo!$B$7 * SQRT($A27)),TRUE)-1),"")</f>
        <v/>
      </c>
      <c r="G27" t="str">
        <f>IFERROR(IF(OR(MonteCarlo!$B$4="C",MonteCarlo!$B$4="c"),_xlfn.NORM.S.DIST((LN(G$1 / MonteCarlo!$B$5) + (MonteCarlo!$B$9 + MonteCarlo!$B$7 ^ 2 / 2) *$A27) / (MonteCarlo!$B$7 * SQRT($A27)),TRUE),_xlfn.NORM.S.DIST((LN(G$1 / MonteCarlo!$B$5) + (MonteCarlo!$B$9 - MonteCarlo!$B$7 ^ 2 / 2) *$A27) / (MonteCarlo!$B$7 * SQRT($A27)),TRUE)-1),"")</f>
        <v/>
      </c>
      <c r="H27" t="str">
        <f>IFERROR(IF(OR(MonteCarlo!$B$4="C",MonteCarlo!$B$4="c"),_xlfn.NORM.S.DIST((LN(H$1 / MonteCarlo!$B$5) + (MonteCarlo!$B$9 + MonteCarlo!$B$7 ^ 2 / 2) *$A27) / (MonteCarlo!$B$7 * SQRT($A27)),TRUE),_xlfn.NORM.S.DIST((LN(H$1 / MonteCarlo!$B$5) + (MonteCarlo!$B$9 - MonteCarlo!$B$7 ^ 2 / 2) *$A27) / (MonteCarlo!$B$7 * SQRT($A27)),TRUE)-1),"")</f>
        <v/>
      </c>
      <c r="I27" t="str">
        <f>IFERROR(IF(OR(MonteCarlo!$B$4="C",MonteCarlo!$B$4="c"),_xlfn.NORM.S.DIST((LN(I$1 / MonteCarlo!$B$5) + (MonteCarlo!$B$9 + MonteCarlo!$B$7 ^ 2 / 2) *$A27) / (MonteCarlo!$B$7 * SQRT($A27)),TRUE),_xlfn.NORM.S.DIST((LN(I$1 / MonteCarlo!$B$5) + (MonteCarlo!$B$9 - MonteCarlo!$B$7 ^ 2 / 2) *$A27) / (MonteCarlo!$B$7 * SQRT($A27)),TRUE)-1),"")</f>
        <v/>
      </c>
      <c r="J27" t="str">
        <f>IFERROR(IF(OR(MonteCarlo!$B$4="C",MonteCarlo!$B$4="c"),_xlfn.NORM.S.DIST((LN(J$1 / MonteCarlo!$B$5) + (MonteCarlo!$B$9 + MonteCarlo!$B$7 ^ 2 / 2) *$A27) / (MonteCarlo!$B$7 * SQRT($A27)),TRUE),_xlfn.NORM.S.DIST((LN(J$1 / MonteCarlo!$B$5) + (MonteCarlo!$B$9 - MonteCarlo!$B$7 ^ 2 / 2) *$A27) / (MonteCarlo!$B$7 * SQRT($A27)),TRUE)-1),"")</f>
        <v/>
      </c>
      <c r="K27" t="str">
        <f>IFERROR(IF(OR(MonteCarlo!$B$4="C",MonteCarlo!$B$4="c"),_xlfn.NORM.S.DIST((LN(K$1 / MonteCarlo!$B$5) + (MonteCarlo!$B$9 + MonteCarlo!$B$7 ^ 2 / 2) *$A27) / (MonteCarlo!$B$7 * SQRT($A27)),TRUE),_xlfn.NORM.S.DIST((LN(K$1 / MonteCarlo!$B$5) + (MonteCarlo!$B$9 - MonteCarlo!$B$7 ^ 2 / 2) *$A27) / (MonteCarlo!$B$7 * SQRT($A27)),TRUE)-1),"")</f>
        <v/>
      </c>
      <c r="L27" t="str">
        <f>IFERROR(IF(OR(MonteCarlo!$B$4="C",MonteCarlo!$B$4="c"),_xlfn.NORM.S.DIST((LN(L$1 / MonteCarlo!$B$5) + (MonteCarlo!$B$9 + MonteCarlo!$B$7 ^ 2 / 2) *$A27) / (MonteCarlo!$B$7 * SQRT($A27)),TRUE),_xlfn.NORM.S.DIST((LN(L$1 / MonteCarlo!$B$5) + (MonteCarlo!$B$9 - MonteCarlo!$B$7 ^ 2 / 2) *$A27) / (MonteCarlo!$B$7 * SQRT($A27)),TRUE)-1),"")</f>
        <v/>
      </c>
      <c r="M27" t="str">
        <f>IFERROR(IF(OR(MonteCarlo!$B$4="C",MonteCarlo!$B$4="c"),_xlfn.NORM.S.DIST((LN(M$1 / MonteCarlo!$B$5) + (MonteCarlo!$B$9 + MonteCarlo!$B$7 ^ 2 / 2) *$A27) / (MonteCarlo!$B$7 * SQRT($A27)),TRUE),_xlfn.NORM.S.DIST((LN(M$1 / MonteCarlo!$B$5) + (MonteCarlo!$B$9 - MonteCarlo!$B$7 ^ 2 / 2) *$A27) / (MonteCarlo!$B$7 * SQRT($A27)),TRUE)-1),"")</f>
        <v/>
      </c>
      <c r="N27" t="str">
        <f>IFERROR(IF(OR(MonteCarlo!$B$4="C",MonteCarlo!$B$4="c"),_xlfn.NORM.S.DIST((LN(N$1 / MonteCarlo!$B$5) + (MonteCarlo!$B$9 + MonteCarlo!$B$7 ^ 2 / 2) *$A27) / (MonteCarlo!$B$7 * SQRT($A27)),TRUE),_xlfn.NORM.S.DIST((LN(N$1 / MonteCarlo!$B$5) + (MonteCarlo!$B$9 - MonteCarlo!$B$7 ^ 2 / 2) *$A27) / (MonteCarlo!$B$7 * SQRT($A27)),TRUE)-1),"")</f>
        <v/>
      </c>
      <c r="O27" t="str">
        <f>IFERROR(IF(OR(MonteCarlo!$B$4="C",MonteCarlo!$B$4="c"),_xlfn.NORM.S.DIST((LN(O$1 / MonteCarlo!$B$5) + (MonteCarlo!$B$9 + MonteCarlo!$B$7 ^ 2 / 2) *$A27) / (MonteCarlo!$B$7 * SQRT($A27)),TRUE),_xlfn.NORM.S.DIST((LN(O$1 / MonteCarlo!$B$5) + (MonteCarlo!$B$9 - MonteCarlo!$B$7 ^ 2 / 2) *$A27) / (MonteCarlo!$B$7 * SQRT($A27)),TRUE)-1),"")</f>
        <v/>
      </c>
      <c r="P27" t="str">
        <f>IFERROR(IF(OR(MonteCarlo!$B$4="C",MonteCarlo!$B$4="c"),_xlfn.NORM.S.DIST((LN(P$1 / MonteCarlo!$B$5) + (MonteCarlo!$B$9 + MonteCarlo!$B$7 ^ 2 / 2) *$A27) / (MonteCarlo!$B$7 * SQRT($A27)),TRUE),_xlfn.NORM.S.DIST((LN(P$1 / MonteCarlo!$B$5) + (MonteCarlo!$B$9 - MonteCarlo!$B$7 ^ 2 / 2) *$A27) / (MonteCarlo!$B$7 * SQRT($A27)),TRUE)-1),"")</f>
        <v/>
      </c>
      <c r="Q27" t="str">
        <f>IFERROR(IF(OR(MonteCarlo!$B$4="C",MonteCarlo!$B$4="c"),_xlfn.NORM.S.DIST((LN(Q$1 / MonteCarlo!$B$5) + (MonteCarlo!$B$9 + MonteCarlo!$B$7 ^ 2 / 2) *$A27) / (MonteCarlo!$B$7 * SQRT($A27)),TRUE),_xlfn.NORM.S.DIST((LN(Q$1 / MonteCarlo!$B$5) + (MonteCarlo!$B$9 - MonteCarlo!$B$7 ^ 2 / 2) *$A27) / (MonteCarlo!$B$7 * SQRT($A27)),TRUE)-1),"")</f>
        <v/>
      </c>
      <c r="R27" t="str">
        <f>IFERROR(IF(OR(MonteCarlo!$B$4="C",MonteCarlo!$B$4="c"),_xlfn.NORM.S.DIST((LN(R$1 / MonteCarlo!$B$5) + (MonteCarlo!$B$9 + MonteCarlo!$B$7 ^ 2 / 2) *$A27) / (MonteCarlo!$B$7 * SQRT($A27)),TRUE),_xlfn.NORM.S.DIST((LN(R$1 / MonteCarlo!$B$5) + (MonteCarlo!$B$9 - MonteCarlo!$B$7 ^ 2 / 2) *$A27) / (MonteCarlo!$B$7 * SQRT($A27)),TRUE)-1),"")</f>
        <v/>
      </c>
      <c r="S27" t="str">
        <f>IFERROR(IF(OR(MonteCarlo!$B$4="C",MonteCarlo!$B$4="c"),_xlfn.NORM.S.DIST((LN(S$1 / MonteCarlo!$B$5) + (MonteCarlo!$B$9 + MonteCarlo!$B$7 ^ 2 / 2) *$A27) / (MonteCarlo!$B$7 * SQRT($A27)),TRUE),_xlfn.NORM.S.DIST((LN(S$1 / MonteCarlo!$B$5) + (MonteCarlo!$B$9 - MonteCarlo!$B$7 ^ 2 / 2) *$A27) / (MonteCarlo!$B$7 * SQRT($A27)),TRUE)-1),"")</f>
        <v/>
      </c>
      <c r="T27" t="str">
        <f>IFERROR(IF(OR(MonteCarlo!$B$4="C",MonteCarlo!$B$4="c"),_xlfn.NORM.S.DIST((LN(T$1 / MonteCarlo!$B$5) + (MonteCarlo!$B$9 + MonteCarlo!$B$7 ^ 2 / 2) *$A27) / (MonteCarlo!$B$7 * SQRT($A27)),TRUE),_xlfn.NORM.S.DIST((LN(T$1 / MonteCarlo!$B$5) + (MonteCarlo!$B$9 - MonteCarlo!$B$7 ^ 2 / 2) *$A27) / (MonteCarlo!$B$7 * SQRT($A27)),TRUE)-1),"")</f>
        <v/>
      </c>
      <c r="U27" t="str">
        <f>IFERROR(IF(OR(MonteCarlo!$B$4="C",MonteCarlo!$B$4="c"),_xlfn.NORM.S.DIST((LN(U$1 / MonteCarlo!$B$5) + (MonteCarlo!$B$9 + MonteCarlo!$B$7 ^ 2 / 2) *$A27) / (MonteCarlo!$B$7 * SQRT($A27)),TRUE),_xlfn.NORM.S.DIST((LN(U$1 / MonteCarlo!$B$5) + (MonteCarlo!$B$9 - MonteCarlo!$B$7 ^ 2 / 2) *$A27) / (MonteCarlo!$B$7 * SQRT($A27)),TRUE)-1),"")</f>
        <v/>
      </c>
      <c r="V27" t="str">
        <f>IFERROR(IF(OR(MonteCarlo!$B$4="C",MonteCarlo!$B$4="c"),_xlfn.NORM.S.DIST((LN(V$1 / MonteCarlo!$B$5) + (MonteCarlo!$B$9 + MonteCarlo!$B$7 ^ 2 / 2) *$A27) / (MonteCarlo!$B$7 * SQRT($A27)),TRUE),_xlfn.NORM.S.DIST((LN(V$1 / MonteCarlo!$B$5) + (MonteCarlo!$B$9 - MonteCarlo!$B$7 ^ 2 / 2) *$A27) / (MonteCarlo!$B$7 * SQRT($A27)),TRUE)-1),"")</f>
        <v/>
      </c>
      <c r="W27" t="str">
        <f>IFERROR(IF(OR(MonteCarlo!$B$4="C",MonteCarlo!$B$4="c"),_xlfn.NORM.S.DIST((LN(W$1 / MonteCarlo!$B$5) + (MonteCarlo!$B$9 + MonteCarlo!$B$7 ^ 2 / 2) *$A27) / (MonteCarlo!$B$7 * SQRT($A27)),TRUE),_xlfn.NORM.S.DIST((LN(W$1 / MonteCarlo!$B$5) + (MonteCarlo!$B$9 - MonteCarlo!$B$7 ^ 2 / 2) *$A27) / (MonteCarlo!$B$7 * SQRT($A27)),TRUE)-1),"")</f>
        <v/>
      </c>
      <c r="X27" t="str">
        <f>IFERROR(IF(OR(MonteCarlo!$B$4="C",MonteCarlo!$B$4="c"),_xlfn.NORM.S.DIST((LN(X$1 / MonteCarlo!$B$5) + (MonteCarlo!$B$9 + MonteCarlo!$B$7 ^ 2 / 2) *$A27) / (MonteCarlo!$B$7 * SQRT($A27)),TRUE),_xlfn.NORM.S.DIST((LN(X$1 / MonteCarlo!$B$5) + (MonteCarlo!$B$9 - MonteCarlo!$B$7 ^ 2 / 2) *$A27) / (MonteCarlo!$B$7 * SQRT($A27)),TRUE)-1),"")</f>
        <v/>
      </c>
      <c r="Y27" t="str">
        <f>IFERROR(IF(OR(MonteCarlo!$B$4="C",MonteCarlo!$B$4="c"),_xlfn.NORM.S.DIST((LN(Y$1 / MonteCarlo!$B$5) + (MonteCarlo!$B$9 + MonteCarlo!$B$7 ^ 2 / 2) *$A27) / (MonteCarlo!$B$7 * SQRT($A27)),TRUE),_xlfn.NORM.S.DIST((LN(Y$1 / MonteCarlo!$B$5) + (MonteCarlo!$B$9 - MonteCarlo!$B$7 ^ 2 / 2) *$A27) / (MonteCarlo!$B$7 * SQRT($A27)),TRUE)-1),"")</f>
        <v/>
      </c>
      <c r="Z27" t="str">
        <f>IFERROR(IF(OR(MonteCarlo!$B$4="C",MonteCarlo!$B$4="c"),_xlfn.NORM.S.DIST((LN(Z$1 / MonteCarlo!$B$5) + (MonteCarlo!$B$9 + MonteCarlo!$B$7 ^ 2 / 2) *$A27) / (MonteCarlo!$B$7 * SQRT($A27)),TRUE),_xlfn.NORM.S.DIST((LN(Z$1 / MonteCarlo!$B$5) + (MonteCarlo!$B$9 - MonteCarlo!$B$7 ^ 2 / 2) *$A27) / (MonteCarlo!$B$7 * SQRT($A27)),TRUE)-1),"")</f>
        <v/>
      </c>
      <c r="AA27" t="str">
        <f>IFERROR(IF(OR(MonteCarlo!$B$4="C",MonteCarlo!$B$4="c"),_xlfn.NORM.S.DIST((LN(AA$1 / MonteCarlo!$B$5) + (MonteCarlo!$B$9 + MonteCarlo!$B$7 ^ 2 / 2) *$A27) / (MonteCarlo!$B$7 * SQRT($A27)),TRUE),_xlfn.NORM.S.DIST((LN(AA$1 / MonteCarlo!$B$5) + (MonteCarlo!$B$9 - MonteCarlo!$B$7 ^ 2 / 2) *$A27) / (MonteCarlo!$B$7 * SQRT($A27)),TRUE)-1),"")</f>
        <v/>
      </c>
      <c r="AB27" t="str">
        <f>IFERROR(IF(OR(MonteCarlo!$B$4="C",MonteCarlo!$B$4="c"),_xlfn.NORM.S.DIST((LN(AB$1 / MonteCarlo!$B$5) + (MonteCarlo!$B$9 + MonteCarlo!$B$7 ^ 2 / 2) *$A27) / (MonteCarlo!$B$7 * SQRT($A27)),TRUE),_xlfn.NORM.S.DIST((LN(AB$1 / MonteCarlo!$B$5) + (MonteCarlo!$B$9 - MonteCarlo!$B$7 ^ 2 / 2) *$A27) / (MonteCarlo!$B$7 * SQRT($A27)),TRUE)-1),"")</f>
        <v/>
      </c>
      <c r="AC27" t="str">
        <f>IFERROR(IF(OR(MonteCarlo!$B$4="C",MonteCarlo!$B$4="c"),_xlfn.NORM.S.DIST((LN(AC$1 / MonteCarlo!$B$5) + (MonteCarlo!$B$9 + MonteCarlo!$B$7 ^ 2 / 2) *$A27) / (MonteCarlo!$B$7 * SQRT($A27)),TRUE),_xlfn.NORM.S.DIST((LN(AC$1 / MonteCarlo!$B$5) + (MonteCarlo!$B$9 - MonteCarlo!$B$7 ^ 2 / 2) *$A27) / (MonteCarlo!$B$7 * SQRT($A27)),TRUE)-1),"")</f>
        <v/>
      </c>
      <c r="AD27" t="str">
        <f>IFERROR(IF(OR(MonteCarlo!$B$4="C",MonteCarlo!$B$4="c"),_xlfn.NORM.S.DIST((LN(AD$1 / MonteCarlo!$B$5) + (MonteCarlo!$B$9 + MonteCarlo!$B$7 ^ 2 / 2) *$A27) / (MonteCarlo!$B$7 * SQRT($A27)),TRUE),_xlfn.NORM.S.DIST((LN(AD$1 / MonteCarlo!$B$5) + (MonteCarlo!$B$9 - MonteCarlo!$B$7 ^ 2 / 2) *$A27) / (MonteCarlo!$B$7 * SQRT($A27)),TRUE)-1),"")</f>
        <v/>
      </c>
      <c r="AE27" t="str">
        <f>IFERROR(IF(OR(MonteCarlo!$B$4="C",MonteCarlo!$B$4="c"),_xlfn.NORM.S.DIST((LN(AE$1 / MonteCarlo!$B$5) + (MonteCarlo!$B$9 + MonteCarlo!$B$7 ^ 2 / 2) *$A27) / (MonteCarlo!$B$7 * SQRT($A27)),TRUE),_xlfn.NORM.S.DIST((LN(AE$1 / MonteCarlo!$B$5) + (MonteCarlo!$B$9 - MonteCarlo!$B$7 ^ 2 / 2) *$A27) / (MonteCarlo!$B$7 * SQRT($A27)),TRUE)-1),"")</f>
        <v/>
      </c>
      <c r="AF27" t="str">
        <f>IFERROR(IF(OR(MonteCarlo!$B$4="C",MonteCarlo!$B$4="c"),_xlfn.NORM.S.DIST((LN(AF$1 / MonteCarlo!$B$5) + (MonteCarlo!$B$9 + MonteCarlo!$B$7 ^ 2 / 2) *$A27) / (MonteCarlo!$B$7 * SQRT($A27)),TRUE),_xlfn.NORM.S.DIST((LN(AF$1 / MonteCarlo!$B$5) + (MonteCarlo!$B$9 - MonteCarlo!$B$7 ^ 2 / 2) *$A27) / (MonteCarlo!$B$7 * SQRT($A27)),TRUE)-1),"")</f>
        <v/>
      </c>
    </row>
    <row r="28" spans="2:32" x14ac:dyDescent="0.25">
      <c r="B28" t="str">
        <f>IFERROR(IF(OR(MonteCarlo!$B$4="C",MonteCarlo!$B$4="c"),_xlfn.NORM.S.DIST((LN(B$1 / MonteCarlo!$B$5) + (MonteCarlo!$B$9 + MonteCarlo!$B$7 ^ 2 / 2) *$A28) / (MonteCarlo!$B$7 * SQRT($A28)),TRUE),_xlfn.NORM.S.DIST((LN(B$1 / MonteCarlo!$B$5) + (MonteCarlo!$B$9 - MonteCarlo!$B$7 ^ 2 / 2) *$A28) / (MonteCarlo!$B$7 * SQRT($A28)),TRUE)-1),"")</f>
        <v/>
      </c>
      <c r="C28" t="str">
        <f>IFERROR(IF(OR(MonteCarlo!$B$4="C",MonteCarlo!$B$4="c"),_xlfn.NORM.S.DIST((LN(C$1 / MonteCarlo!$B$5) + (MonteCarlo!$B$9 + MonteCarlo!$B$7 ^ 2 / 2) *$A28) / (MonteCarlo!$B$7 * SQRT($A28)),TRUE),_xlfn.NORM.S.DIST((LN(C$1 / MonteCarlo!$B$5) + (MonteCarlo!$B$9 - MonteCarlo!$B$7 ^ 2 / 2) *$A28) / (MonteCarlo!$B$7 * SQRT($A28)),TRUE)-1),"")</f>
        <v/>
      </c>
      <c r="D28" t="str">
        <f>IFERROR(IF(OR(MonteCarlo!$B$4="C",MonteCarlo!$B$4="c"),_xlfn.NORM.S.DIST((LN(D$1 / MonteCarlo!$B$5) + (MonteCarlo!$B$9 + MonteCarlo!$B$7 ^ 2 / 2) *$A28) / (MonteCarlo!$B$7 * SQRT($A28)),TRUE),_xlfn.NORM.S.DIST((LN(D$1 / MonteCarlo!$B$5) + (MonteCarlo!$B$9 - MonteCarlo!$B$7 ^ 2 / 2) *$A28) / (MonteCarlo!$B$7 * SQRT($A28)),TRUE)-1),"")</f>
        <v/>
      </c>
      <c r="E28" t="str">
        <f>IFERROR(IF(OR(MonteCarlo!$B$4="C",MonteCarlo!$B$4="c"),_xlfn.NORM.S.DIST((LN(E$1 / MonteCarlo!$B$5) + (MonteCarlo!$B$9 + MonteCarlo!$B$7 ^ 2 / 2) *$A28) / (MonteCarlo!$B$7 * SQRT($A28)),TRUE),_xlfn.NORM.S.DIST((LN(E$1 / MonteCarlo!$B$5) + (MonteCarlo!$B$9 - MonteCarlo!$B$7 ^ 2 / 2) *$A28) / (MonteCarlo!$B$7 * SQRT($A28)),TRUE)-1),"")</f>
        <v/>
      </c>
      <c r="F28" t="str">
        <f>IFERROR(IF(OR(MonteCarlo!$B$4="C",MonteCarlo!$B$4="c"),_xlfn.NORM.S.DIST((LN(F$1 / MonteCarlo!$B$5) + (MonteCarlo!$B$9 + MonteCarlo!$B$7 ^ 2 / 2) *$A28) / (MonteCarlo!$B$7 * SQRT($A28)),TRUE),_xlfn.NORM.S.DIST((LN(F$1 / MonteCarlo!$B$5) + (MonteCarlo!$B$9 - MonteCarlo!$B$7 ^ 2 / 2) *$A28) / (MonteCarlo!$B$7 * SQRT($A28)),TRUE)-1),"")</f>
        <v/>
      </c>
      <c r="G28" t="str">
        <f>IFERROR(IF(OR(MonteCarlo!$B$4="C",MonteCarlo!$B$4="c"),_xlfn.NORM.S.DIST((LN(G$1 / MonteCarlo!$B$5) + (MonteCarlo!$B$9 + MonteCarlo!$B$7 ^ 2 / 2) *$A28) / (MonteCarlo!$B$7 * SQRT($A28)),TRUE),_xlfn.NORM.S.DIST((LN(G$1 / MonteCarlo!$B$5) + (MonteCarlo!$B$9 - MonteCarlo!$B$7 ^ 2 / 2) *$A28) / (MonteCarlo!$B$7 * SQRT($A28)),TRUE)-1),"")</f>
        <v/>
      </c>
      <c r="H28" t="str">
        <f>IFERROR(IF(OR(MonteCarlo!$B$4="C",MonteCarlo!$B$4="c"),_xlfn.NORM.S.DIST((LN(H$1 / MonteCarlo!$B$5) + (MonteCarlo!$B$9 + MonteCarlo!$B$7 ^ 2 / 2) *$A28) / (MonteCarlo!$B$7 * SQRT($A28)),TRUE),_xlfn.NORM.S.DIST((LN(H$1 / MonteCarlo!$B$5) + (MonteCarlo!$B$9 - MonteCarlo!$B$7 ^ 2 / 2) *$A28) / (MonteCarlo!$B$7 * SQRT($A28)),TRUE)-1),"")</f>
        <v/>
      </c>
      <c r="I28" t="str">
        <f>IFERROR(IF(OR(MonteCarlo!$B$4="C",MonteCarlo!$B$4="c"),_xlfn.NORM.S.DIST((LN(I$1 / MonteCarlo!$B$5) + (MonteCarlo!$B$9 + MonteCarlo!$B$7 ^ 2 / 2) *$A28) / (MonteCarlo!$B$7 * SQRT($A28)),TRUE),_xlfn.NORM.S.DIST((LN(I$1 / MonteCarlo!$B$5) + (MonteCarlo!$B$9 - MonteCarlo!$B$7 ^ 2 / 2) *$A28) / (MonteCarlo!$B$7 * SQRT($A28)),TRUE)-1),"")</f>
        <v/>
      </c>
      <c r="J28" t="str">
        <f>IFERROR(IF(OR(MonteCarlo!$B$4="C",MonteCarlo!$B$4="c"),_xlfn.NORM.S.DIST((LN(J$1 / MonteCarlo!$B$5) + (MonteCarlo!$B$9 + MonteCarlo!$B$7 ^ 2 / 2) *$A28) / (MonteCarlo!$B$7 * SQRT($A28)),TRUE),_xlfn.NORM.S.DIST((LN(J$1 / MonteCarlo!$B$5) + (MonteCarlo!$B$9 - MonteCarlo!$B$7 ^ 2 / 2) *$A28) / (MonteCarlo!$B$7 * SQRT($A28)),TRUE)-1),"")</f>
        <v/>
      </c>
      <c r="K28" t="str">
        <f>IFERROR(IF(OR(MonteCarlo!$B$4="C",MonteCarlo!$B$4="c"),_xlfn.NORM.S.DIST((LN(K$1 / MonteCarlo!$B$5) + (MonteCarlo!$B$9 + MonteCarlo!$B$7 ^ 2 / 2) *$A28) / (MonteCarlo!$B$7 * SQRT($A28)),TRUE),_xlfn.NORM.S.DIST((LN(K$1 / MonteCarlo!$B$5) + (MonteCarlo!$B$9 - MonteCarlo!$B$7 ^ 2 / 2) *$A28) / (MonteCarlo!$B$7 * SQRT($A28)),TRUE)-1),"")</f>
        <v/>
      </c>
      <c r="L28" t="str">
        <f>IFERROR(IF(OR(MonteCarlo!$B$4="C",MonteCarlo!$B$4="c"),_xlfn.NORM.S.DIST((LN(L$1 / MonteCarlo!$B$5) + (MonteCarlo!$B$9 + MonteCarlo!$B$7 ^ 2 / 2) *$A28) / (MonteCarlo!$B$7 * SQRT($A28)),TRUE),_xlfn.NORM.S.DIST((LN(L$1 / MonteCarlo!$B$5) + (MonteCarlo!$B$9 - MonteCarlo!$B$7 ^ 2 / 2) *$A28) / (MonteCarlo!$B$7 * SQRT($A28)),TRUE)-1),"")</f>
        <v/>
      </c>
      <c r="M28" t="str">
        <f>IFERROR(IF(OR(MonteCarlo!$B$4="C",MonteCarlo!$B$4="c"),_xlfn.NORM.S.DIST((LN(M$1 / MonteCarlo!$B$5) + (MonteCarlo!$B$9 + MonteCarlo!$B$7 ^ 2 / 2) *$A28) / (MonteCarlo!$B$7 * SQRT($A28)),TRUE),_xlfn.NORM.S.DIST((LN(M$1 / MonteCarlo!$B$5) + (MonteCarlo!$B$9 - MonteCarlo!$B$7 ^ 2 / 2) *$A28) / (MonteCarlo!$B$7 * SQRT($A28)),TRUE)-1),"")</f>
        <v/>
      </c>
      <c r="N28" t="str">
        <f>IFERROR(IF(OR(MonteCarlo!$B$4="C",MonteCarlo!$B$4="c"),_xlfn.NORM.S.DIST((LN(N$1 / MonteCarlo!$B$5) + (MonteCarlo!$B$9 + MonteCarlo!$B$7 ^ 2 / 2) *$A28) / (MonteCarlo!$B$7 * SQRT($A28)),TRUE),_xlfn.NORM.S.DIST((LN(N$1 / MonteCarlo!$B$5) + (MonteCarlo!$B$9 - MonteCarlo!$B$7 ^ 2 / 2) *$A28) / (MonteCarlo!$B$7 * SQRT($A28)),TRUE)-1),"")</f>
        <v/>
      </c>
      <c r="O28" t="str">
        <f>IFERROR(IF(OR(MonteCarlo!$B$4="C",MonteCarlo!$B$4="c"),_xlfn.NORM.S.DIST((LN(O$1 / MonteCarlo!$B$5) + (MonteCarlo!$B$9 + MonteCarlo!$B$7 ^ 2 / 2) *$A28) / (MonteCarlo!$B$7 * SQRT($A28)),TRUE),_xlfn.NORM.S.DIST((LN(O$1 / MonteCarlo!$B$5) + (MonteCarlo!$B$9 - MonteCarlo!$B$7 ^ 2 / 2) *$A28) / (MonteCarlo!$B$7 * SQRT($A28)),TRUE)-1),"")</f>
        <v/>
      </c>
      <c r="P28" t="str">
        <f>IFERROR(IF(OR(MonteCarlo!$B$4="C",MonteCarlo!$B$4="c"),_xlfn.NORM.S.DIST((LN(P$1 / MonteCarlo!$B$5) + (MonteCarlo!$B$9 + MonteCarlo!$B$7 ^ 2 / 2) *$A28) / (MonteCarlo!$B$7 * SQRT($A28)),TRUE),_xlfn.NORM.S.DIST((LN(P$1 / MonteCarlo!$B$5) + (MonteCarlo!$B$9 - MonteCarlo!$B$7 ^ 2 / 2) *$A28) / (MonteCarlo!$B$7 * SQRT($A28)),TRUE)-1),"")</f>
        <v/>
      </c>
      <c r="Q28" t="str">
        <f>IFERROR(IF(OR(MonteCarlo!$B$4="C",MonteCarlo!$B$4="c"),_xlfn.NORM.S.DIST((LN(Q$1 / MonteCarlo!$B$5) + (MonteCarlo!$B$9 + MonteCarlo!$B$7 ^ 2 / 2) *$A28) / (MonteCarlo!$B$7 * SQRT($A28)),TRUE),_xlfn.NORM.S.DIST((LN(Q$1 / MonteCarlo!$B$5) + (MonteCarlo!$B$9 - MonteCarlo!$B$7 ^ 2 / 2) *$A28) / (MonteCarlo!$B$7 * SQRT($A28)),TRUE)-1),"")</f>
        <v/>
      </c>
      <c r="R28" t="str">
        <f>IFERROR(IF(OR(MonteCarlo!$B$4="C",MonteCarlo!$B$4="c"),_xlfn.NORM.S.DIST((LN(R$1 / MonteCarlo!$B$5) + (MonteCarlo!$B$9 + MonteCarlo!$B$7 ^ 2 / 2) *$A28) / (MonteCarlo!$B$7 * SQRT($A28)),TRUE),_xlfn.NORM.S.DIST((LN(R$1 / MonteCarlo!$B$5) + (MonteCarlo!$B$9 - MonteCarlo!$B$7 ^ 2 / 2) *$A28) / (MonteCarlo!$B$7 * SQRT($A28)),TRUE)-1),"")</f>
        <v/>
      </c>
      <c r="S28" t="str">
        <f>IFERROR(IF(OR(MonteCarlo!$B$4="C",MonteCarlo!$B$4="c"),_xlfn.NORM.S.DIST((LN(S$1 / MonteCarlo!$B$5) + (MonteCarlo!$B$9 + MonteCarlo!$B$7 ^ 2 / 2) *$A28) / (MonteCarlo!$B$7 * SQRT($A28)),TRUE),_xlfn.NORM.S.DIST((LN(S$1 / MonteCarlo!$B$5) + (MonteCarlo!$B$9 - MonteCarlo!$B$7 ^ 2 / 2) *$A28) / (MonteCarlo!$B$7 * SQRT($A28)),TRUE)-1),"")</f>
        <v/>
      </c>
      <c r="T28" t="str">
        <f>IFERROR(IF(OR(MonteCarlo!$B$4="C",MonteCarlo!$B$4="c"),_xlfn.NORM.S.DIST((LN(T$1 / MonteCarlo!$B$5) + (MonteCarlo!$B$9 + MonteCarlo!$B$7 ^ 2 / 2) *$A28) / (MonteCarlo!$B$7 * SQRT($A28)),TRUE),_xlfn.NORM.S.DIST((LN(T$1 / MonteCarlo!$B$5) + (MonteCarlo!$B$9 - MonteCarlo!$B$7 ^ 2 / 2) *$A28) / (MonteCarlo!$B$7 * SQRT($A28)),TRUE)-1),"")</f>
        <v/>
      </c>
      <c r="U28" t="str">
        <f>IFERROR(IF(OR(MonteCarlo!$B$4="C",MonteCarlo!$B$4="c"),_xlfn.NORM.S.DIST((LN(U$1 / MonteCarlo!$B$5) + (MonteCarlo!$B$9 + MonteCarlo!$B$7 ^ 2 / 2) *$A28) / (MonteCarlo!$B$7 * SQRT($A28)),TRUE),_xlfn.NORM.S.DIST((LN(U$1 / MonteCarlo!$B$5) + (MonteCarlo!$B$9 - MonteCarlo!$B$7 ^ 2 / 2) *$A28) / (MonteCarlo!$B$7 * SQRT($A28)),TRUE)-1),"")</f>
        <v/>
      </c>
      <c r="V28" t="str">
        <f>IFERROR(IF(OR(MonteCarlo!$B$4="C",MonteCarlo!$B$4="c"),_xlfn.NORM.S.DIST((LN(V$1 / MonteCarlo!$B$5) + (MonteCarlo!$B$9 + MonteCarlo!$B$7 ^ 2 / 2) *$A28) / (MonteCarlo!$B$7 * SQRT($A28)),TRUE),_xlfn.NORM.S.DIST((LN(V$1 / MonteCarlo!$B$5) + (MonteCarlo!$B$9 - MonteCarlo!$B$7 ^ 2 / 2) *$A28) / (MonteCarlo!$B$7 * SQRT($A28)),TRUE)-1),"")</f>
        <v/>
      </c>
      <c r="W28" t="str">
        <f>IFERROR(IF(OR(MonteCarlo!$B$4="C",MonteCarlo!$B$4="c"),_xlfn.NORM.S.DIST((LN(W$1 / MonteCarlo!$B$5) + (MonteCarlo!$B$9 + MonteCarlo!$B$7 ^ 2 / 2) *$A28) / (MonteCarlo!$B$7 * SQRT($A28)),TRUE),_xlfn.NORM.S.DIST((LN(W$1 / MonteCarlo!$B$5) + (MonteCarlo!$B$9 - MonteCarlo!$B$7 ^ 2 / 2) *$A28) / (MonteCarlo!$B$7 * SQRT($A28)),TRUE)-1),"")</f>
        <v/>
      </c>
      <c r="X28" t="str">
        <f>IFERROR(IF(OR(MonteCarlo!$B$4="C",MonteCarlo!$B$4="c"),_xlfn.NORM.S.DIST((LN(X$1 / MonteCarlo!$B$5) + (MonteCarlo!$B$9 + MonteCarlo!$B$7 ^ 2 / 2) *$A28) / (MonteCarlo!$B$7 * SQRT($A28)),TRUE),_xlfn.NORM.S.DIST((LN(X$1 / MonteCarlo!$B$5) + (MonteCarlo!$B$9 - MonteCarlo!$B$7 ^ 2 / 2) *$A28) / (MonteCarlo!$B$7 * SQRT($A28)),TRUE)-1),"")</f>
        <v/>
      </c>
      <c r="Y28" t="str">
        <f>IFERROR(IF(OR(MonteCarlo!$B$4="C",MonteCarlo!$B$4="c"),_xlfn.NORM.S.DIST((LN(Y$1 / MonteCarlo!$B$5) + (MonteCarlo!$B$9 + MonteCarlo!$B$7 ^ 2 / 2) *$A28) / (MonteCarlo!$B$7 * SQRT($A28)),TRUE),_xlfn.NORM.S.DIST((LN(Y$1 / MonteCarlo!$B$5) + (MonteCarlo!$B$9 - MonteCarlo!$B$7 ^ 2 / 2) *$A28) / (MonteCarlo!$B$7 * SQRT($A28)),TRUE)-1),"")</f>
        <v/>
      </c>
      <c r="Z28" t="str">
        <f>IFERROR(IF(OR(MonteCarlo!$B$4="C",MonteCarlo!$B$4="c"),_xlfn.NORM.S.DIST((LN(Z$1 / MonteCarlo!$B$5) + (MonteCarlo!$B$9 + MonteCarlo!$B$7 ^ 2 / 2) *$A28) / (MonteCarlo!$B$7 * SQRT($A28)),TRUE),_xlfn.NORM.S.DIST((LN(Z$1 / MonteCarlo!$B$5) + (MonteCarlo!$B$9 - MonteCarlo!$B$7 ^ 2 / 2) *$A28) / (MonteCarlo!$B$7 * SQRT($A28)),TRUE)-1),"")</f>
        <v/>
      </c>
      <c r="AA28" t="str">
        <f>IFERROR(IF(OR(MonteCarlo!$B$4="C",MonteCarlo!$B$4="c"),_xlfn.NORM.S.DIST((LN(AA$1 / MonteCarlo!$B$5) + (MonteCarlo!$B$9 + MonteCarlo!$B$7 ^ 2 / 2) *$A28) / (MonteCarlo!$B$7 * SQRT($A28)),TRUE),_xlfn.NORM.S.DIST((LN(AA$1 / MonteCarlo!$B$5) + (MonteCarlo!$B$9 - MonteCarlo!$B$7 ^ 2 / 2) *$A28) / (MonteCarlo!$B$7 * SQRT($A28)),TRUE)-1),"")</f>
        <v/>
      </c>
      <c r="AB28" t="str">
        <f>IFERROR(IF(OR(MonteCarlo!$B$4="C",MonteCarlo!$B$4="c"),_xlfn.NORM.S.DIST((LN(AB$1 / MonteCarlo!$B$5) + (MonteCarlo!$B$9 + MonteCarlo!$B$7 ^ 2 / 2) *$A28) / (MonteCarlo!$B$7 * SQRT($A28)),TRUE),_xlfn.NORM.S.DIST((LN(AB$1 / MonteCarlo!$B$5) + (MonteCarlo!$B$9 - MonteCarlo!$B$7 ^ 2 / 2) *$A28) / (MonteCarlo!$B$7 * SQRT($A28)),TRUE)-1),"")</f>
        <v/>
      </c>
      <c r="AC28" t="str">
        <f>IFERROR(IF(OR(MonteCarlo!$B$4="C",MonteCarlo!$B$4="c"),_xlfn.NORM.S.DIST((LN(AC$1 / MonteCarlo!$B$5) + (MonteCarlo!$B$9 + MonteCarlo!$B$7 ^ 2 / 2) *$A28) / (MonteCarlo!$B$7 * SQRT($A28)),TRUE),_xlfn.NORM.S.DIST((LN(AC$1 / MonteCarlo!$B$5) + (MonteCarlo!$B$9 - MonteCarlo!$B$7 ^ 2 / 2) *$A28) / (MonteCarlo!$B$7 * SQRT($A28)),TRUE)-1),"")</f>
        <v/>
      </c>
      <c r="AD28" t="str">
        <f>IFERROR(IF(OR(MonteCarlo!$B$4="C",MonteCarlo!$B$4="c"),_xlfn.NORM.S.DIST((LN(AD$1 / MonteCarlo!$B$5) + (MonteCarlo!$B$9 + MonteCarlo!$B$7 ^ 2 / 2) *$A28) / (MonteCarlo!$B$7 * SQRT($A28)),TRUE),_xlfn.NORM.S.DIST((LN(AD$1 / MonteCarlo!$B$5) + (MonteCarlo!$B$9 - MonteCarlo!$B$7 ^ 2 / 2) *$A28) / (MonteCarlo!$B$7 * SQRT($A28)),TRUE)-1),"")</f>
        <v/>
      </c>
      <c r="AE28" t="str">
        <f>IFERROR(IF(OR(MonteCarlo!$B$4="C",MonteCarlo!$B$4="c"),_xlfn.NORM.S.DIST((LN(AE$1 / MonteCarlo!$B$5) + (MonteCarlo!$B$9 + MonteCarlo!$B$7 ^ 2 / 2) *$A28) / (MonteCarlo!$B$7 * SQRT($A28)),TRUE),_xlfn.NORM.S.DIST((LN(AE$1 / MonteCarlo!$B$5) + (MonteCarlo!$B$9 - MonteCarlo!$B$7 ^ 2 / 2) *$A28) / (MonteCarlo!$B$7 * SQRT($A28)),TRUE)-1),"")</f>
        <v/>
      </c>
      <c r="AF28" t="str">
        <f>IFERROR(IF(OR(MonteCarlo!$B$4="C",MonteCarlo!$B$4="c"),_xlfn.NORM.S.DIST((LN(AF$1 / MonteCarlo!$B$5) + (MonteCarlo!$B$9 + MonteCarlo!$B$7 ^ 2 / 2) *$A28) / (MonteCarlo!$B$7 * SQRT($A28)),TRUE),_xlfn.NORM.S.DIST((LN(AF$1 / MonteCarlo!$B$5) + (MonteCarlo!$B$9 - MonteCarlo!$B$7 ^ 2 / 2) *$A28) / (MonteCarlo!$B$7 * SQRT($A28)),TRUE)-1),"")</f>
        <v/>
      </c>
    </row>
    <row r="29" spans="2:32" x14ac:dyDescent="0.25">
      <c r="B29" t="str">
        <f>IFERROR(IF(OR(MonteCarlo!$B$4="C",MonteCarlo!$B$4="c"),_xlfn.NORM.S.DIST((LN(B$1 / MonteCarlo!$B$5) + (MonteCarlo!$B$9 + MonteCarlo!$B$7 ^ 2 / 2) *$A29) / (MonteCarlo!$B$7 * SQRT($A29)),TRUE),_xlfn.NORM.S.DIST((LN(B$1 / MonteCarlo!$B$5) + (MonteCarlo!$B$9 - MonteCarlo!$B$7 ^ 2 / 2) *$A29) / (MonteCarlo!$B$7 * SQRT($A29)),TRUE)-1),"")</f>
        <v/>
      </c>
      <c r="C29" t="str">
        <f>IFERROR(IF(OR(MonteCarlo!$B$4="C",MonteCarlo!$B$4="c"),_xlfn.NORM.S.DIST((LN(C$1 / MonteCarlo!$B$5) + (MonteCarlo!$B$9 + MonteCarlo!$B$7 ^ 2 / 2) *$A29) / (MonteCarlo!$B$7 * SQRT($A29)),TRUE),_xlfn.NORM.S.DIST((LN(C$1 / MonteCarlo!$B$5) + (MonteCarlo!$B$9 - MonteCarlo!$B$7 ^ 2 / 2) *$A29) / (MonteCarlo!$B$7 * SQRT($A29)),TRUE)-1),"")</f>
        <v/>
      </c>
      <c r="D29" t="str">
        <f>IFERROR(IF(OR(MonteCarlo!$B$4="C",MonteCarlo!$B$4="c"),_xlfn.NORM.S.DIST((LN(D$1 / MonteCarlo!$B$5) + (MonteCarlo!$B$9 + MonteCarlo!$B$7 ^ 2 / 2) *$A29) / (MonteCarlo!$B$7 * SQRT($A29)),TRUE),_xlfn.NORM.S.DIST((LN(D$1 / MonteCarlo!$B$5) + (MonteCarlo!$B$9 - MonteCarlo!$B$7 ^ 2 / 2) *$A29) / (MonteCarlo!$B$7 * SQRT($A29)),TRUE)-1),"")</f>
        <v/>
      </c>
      <c r="E29" t="str">
        <f>IFERROR(IF(OR(MonteCarlo!$B$4="C",MonteCarlo!$B$4="c"),_xlfn.NORM.S.DIST((LN(E$1 / MonteCarlo!$B$5) + (MonteCarlo!$B$9 + MonteCarlo!$B$7 ^ 2 / 2) *$A29) / (MonteCarlo!$B$7 * SQRT($A29)),TRUE),_xlfn.NORM.S.DIST((LN(E$1 / MonteCarlo!$B$5) + (MonteCarlo!$B$9 - MonteCarlo!$B$7 ^ 2 / 2) *$A29) / (MonteCarlo!$B$7 * SQRT($A29)),TRUE)-1),"")</f>
        <v/>
      </c>
      <c r="F29" t="str">
        <f>IFERROR(IF(OR(MonteCarlo!$B$4="C",MonteCarlo!$B$4="c"),_xlfn.NORM.S.DIST((LN(F$1 / MonteCarlo!$B$5) + (MonteCarlo!$B$9 + MonteCarlo!$B$7 ^ 2 / 2) *$A29) / (MonteCarlo!$B$7 * SQRT($A29)),TRUE),_xlfn.NORM.S.DIST((LN(F$1 / MonteCarlo!$B$5) + (MonteCarlo!$B$9 - MonteCarlo!$B$7 ^ 2 / 2) *$A29) / (MonteCarlo!$B$7 * SQRT($A29)),TRUE)-1),"")</f>
        <v/>
      </c>
      <c r="G29" t="str">
        <f>IFERROR(IF(OR(MonteCarlo!$B$4="C",MonteCarlo!$B$4="c"),_xlfn.NORM.S.DIST((LN(G$1 / MonteCarlo!$B$5) + (MonteCarlo!$B$9 + MonteCarlo!$B$7 ^ 2 / 2) *$A29) / (MonteCarlo!$B$7 * SQRT($A29)),TRUE),_xlfn.NORM.S.DIST((LN(G$1 / MonteCarlo!$B$5) + (MonteCarlo!$B$9 - MonteCarlo!$B$7 ^ 2 / 2) *$A29) / (MonteCarlo!$B$7 * SQRT($A29)),TRUE)-1),"")</f>
        <v/>
      </c>
      <c r="H29" t="str">
        <f>IFERROR(IF(OR(MonteCarlo!$B$4="C",MonteCarlo!$B$4="c"),_xlfn.NORM.S.DIST((LN(H$1 / MonteCarlo!$B$5) + (MonteCarlo!$B$9 + MonteCarlo!$B$7 ^ 2 / 2) *$A29) / (MonteCarlo!$B$7 * SQRT($A29)),TRUE),_xlfn.NORM.S.DIST((LN(H$1 / MonteCarlo!$B$5) + (MonteCarlo!$B$9 - MonteCarlo!$B$7 ^ 2 / 2) *$A29) / (MonteCarlo!$B$7 * SQRT($A29)),TRUE)-1),"")</f>
        <v/>
      </c>
      <c r="I29" t="str">
        <f>IFERROR(IF(OR(MonteCarlo!$B$4="C",MonteCarlo!$B$4="c"),_xlfn.NORM.S.DIST((LN(I$1 / MonteCarlo!$B$5) + (MonteCarlo!$B$9 + MonteCarlo!$B$7 ^ 2 / 2) *$A29) / (MonteCarlo!$B$7 * SQRT($A29)),TRUE),_xlfn.NORM.S.DIST((LN(I$1 / MonteCarlo!$B$5) + (MonteCarlo!$B$9 - MonteCarlo!$B$7 ^ 2 / 2) *$A29) / (MonteCarlo!$B$7 * SQRT($A29)),TRUE)-1),"")</f>
        <v/>
      </c>
      <c r="J29" t="str">
        <f>IFERROR(IF(OR(MonteCarlo!$B$4="C",MonteCarlo!$B$4="c"),_xlfn.NORM.S.DIST((LN(J$1 / MonteCarlo!$B$5) + (MonteCarlo!$B$9 + MonteCarlo!$B$7 ^ 2 / 2) *$A29) / (MonteCarlo!$B$7 * SQRT($A29)),TRUE),_xlfn.NORM.S.DIST((LN(J$1 / MonteCarlo!$B$5) + (MonteCarlo!$B$9 - MonteCarlo!$B$7 ^ 2 / 2) *$A29) / (MonteCarlo!$B$7 * SQRT($A29)),TRUE)-1),"")</f>
        <v/>
      </c>
      <c r="K29" t="str">
        <f>IFERROR(IF(OR(MonteCarlo!$B$4="C",MonteCarlo!$B$4="c"),_xlfn.NORM.S.DIST((LN(K$1 / MonteCarlo!$B$5) + (MonteCarlo!$B$9 + MonteCarlo!$B$7 ^ 2 / 2) *$A29) / (MonteCarlo!$B$7 * SQRT($A29)),TRUE),_xlfn.NORM.S.DIST((LN(K$1 / MonteCarlo!$B$5) + (MonteCarlo!$B$9 - MonteCarlo!$B$7 ^ 2 / 2) *$A29) / (MonteCarlo!$B$7 * SQRT($A29)),TRUE)-1),"")</f>
        <v/>
      </c>
      <c r="L29" t="str">
        <f>IFERROR(IF(OR(MonteCarlo!$B$4="C",MonteCarlo!$B$4="c"),_xlfn.NORM.S.DIST((LN(L$1 / MonteCarlo!$B$5) + (MonteCarlo!$B$9 + MonteCarlo!$B$7 ^ 2 / 2) *$A29) / (MonteCarlo!$B$7 * SQRT($A29)),TRUE),_xlfn.NORM.S.DIST((LN(L$1 / MonteCarlo!$B$5) + (MonteCarlo!$B$9 - MonteCarlo!$B$7 ^ 2 / 2) *$A29) / (MonteCarlo!$B$7 * SQRT($A29)),TRUE)-1),"")</f>
        <v/>
      </c>
      <c r="M29" t="str">
        <f>IFERROR(IF(OR(MonteCarlo!$B$4="C",MonteCarlo!$B$4="c"),_xlfn.NORM.S.DIST((LN(M$1 / MonteCarlo!$B$5) + (MonteCarlo!$B$9 + MonteCarlo!$B$7 ^ 2 / 2) *$A29) / (MonteCarlo!$B$7 * SQRT($A29)),TRUE),_xlfn.NORM.S.DIST((LN(M$1 / MonteCarlo!$B$5) + (MonteCarlo!$B$9 - MonteCarlo!$B$7 ^ 2 / 2) *$A29) / (MonteCarlo!$B$7 * SQRT($A29)),TRUE)-1),"")</f>
        <v/>
      </c>
      <c r="N29" t="str">
        <f>IFERROR(IF(OR(MonteCarlo!$B$4="C",MonteCarlo!$B$4="c"),_xlfn.NORM.S.DIST((LN(N$1 / MonteCarlo!$B$5) + (MonteCarlo!$B$9 + MonteCarlo!$B$7 ^ 2 / 2) *$A29) / (MonteCarlo!$B$7 * SQRT($A29)),TRUE),_xlfn.NORM.S.DIST((LN(N$1 / MonteCarlo!$B$5) + (MonteCarlo!$B$9 - MonteCarlo!$B$7 ^ 2 / 2) *$A29) / (MonteCarlo!$B$7 * SQRT($A29)),TRUE)-1),"")</f>
        <v/>
      </c>
      <c r="O29" t="str">
        <f>IFERROR(IF(OR(MonteCarlo!$B$4="C",MonteCarlo!$B$4="c"),_xlfn.NORM.S.DIST((LN(O$1 / MonteCarlo!$B$5) + (MonteCarlo!$B$9 + MonteCarlo!$B$7 ^ 2 / 2) *$A29) / (MonteCarlo!$B$7 * SQRT($A29)),TRUE),_xlfn.NORM.S.DIST((LN(O$1 / MonteCarlo!$B$5) + (MonteCarlo!$B$9 - MonteCarlo!$B$7 ^ 2 / 2) *$A29) / (MonteCarlo!$B$7 * SQRT($A29)),TRUE)-1),"")</f>
        <v/>
      </c>
      <c r="P29" t="str">
        <f>IFERROR(IF(OR(MonteCarlo!$B$4="C",MonteCarlo!$B$4="c"),_xlfn.NORM.S.DIST((LN(P$1 / MonteCarlo!$B$5) + (MonteCarlo!$B$9 + MonteCarlo!$B$7 ^ 2 / 2) *$A29) / (MonteCarlo!$B$7 * SQRT($A29)),TRUE),_xlfn.NORM.S.DIST((LN(P$1 / MonteCarlo!$B$5) + (MonteCarlo!$B$9 - MonteCarlo!$B$7 ^ 2 / 2) *$A29) / (MonteCarlo!$B$7 * SQRT($A29)),TRUE)-1),"")</f>
        <v/>
      </c>
      <c r="Q29" t="str">
        <f>IFERROR(IF(OR(MonteCarlo!$B$4="C",MonteCarlo!$B$4="c"),_xlfn.NORM.S.DIST((LN(Q$1 / MonteCarlo!$B$5) + (MonteCarlo!$B$9 + MonteCarlo!$B$7 ^ 2 / 2) *$A29) / (MonteCarlo!$B$7 * SQRT($A29)),TRUE),_xlfn.NORM.S.DIST((LN(Q$1 / MonteCarlo!$B$5) + (MonteCarlo!$B$9 - MonteCarlo!$B$7 ^ 2 / 2) *$A29) / (MonteCarlo!$B$7 * SQRT($A29)),TRUE)-1),"")</f>
        <v/>
      </c>
      <c r="R29" t="str">
        <f>IFERROR(IF(OR(MonteCarlo!$B$4="C",MonteCarlo!$B$4="c"),_xlfn.NORM.S.DIST((LN(R$1 / MonteCarlo!$B$5) + (MonteCarlo!$B$9 + MonteCarlo!$B$7 ^ 2 / 2) *$A29) / (MonteCarlo!$B$7 * SQRT($A29)),TRUE),_xlfn.NORM.S.DIST((LN(R$1 / MonteCarlo!$B$5) + (MonteCarlo!$B$9 - MonteCarlo!$B$7 ^ 2 / 2) *$A29) / (MonteCarlo!$B$7 * SQRT($A29)),TRUE)-1),"")</f>
        <v/>
      </c>
      <c r="S29" t="str">
        <f>IFERROR(IF(OR(MonteCarlo!$B$4="C",MonteCarlo!$B$4="c"),_xlfn.NORM.S.DIST((LN(S$1 / MonteCarlo!$B$5) + (MonteCarlo!$B$9 + MonteCarlo!$B$7 ^ 2 / 2) *$A29) / (MonteCarlo!$B$7 * SQRT($A29)),TRUE),_xlfn.NORM.S.DIST((LN(S$1 / MonteCarlo!$B$5) + (MonteCarlo!$B$9 - MonteCarlo!$B$7 ^ 2 / 2) *$A29) / (MonteCarlo!$B$7 * SQRT($A29)),TRUE)-1),"")</f>
        <v/>
      </c>
      <c r="T29" t="str">
        <f>IFERROR(IF(OR(MonteCarlo!$B$4="C",MonteCarlo!$B$4="c"),_xlfn.NORM.S.DIST((LN(T$1 / MonteCarlo!$B$5) + (MonteCarlo!$B$9 + MonteCarlo!$B$7 ^ 2 / 2) *$A29) / (MonteCarlo!$B$7 * SQRT($A29)),TRUE),_xlfn.NORM.S.DIST((LN(T$1 / MonteCarlo!$B$5) + (MonteCarlo!$B$9 - MonteCarlo!$B$7 ^ 2 / 2) *$A29) / (MonteCarlo!$B$7 * SQRT($A29)),TRUE)-1),"")</f>
        <v/>
      </c>
      <c r="U29" t="str">
        <f>IFERROR(IF(OR(MonteCarlo!$B$4="C",MonteCarlo!$B$4="c"),_xlfn.NORM.S.DIST((LN(U$1 / MonteCarlo!$B$5) + (MonteCarlo!$B$9 + MonteCarlo!$B$7 ^ 2 / 2) *$A29) / (MonteCarlo!$B$7 * SQRT($A29)),TRUE),_xlfn.NORM.S.DIST((LN(U$1 / MonteCarlo!$B$5) + (MonteCarlo!$B$9 - MonteCarlo!$B$7 ^ 2 / 2) *$A29) / (MonteCarlo!$B$7 * SQRT($A29)),TRUE)-1),"")</f>
        <v/>
      </c>
      <c r="V29" t="str">
        <f>IFERROR(IF(OR(MonteCarlo!$B$4="C",MonteCarlo!$B$4="c"),_xlfn.NORM.S.DIST((LN(V$1 / MonteCarlo!$B$5) + (MonteCarlo!$B$9 + MonteCarlo!$B$7 ^ 2 / 2) *$A29) / (MonteCarlo!$B$7 * SQRT($A29)),TRUE),_xlfn.NORM.S.DIST((LN(V$1 / MonteCarlo!$B$5) + (MonteCarlo!$B$9 - MonteCarlo!$B$7 ^ 2 / 2) *$A29) / (MonteCarlo!$B$7 * SQRT($A29)),TRUE)-1),"")</f>
        <v/>
      </c>
      <c r="W29" t="str">
        <f>IFERROR(IF(OR(MonteCarlo!$B$4="C",MonteCarlo!$B$4="c"),_xlfn.NORM.S.DIST((LN(W$1 / MonteCarlo!$B$5) + (MonteCarlo!$B$9 + MonteCarlo!$B$7 ^ 2 / 2) *$A29) / (MonteCarlo!$B$7 * SQRT($A29)),TRUE),_xlfn.NORM.S.DIST((LN(W$1 / MonteCarlo!$B$5) + (MonteCarlo!$B$9 - MonteCarlo!$B$7 ^ 2 / 2) *$A29) / (MonteCarlo!$B$7 * SQRT($A29)),TRUE)-1),"")</f>
        <v/>
      </c>
      <c r="X29" t="str">
        <f>IFERROR(IF(OR(MonteCarlo!$B$4="C",MonteCarlo!$B$4="c"),_xlfn.NORM.S.DIST((LN(X$1 / MonteCarlo!$B$5) + (MonteCarlo!$B$9 + MonteCarlo!$B$7 ^ 2 / 2) *$A29) / (MonteCarlo!$B$7 * SQRT($A29)),TRUE),_xlfn.NORM.S.DIST((LN(X$1 / MonteCarlo!$B$5) + (MonteCarlo!$B$9 - MonteCarlo!$B$7 ^ 2 / 2) *$A29) / (MonteCarlo!$B$7 * SQRT($A29)),TRUE)-1),"")</f>
        <v/>
      </c>
      <c r="Y29" t="str">
        <f>IFERROR(IF(OR(MonteCarlo!$B$4="C",MonteCarlo!$B$4="c"),_xlfn.NORM.S.DIST((LN(Y$1 / MonteCarlo!$B$5) + (MonteCarlo!$B$9 + MonteCarlo!$B$7 ^ 2 / 2) *$A29) / (MonteCarlo!$B$7 * SQRT($A29)),TRUE),_xlfn.NORM.S.DIST((LN(Y$1 / MonteCarlo!$B$5) + (MonteCarlo!$B$9 - MonteCarlo!$B$7 ^ 2 / 2) *$A29) / (MonteCarlo!$B$7 * SQRT($A29)),TRUE)-1),"")</f>
        <v/>
      </c>
      <c r="Z29" t="str">
        <f>IFERROR(IF(OR(MonteCarlo!$B$4="C",MonteCarlo!$B$4="c"),_xlfn.NORM.S.DIST((LN(Z$1 / MonteCarlo!$B$5) + (MonteCarlo!$B$9 + MonteCarlo!$B$7 ^ 2 / 2) *$A29) / (MonteCarlo!$B$7 * SQRT($A29)),TRUE),_xlfn.NORM.S.DIST((LN(Z$1 / MonteCarlo!$B$5) + (MonteCarlo!$B$9 - MonteCarlo!$B$7 ^ 2 / 2) *$A29) / (MonteCarlo!$B$7 * SQRT($A29)),TRUE)-1),"")</f>
        <v/>
      </c>
      <c r="AA29" t="str">
        <f>IFERROR(IF(OR(MonteCarlo!$B$4="C",MonteCarlo!$B$4="c"),_xlfn.NORM.S.DIST((LN(AA$1 / MonteCarlo!$B$5) + (MonteCarlo!$B$9 + MonteCarlo!$B$7 ^ 2 / 2) *$A29) / (MonteCarlo!$B$7 * SQRT($A29)),TRUE),_xlfn.NORM.S.DIST((LN(AA$1 / MonteCarlo!$B$5) + (MonteCarlo!$B$9 - MonteCarlo!$B$7 ^ 2 / 2) *$A29) / (MonteCarlo!$B$7 * SQRT($A29)),TRUE)-1),"")</f>
        <v/>
      </c>
      <c r="AB29" t="str">
        <f>IFERROR(IF(OR(MonteCarlo!$B$4="C",MonteCarlo!$B$4="c"),_xlfn.NORM.S.DIST((LN(AB$1 / MonteCarlo!$B$5) + (MonteCarlo!$B$9 + MonteCarlo!$B$7 ^ 2 / 2) *$A29) / (MonteCarlo!$B$7 * SQRT($A29)),TRUE),_xlfn.NORM.S.DIST((LN(AB$1 / MonteCarlo!$B$5) + (MonteCarlo!$B$9 - MonteCarlo!$B$7 ^ 2 / 2) *$A29) / (MonteCarlo!$B$7 * SQRT($A29)),TRUE)-1),"")</f>
        <v/>
      </c>
      <c r="AC29" t="str">
        <f>IFERROR(IF(OR(MonteCarlo!$B$4="C",MonteCarlo!$B$4="c"),_xlfn.NORM.S.DIST((LN(AC$1 / MonteCarlo!$B$5) + (MonteCarlo!$B$9 + MonteCarlo!$B$7 ^ 2 / 2) *$A29) / (MonteCarlo!$B$7 * SQRT($A29)),TRUE),_xlfn.NORM.S.DIST((LN(AC$1 / MonteCarlo!$B$5) + (MonteCarlo!$B$9 - MonteCarlo!$B$7 ^ 2 / 2) *$A29) / (MonteCarlo!$B$7 * SQRT($A29)),TRUE)-1),"")</f>
        <v/>
      </c>
      <c r="AD29" t="str">
        <f>IFERROR(IF(OR(MonteCarlo!$B$4="C",MonteCarlo!$B$4="c"),_xlfn.NORM.S.DIST((LN(AD$1 / MonteCarlo!$B$5) + (MonteCarlo!$B$9 + MonteCarlo!$B$7 ^ 2 / 2) *$A29) / (MonteCarlo!$B$7 * SQRT($A29)),TRUE),_xlfn.NORM.S.DIST((LN(AD$1 / MonteCarlo!$B$5) + (MonteCarlo!$B$9 - MonteCarlo!$B$7 ^ 2 / 2) *$A29) / (MonteCarlo!$B$7 * SQRT($A29)),TRUE)-1),"")</f>
        <v/>
      </c>
      <c r="AE29" t="str">
        <f>IFERROR(IF(OR(MonteCarlo!$B$4="C",MonteCarlo!$B$4="c"),_xlfn.NORM.S.DIST((LN(AE$1 / MonteCarlo!$B$5) + (MonteCarlo!$B$9 + MonteCarlo!$B$7 ^ 2 / 2) *$A29) / (MonteCarlo!$B$7 * SQRT($A29)),TRUE),_xlfn.NORM.S.DIST((LN(AE$1 / MonteCarlo!$B$5) + (MonteCarlo!$B$9 - MonteCarlo!$B$7 ^ 2 / 2) *$A29) / (MonteCarlo!$B$7 * SQRT($A29)),TRUE)-1),"")</f>
        <v/>
      </c>
      <c r="AF29" t="str">
        <f>IFERROR(IF(OR(MonteCarlo!$B$4="C",MonteCarlo!$B$4="c"),_xlfn.NORM.S.DIST((LN(AF$1 / MonteCarlo!$B$5) + (MonteCarlo!$B$9 + MonteCarlo!$B$7 ^ 2 / 2) *$A29) / (MonteCarlo!$B$7 * SQRT($A29)),TRUE),_xlfn.NORM.S.DIST((LN(AF$1 / MonteCarlo!$B$5) + (MonteCarlo!$B$9 - MonteCarlo!$B$7 ^ 2 / 2) *$A29) / (MonteCarlo!$B$7 * SQRT($A29)),TRUE)-1),"")</f>
        <v/>
      </c>
    </row>
    <row r="30" spans="2:32" x14ac:dyDescent="0.25">
      <c r="B30" t="str">
        <f>IFERROR(IF(OR(MonteCarlo!$B$4="C",MonteCarlo!$B$4="c"),_xlfn.NORM.S.DIST((LN(B$1 / MonteCarlo!$B$5) + (MonteCarlo!$B$9 + MonteCarlo!$B$7 ^ 2 / 2) *$A30) / (MonteCarlo!$B$7 * SQRT($A30)),TRUE),_xlfn.NORM.S.DIST((LN(B$1 / MonteCarlo!$B$5) + (MonteCarlo!$B$9 - MonteCarlo!$B$7 ^ 2 / 2) *$A30) / (MonteCarlo!$B$7 * SQRT($A30)),TRUE)-1),"")</f>
        <v/>
      </c>
      <c r="C30" t="str">
        <f>IFERROR(IF(OR(MonteCarlo!$B$4="C",MonteCarlo!$B$4="c"),_xlfn.NORM.S.DIST((LN(C$1 / MonteCarlo!$B$5) + (MonteCarlo!$B$9 + MonteCarlo!$B$7 ^ 2 / 2) *$A30) / (MonteCarlo!$B$7 * SQRT($A30)),TRUE),_xlfn.NORM.S.DIST((LN(C$1 / MonteCarlo!$B$5) + (MonteCarlo!$B$9 - MonteCarlo!$B$7 ^ 2 / 2) *$A30) / (MonteCarlo!$B$7 * SQRT($A30)),TRUE)-1),"")</f>
        <v/>
      </c>
      <c r="D30" t="str">
        <f>IFERROR(IF(OR(MonteCarlo!$B$4="C",MonteCarlo!$B$4="c"),_xlfn.NORM.S.DIST((LN(D$1 / MonteCarlo!$B$5) + (MonteCarlo!$B$9 + MonteCarlo!$B$7 ^ 2 / 2) *$A30) / (MonteCarlo!$B$7 * SQRT($A30)),TRUE),_xlfn.NORM.S.DIST((LN(D$1 / MonteCarlo!$B$5) + (MonteCarlo!$B$9 - MonteCarlo!$B$7 ^ 2 / 2) *$A30) / (MonteCarlo!$B$7 * SQRT($A30)),TRUE)-1),"")</f>
        <v/>
      </c>
      <c r="E30" t="str">
        <f>IFERROR(IF(OR(MonteCarlo!$B$4="C",MonteCarlo!$B$4="c"),_xlfn.NORM.S.DIST((LN(E$1 / MonteCarlo!$B$5) + (MonteCarlo!$B$9 + MonteCarlo!$B$7 ^ 2 / 2) *$A30) / (MonteCarlo!$B$7 * SQRT($A30)),TRUE),_xlfn.NORM.S.DIST((LN(E$1 / MonteCarlo!$B$5) + (MonteCarlo!$B$9 - MonteCarlo!$B$7 ^ 2 / 2) *$A30) / (MonteCarlo!$B$7 * SQRT($A30)),TRUE)-1),"")</f>
        <v/>
      </c>
      <c r="F30" t="str">
        <f>IFERROR(IF(OR(MonteCarlo!$B$4="C",MonteCarlo!$B$4="c"),_xlfn.NORM.S.DIST((LN(F$1 / MonteCarlo!$B$5) + (MonteCarlo!$B$9 + MonteCarlo!$B$7 ^ 2 / 2) *$A30) / (MonteCarlo!$B$7 * SQRT($A30)),TRUE),_xlfn.NORM.S.DIST((LN(F$1 / MonteCarlo!$B$5) + (MonteCarlo!$B$9 - MonteCarlo!$B$7 ^ 2 / 2) *$A30) / (MonteCarlo!$B$7 * SQRT($A30)),TRUE)-1),"")</f>
        <v/>
      </c>
      <c r="G30" t="str">
        <f>IFERROR(IF(OR(MonteCarlo!$B$4="C",MonteCarlo!$B$4="c"),_xlfn.NORM.S.DIST((LN(G$1 / MonteCarlo!$B$5) + (MonteCarlo!$B$9 + MonteCarlo!$B$7 ^ 2 / 2) *$A30) / (MonteCarlo!$B$7 * SQRT($A30)),TRUE),_xlfn.NORM.S.DIST((LN(G$1 / MonteCarlo!$B$5) + (MonteCarlo!$B$9 - MonteCarlo!$B$7 ^ 2 / 2) *$A30) / (MonteCarlo!$B$7 * SQRT($A30)),TRUE)-1),"")</f>
        <v/>
      </c>
      <c r="H30" t="str">
        <f>IFERROR(IF(OR(MonteCarlo!$B$4="C",MonteCarlo!$B$4="c"),_xlfn.NORM.S.DIST((LN(H$1 / MonteCarlo!$B$5) + (MonteCarlo!$B$9 + MonteCarlo!$B$7 ^ 2 / 2) *$A30) / (MonteCarlo!$B$7 * SQRT($A30)),TRUE),_xlfn.NORM.S.DIST((LN(H$1 / MonteCarlo!$B$5) + (MonteCarlo!$B$9 - MonteCarlo!$B$7 ^ 2 / 2) *$A30) / (MonteCarlo!$B$7 * SQRT($A30)),TRUE)-1),"")</f>
        <v/>
      </c>
      <c r="I30" t="str">
        <f>IFERROR(IF(OR(MonteCarlo!$B$4="C",MonteCarlo!$B$4="c"),_xlfn.NORM.S.DIST((LN(I$1 / MonteCarlo!$B$5) + (MonteCarlo!$B$9 + MonteCarlo!$B$7 ^ 2 / 2) *$A30) / (MonteCarlo!$B$7 * SQRT($A30)),TRUE),_xlfn.NORM.S.DIST((LN(I$1 / MonteCarlo!$B$5) + (MonteCarlo!$B$9 - MonteCarlo!$B$7 ^ 2 / 2) *$A30) / (MonteCarlo!$B$7 * SQRT($A30)),TRUE)-1),"")</f>
        <v/>
      </c>
      <c r="J30" t="str">
        <f>IFERROR(IF(OR(MonteCarlo!$B$4="C",MonteCarlo!$B$4="c"),_xlfn.NORM.S.DIST((LN(J$1 / MonteCarlo!$B$5) + (MonteCarlo!$B$9 + MonteCarlo!$B$7 ^ 2 / 2) *$A30) / (MonteCarlo!$B$7 * SQRT($A30)),TRUE),_xlfn.NORM.S.DIST((LN(J$1 / MonteCarlo!$B$5) + (MonteCarlo!$B$9 - MonteCarlo!$B$7 ^ 2 / 2) *$A30) / (MonteCarlo!$B$7 * SQRT($A30)),TRUE)-1),"")</f>
        <v/>
      </c>
      <c r="K30" t="str">
        <f>IFERROR(IF(OR(MonteCarlo!$B$4="C",MonteCarlo!$B$4="c"),_xlfn.NORM.S.DIST((LN(K$1 / MonteCarlo!$B$5) + (MonteCarlo!$B$9 + MonteCarlo!$B$7 ^ 2 / 2) *$A30) / (MonteCarlo!$B$7 * SQRT($A30)),TRUE),_xlfn.NORM.S.DIST((LN(K$1 / MonteCarlo!$B$5) + (MonteCarlo!$B$9 - MonteCarlo!$B$7 ^ 2 / 2) *$A30) / (MonteCarlo!$B$7 * SQRT($A30)),TRUE)-1),"")</f>
        <v/>
      </c>
      <c r="L30" t="str">
        <f>IFERROR(IF(OR(MonteCarlo!$B$4="C",MonteCarlo!$B$4="c"),_xlfn.NORM.S.DIST((LN(L$1 / MonteCarlo!$B$5) + (MonteCarlo!$B$9 + MonteCarlo!$B$7 ^ 2 / 2) *$A30) / (MonteCarlo!$B$7 * SQRT($A30)),TRUE),_xlfn.NORM.S.DIST((LN(L$1 / MonteCarlo!$B$5) + (MonteCarlo!$B$9 - MonteCarlo!$B$7 ^ 2 / 2) *$A30) / (MonteCarlo!$B$7 * SQRT($A30)),TRUE)-1),"")</f>
        <v/>
      </c>
      <c r="M30" t="str">
        <f>IFERROR(IF(OR(MonteCarlo!$B$4="C",MonteCarlo!$B$4="c"),_xlfn.NORM.S.DIST((LN(M$1 / MonteCarlo!$B$5) + (MonteCarlo!$B$9 + MonteCarlo!$B$7 ^ 2 / 2) *$A30) / (MonteCarlo!$B$7 * SQRT($A30)),TRUE),_xlfn.NORM.S.DIST((LN(M$1 / MonteCarlo!$B$5) + (MonteCarlo!$B$9 - MonteCarlo!$B$7 ^ 2 / 2) *$A30) / (MonteCarlo!$B$7 * SQRT($A30)),TRUE)-1),"")</f>
        <v/>
      </c>
      <c r="N30" t="str">
        <f>IFERROR(IF(OR(MonteCarlo!$B$4="C",MonteCarlo!$B$4="c"),_xlfn.NORM.S.DIST((LN(N$1 / MonteCarlo!$B$5) + (MonteCarlo!$B$9 + MonteCarlo!$B$7 ^ 2 / 2) *$A30) / (MonteCarlo!$B$7 * SQRT($A30)),TRUE),_xlfn.NORM.S.DIST((LN(N$1 / MonteCarlo!$B$5) + (MonteCarlo!$B$9 - MonteCarlo!$B$7 ^ 2 / 2) *$A30) / (MonteCarlo!$B$7 * SQRT($A30)),TRUE)-1),"")</f>
        <v/>
      </c>
      <c r="O30" t="str">
        <f>IFERROR(IF(OR(MonteCarlo!$B$4="C",MonteCarlo!$B$4="c"),_xlfn.NORM.S.DIST((LN(O$1 / MonteCarlo!$B$5) + (MonteCarlo!$B$9 + MonteCarlo!$B$7 ^ 2 / 2) *$A30) / (MonteCarlo!$B$7 * SQRT($A30)),TRUE),_xlfn.NORM.S.DIST((LN(O$1 / MonteCarlo!$B$5) + (MonteCarlo!$B$9 - MonteCarlo!$B$7 ^ 2 / 2) *$A30) / (MonteCarlo!$B$7 * SQRT($A30)),TRUE)-1),"")</f>
        <v/>
      </c>
      <c r="P30" t="str">
        <f>IFERROR(IF(OR(MonteCarlo!$B$4="C",MonteCarlo!$B$4="c"),_xlfn.NORM.S.DIST((LN(P$1 / MonteCarlo!$B$5) + (MonteCarlo!$B$9 + MonteCarlo!$B$7 ^ 2 / 2) *$A30) / (MonteCarlo!$B$7 * SQRT($A30)),TRUE),_xlfn.NORM.S.DIST((LN(P$1 / MonteCarlo!$B$5) + (MonteCarlo!$B$9 - MonteCarlo!$B$7 ^ 2 / 2) *$A30) / (MonteCarlo!$B$7 * SQRT($A30)),TRUE)-1),"")</f>
        <v/>
      </c>
      <c r="Q30" t="str">
        <f>IFERROR(IF(OR(MonteCarlo!$B$4="C",MonteCarlo!$B$4="c"),_xlfn.NORM.S.DIST((LN(Q$1 / MonteCarlo!$B$5) + (MonteCarlo!$B$9 + MonteCarlo!$B$7 ^ 2 / 2) *$A30) / (MonteCarlo!$B$7 * SQRT($A30)),TRUE),_xlfn.NORM.S.DIST((LN(Q$1 / MonteCarlo!$B$5) + (MonteCarlo!$B$9 - MonteCarlo!$B$7 ^ 2 / 2) *$A30) / (MonteCarlo!$B$7 * SQRT($A30)),TRUE)-1),"")</f>
        <v/>
      </c>
      <c r="R30" t="str">
        <f>IFERROR(IF(OR(MonteCarlo!$B$4="C",MonteCarlo!$B$4="c"),_xlfn.NORM.S.DIST((LN(R$1 / MonteCarlo!$B$5) + (MonteCarlo!$B$9 + MonteCarlo!$B$7 ^ 2 / 2) *$A30) / (MonteCarlo!$B$7 * SQRT($A30)),TRUE),_xlfn.NORM.S.DIST((LN(R$1 / MonteCarlo!$B$5) + (MonteCarlo!$B$9 - MonteCarlo!$B$7 ^ 2 / 2) *$A30) / (MonteCarlo!$B$7 * SQRT($A30)),TRUE)-1),"")</f>
        <v/>
      </c>
      <c r="S30" t="str">
        <f>IFERROR(IF(OR(MonteCarlo!$B$4="C",MonteCarlo!$B$4="c"),_xlfn.NORM.S.DIST((LN(S$1 / MonteCarlo!$B$5) + (MonteCarlo!$B$9 + MonteCarlo!$B$7 ^ 2 / 2) *$A30) / (MonteCarlo!$B$7 * SQRT($A30)),TRUE),_xlfn.NORM.S.DIST((LN(S$1 / MonteCarlo!$B$5) + (MonteCarlo!$B$9 - MonteCarlo!$B$7 ^ 2 / 2) *$A30) / (MonteCarlo!$B$7 * SQRT($A30)),TRUE)-1),"")</f>
        <v/>
      </c>
      <c r="T30" t="str">
        <f>IFERROR(IF(OR(MonteCarlo!$B$4="C",MonteCarlo!$B$4="c"),_xlfn.NORM.S.DIST((LN(T$1 / MonteCarlo!$B$5) + (MonteCarlo!$B$9 + MonteCarlo!$B$7 ^ 2 / 2) *$A30) / (MonteCarlo!$B$7 * SQRT($A30)),TRUE),_xlfn.NORM.S.DIST((LN(T$1 / MonteCarlo!$B$5) + (MonteCarlo!$B$9 - MonteCarlo!$B$7 ^ 2 / 2) *$A30) / (MonteCarlo!$B$7 * SQRT($A30)),TRUE)-1),"")</f>
        <v/>
      </c>
      <c r="U30" t="str">
        <f>IFERROR(IF(OR(MonteCarlo!$B$4="C",MonteCarlo!$B$4="c"),_xlfn.NORM.S.DIST((LN(U$1 / MonteCarlo!$B$5) + (MonteCarlo!$B$9 + MonteCarlo!$B$7 ^ 2 / 2) *$A30) / (MonteCarlo!$B$7 * SQRT($A30)),TRUE),_xlfn.NORM.S.DIST((LN(U$1 / MonteCarlo!$B$5) + (MonteCarlo!$B$9 - MonteCarlo!$B$7 ^ 2 / 2) *$A30) / (MonteCarlo!$B$7 * SQRT($A30)),TRUE)-1),"")</f>
        <v/>
      </c>
      <c r="V30" t="str">
        <f>IFERROR(IF(OR(MonteCarlo!$B$4="C",MonteCarlo!$B$4="c"),_xlfn.NORM.S.DIST((LN(V$1 / MonteCarlo!$B$5) + (MonteCarlo!$B$9 + MonteCarlo!$B$7 ^ 2 / 2) *$A30) / (MonteCarlo!$B$7 * SQRT($A30)),TRUE),_xlfn.NORM.S.DIST((LN(V$1 / MonteCarlo!$B$5) + (MonteCarlo!$B$9 - MonteCarlo!$B$7 ^ 2 / 2) *$A30) / (MonteCarlo!$B$7 * SQRT($A30)),TRUE)-1),"")</f>
        <v/>
      </c>
      <c r="W30" t="str">
        <f>IFERROR(IF(OR(MonteCarlo!$B$4="C",MonteCarlo!$B$4="c"),_xlfn.NORM.S.DIST((LN(W$1 / MonteCarlo!$B$5) + (MonteCarlo!$B$9 + MonteCarlo!$B$7 ^ 2 / 2) *$A30) / (MonteCarlo!$B$7 * SQRT($A30)),TRUE),_xlfn.NORM.S.DIST((LN(W$1 / MonteCarlo!$B$5) + (MonteCarlo!$B$9 - MonteCarlo!$B$7 ^ 2 / 2) *$A30) / (MonteCarlo!$B$7 * SQRT($A30)),TRUE)-1),"")</f>
        <v/>
      </c>
      <c r="X30" t="str">
        <f>IFERROR(IF(OR(MonteCarlo!$B$4="C",MonteCarlo!$B$4="c"),_xlfn.NORM.S.DIST((LN(X$1 / MonteCarlo!$B$5) + (MonteCarlo!$B$9 + MonteCarlo!$B$7 ^ 2 / 2) *$A30) / (MonteCarlo!$B$7 * SQRT($A30)),TRUE),_xlfn.NORM.S.DIST((LN(X$1 / MonteCarlo!$B$5) + (MonteCarlo!$B$9 - MonteCarlo!$B$7 ^ 2 / 2) *$A30) / (MonteCarlo!$B$7 * SQRT($A30)),TRUE)-1),"")</f>
        <v/>
      </c>
      <c r="Y30" t="str">
        <f>IFERROR(IF(OR(MonteCarlo!$B$4="C",MonteCarlo!$B$4="c"),_xlfn.NORM.S.DIST((LN(Y$1 / MonteCarlo!$B$5) + (MonteCarlo!$B$9 + MonteCarlo!$B$7 ^ 2 / 2) *$A30) / (MonteCarlo!$B$7 * SQRT($A30)),TRUE),_xlfn.NORM.S.DIST((LN(Y$1 / MonteCarlo!$B$5) + (MonteCarlo!$B$9 - MonteCarlo!$B$7 ^ 2 / 2) *$A30) / (MonteCarlo!$B$7 * SQRT($A30)),TRUE)-1),"")</f>
        <v/>
      </c>
      <c r="Z30" t="str">
        <f>IFERROR(IF(OR(MonteCarlo!$B$4="C",MonteCarlo!$B$4="c"),_xlfn.NORM.S.DIST((LN(Z$1 / MonteCarlo!$B$5) + (MonteCarlo!$B$9 + MonteCarlo!$B$7 ^ 2 / 2) *$A30) / (MonteCarlo!$B$7 * SQRT($A30)),TRUE),_xlfn.NORM.S.DIST((LN(Z$1 / MonteCarlo!$B$5) + (MonteCarlo!$B$9 - MonteCarlo!$B$7 ^ 2 / 2) *$A30) / (MonteCarlo!$B$7 * SQRT($A30)),TRUE)-1),"")</f>
        <v/>
      </c>
      <c r="AA30" t="str">
        <f>IFERROR(IF(OR(MonteCarlo!$B$4="C",MonteCarlo!$B$4="c"),_xlfn.NORM.S.DIST((LN(AA$1 / MonteCarlo!$B$5) + (MonteCarlo!$B$9 + MonteCarlo!$B$7 ^ 2 / 2) *$A30) / (MonteCarlo!$B$7 * SQRT($A30)),TRUE),_xlfn.NORM.S.DIST((LN(AA$1 / MonteCarlo!$B$5) + (MonteCarlo!$B$9 - MonteCarlo!$B$7 ^ 2 / 2) *$A30) / (MonteCarlo!$B$7 * SQRT($A30)),TRUE)-1),"")</f>
        <v/>
      </c>
      <c r="AB30" t="str">
        <f>IFERROR(IF(OR(MonteCarlo!$B$4="C",MonteCarlo!$B$4="c"),_xlfn.NORM.S.DIST((LN(AB$1 / MonteCarlo!$B$5) + (MonteCarlo!$B$9 + MonteCarlo!$B$7 ^ 2 / 2) *$A30) / (MonteCarlo!$B$7 * SQRT($A30)),TRUE),_xlfn.NORM.S.DIST((LN(AB$1 / MonteCarlo!$B$5) + (MonteCarlo!$B$9 - MonteCarlo!$B$7 ^ 2 / 2) *$A30) / (MonteCarlo!$B$7 * SQRT($A30)),TRUE)-1),"")</f>
        <v/>
      </c>
      <c r="AC30" t="str">
        <f>IFERROR(IF(OR(MonteCarlo!$B$4="C",MonteCarlo!$B$4="c"),_xlfn.NORM.S.DIST((LN(AC$1 / MonteCarlo!$B$5) + (MonteCarlo!$B$9 + MonteCarlo!$B$7 ^ 2 / 2) *$A30) / (MonteCarlo!$B$7 * SQRT($A30)),TRUE),_xlfn.NORM.S.DIST((LN(AC$1 / MonteCarlo!$B$5) + (MonteCarlo!$B$9 - MonteCarlo!$B$7 ^ 2 / 2) *$A30) / (MonteCarlo!$B$7 * SQRT($A30)),TRUE)-1),"")</f>
        <v/>
      </c>
      <c r="AD30" t="str">
        <f>IFERROR(IF(OR(MonteCarlo!$B$4="C",MonteCarlo!$B$4="c"),_xlfn.NORM.S.DIST((LN(AD$1 / MonteCarlo!$B$5) + (MonteCarlo!$B$9 + MonteCarlo!$B$7 ^ 2 / 2) *$A30) / (MonteCarlo!$B$7 * SQRT($A30)),TRUE),_xlfn.NORM.S.DIST((LN(AD$1 / MonteCarlo!$B$5) + (MonteCarlo!$B$9 - MonteCarlo!$B$7 ^ 2 / 2) *$A30) / (MonteCarlo!$B$7 * SQRT($A30)),TRUE)-1),"")</f>
        <v/>
      </c>
      <c r="AE30" t="str">
        <f>IFERROR(IF(OR(MonteCarlo!$B$4="C",MonteCarlo!$B$4="c"),_xlfn.NORM.S.DIST((LN(AE$1 / MonteCarlo!$B$5) + (MonteCarlo!$B$9 + MonteCarlo!$B$7 ^ 2 / 2) *$A30) / (MonteCarlo!$B$7 * SQRT($A30)),TRUE),_xlfn.NORM.S.DIST((LN(AE$1 / MonteCarlo!$B$5) + (MonteCarlo!$B$9 - MonteCarlo!$B$7 ^ 2 / 2) *$A30) / (MonteCarlo!$B$7 * SQRT($A30)),TRUE)-1),"")</f>
        <v/>
      </c>
      <c r="AF30" t="str">
        <f>IFERROR(IF(OR(MonteCarlo!$B$4="C",MonteCarlo!$B$4="c"),_xlfn.NORM.S.DIST((LN(AF$1 / MonteCarlo!$B$5) + (MonteCarlo!$B$9 + MonteCarlo!$B$7 ^ 2 / 2) *$A30) / (MonteCarlo!$B$7 * SQRT($A30)),TRUE),_xlfn.NORM.S.DIST((LN(AF$1 / MonteCarlo!$B$5) + (MonteCarlo!$B$9 - MonteCarlo!$B$7 ^ 2 / 2) *$A30) / (MonteCarlo!$B$7 * SQRT($A30)),TRUE)-1),"")</f>
        <v/>
      </c>
    </row>
    <row r="31" spans="2:32" x14ac:dyDescent="0.25">
      <c r="B31" t="str">
        <f>IFERROR(IF(OR(MonteCarlo!$B$4="C",MonteCarlo!$B$4="c"),_xlfn.NORM.S.DIST((LN(B$1 / MonteCarlo!$B$5) + (MonteCarlo!$B$9 + MonteCarlo!$B$7 ^ 2 / 2) *$A31) / (MonteCarlo!$B$7 * SQRT($A31)),TRUE),_xlfn.NORM.S.DIST((LN(B$1 / MonteCarlo!$B$5) + (MonteCarlo!$B$9 - MonteCarlo!$B$7 ^ 2 / 2) *$A31) / (MonteCarlo!$B$7 * SQRT($A31)),TRUE)-1),"")</f>
        <v/>
      </c>
      <c r="C31" t="str">
        <f>IFERROR(IF(OR(MonteCarlo!$B$4="C",MonteCarlo!$B$4="c"),_xlfn.NORM.S.DIST((LN(C$1 / MonteCarlo!$B$5) + (MonteCarlo!$B$9 + MonteCarlo!$B$7 ^ 2 / 2) *$A31) / (MonteCarlo!$B$7 * SQRT($A31)),TRUE),_xlfn.NORM.S.DIST((LN(C$1 / MonteCarlo!$B$5) + (MonteCarlo!$B$9 - MonteCarlo!$B$7 ^ 2 / 2) *$A31) / (MonteCarlo!$B$7 * SQRT($A31)),TRUE)-1),"")</f>
        <v/>
      </c>
      <c r="D31" t="str">
        <f>IFERROR(IF(OR(MonteCarlo!$B$4="C",MonteCarlo!$B$4="c"),_xlfn.NORM.S.DIST((LN(D$1 / MonteCarlo!$B$5) + (MonteCarlo!$B$9 + MonteCarlo!$B$7 ^ 2 / 2) *$A31) / (MonteCarlo!$B$7 * SQRT($A31)),TRUE),_xlfn.NORM.S.DIST((LN(D$1 / MonteCarlo!$B$5) + (MonteCarlo!$B$9 - MonteCarlo!$B$7 ^ 2 / 2) *$A31) / (MonteCarlo!$B$7 * SQRT($A31)),TRUE)-1),"")</f>
        <v/>
      </c>
      <c r="E31" t="str">
        <f>IFERROR(IF(OR(MonteCarlo!$B$4="C",MonteCarlo!$B$4="c"),_xlfn.NORM.S.DIST((LN(E$1 / MonteCarlo!$B$5) + (MonteCarlo!$B$9 + MonteCarlo!$B$7 ^ 2 / 2) *$A31) / (MonteCarlo!$B$7 * SQRT($A31)),TRUE),_xlfn.NORM.S.DIST((LN(E$1 / MonteCarlo!$B$5) + (MonteCarlo!$B$9 - MonteCarlo!$B$7 ^ 2 / 2) *$A31) / (MonteCarlo!$B$7 * SQRT($A31)),TRUE)-1),"")</f>
        <v/>
      </c>
      <c r="F31" t="str">
        <f>IFERROR(IF(OR(MonteCarlo!$B$4="C",MonteCarlo!$B$4="c"),_xlfn.NORM.S.DIST((LN(F$1 / MonteCarlo!$B$5) + (MonteCarlo!$B$9 + MonteCarlo!$B$7 ^ 2 / 2) *$A31) / (MonteCarlo!$B$7 * SQRT($A31)),TRUE),_xlfn.NORM.S.DIST((LN(F$1 / MonteCarlo!$B$5) + (MonteCarlo!$B$9 - MonteCarlo!$B$7 ^ 2 / 2) *$A31) / (MonteCarlo!$B$7 * SQRT($A31)),TRUE)-1),"")</f>
        <v/>
      </c>
      <c r="G31" t="str">
        <f>IFERROR(IF(OR(MonteCarlo!$B$4="C",MonteCarlo!$B$4="c"),_xlfn.NORM.S.DIST((LN(G$1 / MonteCarlo!$B$5) + (MonteCarlo!$B$9 + MonteCarlo!$B$7 ^ 2 / 2) *$A31) / (MonteCarlo!$B$7 * SQRT($A31)),TRUE),_xlfn.NORM.S.DIST((LN(G$1 / MonteCarlo!$B$5) + (MonteCarlo!$B$9 - MonteCarlo!$B$7 ^ 2 / 2) *$A31) / (MonteCarlo!$B$7 * SQRT($A31)),TRUE)-1),"")</f>
        <v/>
      </c>
      <c r="H31" t="str">
        <f>IFERROR(IF(OR(MonteCarlo!$B$4="C",MonteCarlo!$B$4="c"),_xlfn.NORM.S.DIST((LN(H$1 / MonteCarlo!$B$5) + (MonteCarlo!$B$9 + MonteCarlo!$B$7 ^ 2 / 2) *$A31) / (MonteCarlo!$B$7 * SQRT($A31)),TRUE),_xlfn.NORM.S.DIST((LN(H$1 / MonteCarlo!$B$5) + (MonteCarlo!$B$9 - MonteCarlo!$B$7 ^ 2 / 2) *$A31) / (MonteCarlo!$B$7 * SQRT($A31)),TRUE)-1),"")</f>
        <v/>
      </c>
      <c r="I31" t="str">
        <f>IFERROR(IF(OR(MonteCarlo!$B$4="C",MonteCarlo!$B$4="c"),_xlfn.NORM.S.DIST((LN(I$1 / MonteCarlo!$B$5) + (MonteCarlo!$B$9 + MonteCarlo!$B$7 ^ 2 / 2) *$A31) / (MonteCarlo!$B$7 * SQRT($A31)),TRUE),_xlfn.NORM.S.DIST((LN(I$1 / MonteCarlo!$B$5) + (MonteCarlo!$B$9 - MonteCarlo!$B$7 ^ 2 / 2) *$A31) / (MonteCarlo!$B$7 * SQRT($A31)),TRUE)-1),"")</f>
        <v/>
      </c>
      <c r="J31" t="str">
        <f>IFERROR(IF(OR(MonteCarlo!$B$4="C",MonteCarlo!$B$4="c"),_xlfn.NORM.S.DIST((LN(J$1 / MonteCarlo!$B$5) + (MonteCarlo!$B$9 + MonteCarlo!$B$7 ^ 2 / 2) *$A31) / (MonteCarlo!$B$7 * SQRT($A31)),TRUE),_xlfn.NORM.S.DIST((LN(J$1 / MonteCarlo!$B$5) + (MonteCarlo!$B$9 - MonteCarlo!$B$7 ^ 2 / 2) *$A31) / (MonteCarlo!$B$7 * SQRT($A31)),TRUE)-1),"")</f>
        <v/>
      </c>
      <c r="K31" t="str">
        <f>IFERROR(IF(OR(MonteCarlo!$B$4="C",MonteCarlo!$B$4="c"),_xlfn.NORM.S.DIST((LN(K$1 / MonteCarlo!$B$5) + (MonteCarlo!$B$9 + MonteCarlo!$B$7 ^ 2 / 2) *$A31) / (MonteCarlo!$B$7 * SQRT($A31)),TRUE),_xlfn.NORM.S.DIST((LN(K$1 / MonteCarlo!$B$5) + (MonteCarlo!$B$9 - MonteCarlo!$B$7 ^ 2 / 2) *$A31) / (MonteCarlo!$B$7 * SQRT($A31)),TRUE)-1),"")</f>
        <v/>
      </c>
      <c r="L31" t="str">
        <f>IFERROR(IF(OR(MonteCarlo!$B$4="C",MonteCarlo!$B$4="c"),_xlfn.NORM.S.DIST((LN(L$1 / MonteCarlo!$B$5) + (MonteCarlo!$B$9 + MonteCarlo!$B$7 ^ 2 / 2) *$A31) / (MonteCarlo!$B$7 * SQRT($A31)),TRUE),_xlfn.NORM.S.DIST((LN(L$1 / MonteCarlo!$B$5) + (MonteCarlo!$B$9 - MonteCarlo!$B$7 ^ 2 / 2) *$A31) / (MonteCarlo!$B$7 * SQRT($A31)),TRUE)-1),"")</f>
        <v/>
      </c>
      <c r="M31" t="str">
        <f>IFERROR(IF(OR(MonteCarlo!$B$4="C",MonteCarlo!$B$4="c"),_xlfn.NORM.S.DIST((LN(M$1 / MonteCarlo!$B$5) + (MonteCarlo!$B$9 + MonteCarlo!$B$7 ^ 2 / 2) *$A31) / (MonteCarlo!$B$7 * SQRT($A31)),TRUE),_xlfn.NORM.S.DIST((LN(M$1 / MonteCarlo!$B$5) + (MonteCarlo!$B$9 - MonteCarlo!$B$7 ^ 2 / 2) *$A31) / (MonteCarlo!$B$7 * SQRT($A31)),TRUE)-1),"")</f>
        <v/>
      </c>
      <c r="N31" t="str">
        <f>IFERROR(IF(OR(MonteCarlo!$B$4="C",MonteCarlo!$B$4="c"),_xlfn.NORM.S.DIST((LN(N$1 / MonteCarlo!$B$5) + (MonteCarlo!$B$9 + MonteCarlo!$B$7 ^ 2 / 2) *$A31) / (MonteCarlo!$B$7 * SQRT($A31)),TRUE),_xlfn.NORM.S.DIST((LN(N$1 / MonteCarlo!$B$5) + (MonteCarlo!$B$9 - MonteCarlo!$B$7 ^ 2 / 2) *$A31) / (MonteCarlo!$B$7 * SQRT($A31)),TRUE)-1),"")</f>
        <v/>
      </c>
      <c r="O31" t="str">
        <f>IFERROR(IF(OR(MonteCarlo!$B$4="C",MonteCarlo!$B$4="c"),_xlfn.NORM.S.DIST((LN(O$1 / MonteCarlo!$B$5) + (MonteCarlo!$B$9 + MonteCarlo!$B$7 ^ 2 / 2) *$A31) / (MonteCarlo!$B$7 * SQRT($A31)),TRUE),_xlfn.NORM.S.DIST((LN(O$1 / MonteCarlo!$B$5) + (MonteCarlo!$B$9 - MonteCarlo!$B$7 ^ 2 / 2) *$A31) / (MonteCarlo!$B$7 * SQRT($A31)),TRUE)-1),"")</f>
        <v/>
      </c>
      <c r="P31" t="str">
        <f>IFERROR(IF(OR(MonteCarlo!$B$4="C",MonteCarlo!$B$4="c"),_xlfn.NORM.S.DIST((LN(P$1 / MonteCarlo!$B$5) + (MonteCarlo!$B$9 + MonteCarlo!$B$7 ^ 2 / 2) *$A31) / (MonteCarlo!$B$7 * SQRT($A31)),TRUE),_xlfn.NORM.S.DIST((LN(P$1 / MonteCarlo!$B$5) + (MonteCarlo!$B$9 - MonteCarlo!$B$7 ^ 2 / 2) *$A31) / (MonteCarlo!$B$7 * SQRT($A31)),TRUE)-1),"")</f>
        <v/>
      </c>
      <c r="Q31" t="str">
        <f>IFERROR(IF(OR(MonteCarlo!$B$4="C",MonteCarlo!$B$4="c"),_xlfn.NORM.S.DIST((LN(Q$1 / MonteCarlo!$B$5) + (MonteCarlo!$B$9 + MonteCarlo!$B$7 ^ 2 / 2) *$A31) / (MonteCarlo!$B$7 * SQRT($A31)),TRUE),_xlfn.NORM.S.DIST((LN(Q$1 / MonteCarlo!$B$5) + (MonteCarlo!$B$9 - MonteCarlo!$B$7 ^ 2 / 2) *$A31) / (MonteCarlo!$B$7 * SQRT($A31)),TRUE)-1),"")</f>
        <v/>
      </c>
      <c r="R31" t="str">
        <f>IFERROR(IF(OR(MonteCarlo!$B$4="C",MonteCarlo!$B$4="c"),_xlfn.NORM.S.DIST((LN(R$1 / MonteCarlo!$B$5) + (MonteCarlo!$B$9 + MonteCarlo!$B$7 ^ 2 / 2) *$A31) / (MonteCarlo!$B$7 * SQRT($A31)),TRUE),_xlfn.NORM.S.DIST((LN(R$1 / MonteCarlo!$B$5) + (MonteCarlo!$B$9 - MonteCarlo!$B$7 ^ 2 / 2) *$A31) / (MonteCarlo!$B$7 * SQRT($A31)),TRUE)-1),"")</f>
        <v/>
      </c>
      <c r="S31" t="str">
        <f>IFERROR(IF(OR(MonteCarlo!$B$4="C",MonteCarlo!$B$4="c"),_xlfn.NORM.S.DIST((LN(S$1 / MonteCarlo!$B$5) + (MonteCarlo!$B$9 + MonteCarlo!$B$7 ^ 2 / 2) *$A31) / (MonteCarlo!$B$7 * SQRT($A31)),TRUE),_xlfn.NORM.S.DIST((LN(S$1 / MonteCarlo!$B$5) + (MonteCarlo!$B$9 - MonteCarlo!$B$7 ^ 2 / 2) *$A31) / (MonteCarlo!$B$7 * SQRT($A31)),TRUE)-1),"")</f>
        <v/>
      </c>
      <c r="T31" t="str">
        <f>IFERROR(IF(OR(MonteCarlo!$B$4="C",MonteCarlo!$B$4="c"),_xlfn.NORM.S.DIST((LN(T$1 / MonteCarlo!$B$5) + (MonteCarlo!$B$9 + MonteCarlo!$B$7 ^ 2 / 2) *$A31) / (MonteCarlo!$B$7 * SQRT($A31)),TRUE),_xlfn.NORM.S.DIST((LN(T$1 / MonteCarlo!$B$5) + (MonteCarlo!$B$9 - MonteCarlo!$B$7 ^ 2 / 2) *$A31) / (MonteCarlo!$B$7 * SQRT($A31)),TRUE)-1),"")</f>
        <v/>
      </c>
      <c r="U31" t="str">
        <f>IFERROR(IF(OR(MonteCarlo!$B$4="C",MonteCarlo!$B$4="c"),_xlfn.NORM.S.DIST((LN(U$1 / MonteCarlo!$B$5) + (MonteCarlo!$B$9 + MonteCarlo!$B$7 ^ 2 / 2) *$A31) / (MonteCarlo!$B$7 * SQRT($A31)),TRUE),_xlfn.NORM.S.DIST((LN(U$1 / MonteCarlo!$B$5) + (MonteCarlo!$B$9 - MonteCarlo!$B$7 ^ 2 / 2) *$A31) / (MonteCarlo!$B$7 * SQRT($A31)),TRUE)-1),"")</f>
        <v/>
      </c>
      <c r="V31" t="str">
        <f>IFERROR(IF(OR(MonteCarlo!$B$4="C",MonteCarlo!$B$4="c"),_xlfn.NORM.S.DIST((LN(V$1 / MonteCarlo!$B$5) + (MonteCarlo!$B$9 + MonteCarlo!$B$7 ^ 2 / 2) *$A31) / (MonteCarlo!$B$7 * SQRT($A31)),TRUE),_xlfn.NORM.S.DIST((LN(V$1 / MonteCarlo!$B$5) + (MonteCarlo!$B$9 - MonteCarlo!$B$7 ^ 2 / 2) *$A31) / (MonteCarlo!$B$7 * SQRT($A31)),TRUE)-1),"")</f>
        <v/>
      </c>
      <c r="W31" t="str">
        <f>IFERROR(IF(OR(MonteCarlo!$B$4="C",MonteCarlo!$B$4="c"),_xlfn.NORM.S.DIST((LN(W$1 / MonteCarlo!$B$5) + (MonteCarlo!$B$9 + MonteCarlo!$B$7 ^ 2 / 2) *$A31) / (MonteCarlo!$B$7 * SQRT($A31)),TRUE),_xlfn.NORM.S.DIST((LN(W$1 / MonteCarlo!$B$5) + (MonteCarlo!$B$9 - MonteCarlo!$B$7 ^ 2 / 2) *$A31) / (MonteCarlo!$B$7 * SQRT($A31)),TRUE)-1),"")</f>
        <v/>
      </c>
      <c r="X31" t="str">
        <f>IFERROR(IF(OR(MonteCarlo!$B$4="C",MonteCarlo!$B$4="c"),_xlfn.NORM.S.DIST((LN(X$1 / MonteCarlo!$B$5) + (MonteCarlo!$B$9 + MonteCarlo!$B$7 ^ 2 / 2) *$A31) / (MonteCarlo!$B$7 * SQRT($A31)),TRUE),_xlfn.NORM.S.DIST((LN(X$1 / MonteCarlo!$B$5) + (MonteCarlo!$B$9 - MonteCarlo!$B$7 ^ 2 / 2) *$A31) / (MonteCarlo!$B$7 * SQRT($A31)),TRUE)-1),"")</f>
        <v/>
      </c>
      <c r="Y31" t="str">
        <f>IFERROR(IF(OR(MonteCarlo!$B$4="C",MonteCarlo!$B$4="c"),_xlfn.NORM.S.DIST((LN(Y$1 / MonteCarlo!$B$5) + (MonteCarlo!$B$9 + MonteCarlo!$B$7 ^ 2 / 2) *$A31) / (MonteCarlo!$B$7 * SQRT($A31)),TRUE),_xlfn.NORM.S.DIST((LN(Y$1 / MonteCarlo!$B$5) + (MonteCarlo!$B$9 - MonteCarlo!$B$7 ^ 2 / 2) *$A31) / (MonteCarlo!$B$7 * SQRT($A31)),TRUE)-1),"")</f>
        <v/>
      </c>
      <c r="Z31" t="str">
        <f>IFERROR(IF(OR(MonteCarlo!$B$4="C",MonteCarlo!$B$4="c"),_xlfn.NORM.S.DIST((LN(Z$1 / MonteCarlo!$B$5) + (MonteCarlo!$B$9 + MonteCarlo!$B$7 ^ 2 / 2) *$A31) / (MonteCarlo!$B$7 * SQRT($A31)),TRUE),_xlfn.NORM.S.DIST((LN(Z$1 / MonteCarlo!$B$5) + (MonteCarlo!$B$9 - MonteCarlo!$B$7 ^ 2 / 2) *$A31) / (MonteCarlo!$B$7 * SQRT($A31)),TRUE)-1),"")</f>
        <v/>
      </c>
      <c r="AA31" t="str">
        <f>IFERROR(IF(OR(MonteCarlo!$B$4="C",MonteCarlo!$B$4="c"),_xlfn.NORM.S.DIST((LN(AA$1 / MonteCarlo!$B$5) + (MonteCarlo!$B$9 + MonteCarlo!$B$7 ^ 2 / 2) *$A31) / (MonteCarlo!$B$7 * SQRT($A31)),TRUE),_xlfn.NORM.S.DIST((LN(AA$1 / MonteCarlo!$B$5) + (MonteCarlo!$B$9 - MonteCarlo!$B$7 ^ 2 / 2) *$A31) / (MonteCarlo!$B$7 * SQRT($A31)),TRUE)-1),"")</f>
        <v/>
      </c>
      <c r="AB31" t="str">
        <f>IFERROR(IF(OR(MonteCarlo!$B$4="C",MonteCarlo!$B$4="c"),_xlfn.NORM.S.DIST((LN(AB$1 / MonteCarlo!$B$5) + (MonteCarlo!$B$9 + MonteCarlo!$B$7 ^ 2 / 2) *$A31) / (MonteCarlo!$B$7 * SQRT($A31)),TRUE),_xlfn.NORM.S.DIST((LN(AB$1 / MonteCarlo!$B$5) + (MonteCarlo!$B$9 - MonteCarlo!$B$7 ^ 2 / 2) *$A31) / (MonteCarlo!$B$7 * SQRT($A31)),TRUE)-1),"")</f>
        <v/>
      </c>
      <c r="AC31" t="str">
        <f>IFERROR(IF(OR(MonteCarlo!$B$4="C",MonteCarlo!$B$4="c"),_xlfn.NORM.S.DIST((LN(AC$1 / MonteCarlo!$B$5) + (MonteCarlo!$B$9 + MonteCarlo!$B$7 ^ 2 / 2) *$A31) / (MonteCarlo!$B$7 * SQRT($A31)),TRUE),_xlfn.NORM.S.DIST((LN(AC$1 / MonteCarlo!$B$5) + (MonteCarlo!$B$9 - MonteCarlo!$B$7 ^ 2 / 2) *$A31) / (MonteCarlo!$B$7 * SQRT($A31)),TRUE)-1),"")</f>
        <v/>
      </c>
      <c r="AD31" t="str">
        <f>IFERROR(IF(OR(MonteCarlo!$B$4="C",MonteCarlo!$B$4="c"),_xlfn.NORM.S.DIST((LN(AD$1 / MonteCarlo!$B$5) + (MonteCarlo!$B$9 + MonteCarlo!$B$7 ^ 2 / 2) *$A31) / (MonteCarlo!$B$7 * SQRT($A31)),TRUE),_xlfn.NORM.S.DIST((LN(AD$1 / MonteCarlo!$B$5) + (MonteCarlo!$B$9 - MonteCarlo!$B$7 ^ 2 / 2) *$A31) / (MonteCarlo!$B$7 * SQRT($A31)),TRUE)-1),"")</f>
        <v/>
      </c>
      <c r="AE31" t="str">
        <f>IFERROR(IF(OR(MonteCarlo!$B$4="C",MonteCarlo!$B$4="c"),_xlfn.NORM.S.DIST((LN(AE$1 / MonteCarlo!$B$5) + (MonteCarlo!$B$9 + MonteCarlo!$B$7 ^ 2 / 2) *$A31) / (MonteCarlo!$B$7 * SQRT($A31)),TRUE),_xlfn.NORM.S.DIST((LN(AE$1 / MonteCarlo!$B$5) + (MonteCarlo!$B$9 - MonteCarlo!$B$7 ^ 2 / 2) *$A31) / (MonteCarlo!$B$7 * SQRT($A31)),TRUE)-1),"")</f>
        <v/>
      </c>
      <c r="AF31" t="str">
        <f>IFERROR(IF(OR(MonteCarlo!$B$4="C",MonteCarlo!$B$4="c"),_xlfn.NORM.S.DIST((LN(AF$1 / MonteCarlo!$B$5) + (MonteCarlo!$B$9 + MonteCarlo!$B$7 ^ 2 / 2) *$A31) / (MonteCarlo!$B$7 * SQRT($A31)),TRUE),_xlfn.NORM.S.DIST((LN(AF$1 / MonteCarlo!$B$5) + (MonteCarlo!$B$9 - MonteCarlo!$B$7 ^ 2 / 2) *$A31) / (MonteCarlo!$B$7 * SQRT($A31)),TRUE)-1),"")</f>
        <v/>
      </c>
    </row>
    <row r="32" spans="2:32" x14ac:dyDescent="0.25">
      <c r="B32" t="str">
        <f>IFERROR(IF(OR(MonteCarlo!$B$4="C",MonteCarlo!$B$4="c"),_xlfn.NORM.S.DIST((LN(B$1 / MonteCarlo!$B$5) + (MonteCarlo!$B$9 + MonteCarlo!$B$7 ^ 2 / 2) *$A32) / (MonteCarlo!$B$7 * SQRT($A32)),TRUE),_xlfn.NORM.S.DIST((LN(B$1 / MonteCarlo!$B$5) + (MonteCarlo!$B$9 - MonteCarlo!$B$7 ^ 2 / 2) *$A32) / (MonteCarlo!$B$7 * SQRT($A32)),TRUE)-1),"")</f>
        <v/>
      </c>
      <c r="C32" t="str">
        <f>IFERROR(IF(OR(MonteCarlo!$B$4="C",MonteCarlo!$B$4="c"),_xlfn.NORM.S.DIST((LN(C$1 / MonteCarlo!$B$5) + (MonteCarlo!$B$9 + MonteCarlo!$B$7 ^ 2 / 2) *$A32) / (MonteCarlo!$B$7 * SQRT($A32)),TRUE),_xlfn.NORM.S.DIST((LN(C$1 / MonteCarlo!$B$5) + (MonteCarlo!$B$9 - MonteCarlo!$B$7 ^ 2 / 2) *$A32) / (MonteCarlo!$B$7 * SQRT($A32)),TRUE)-1),"")</f>
        <v/>
      </c>
      <c r="D32" t="str">
        <f>IFERROR(IF(OR(MonteCarlo!$B$4="C",MonteCarlo!$B$4="c"),_xlfn.NORM.S.DIST((LN(D$1 / MonteCarlo!$B$5) + (MonteCarlo!$B$9 + MonteCarlo!$B$7 ^ 2 / 2) *$A32) / (MonteCarlo!$B$7 * SQRT($A32)),TRUE),_xlfn.NORM.S.DIST((LN(D$1 / MonteCarlo!$B$5) + (MonteCarlo!$B$9 - MonteCarlo!$B$7 ^ 2 / 2) *$A32) / (MonteCarlo!$B$7 * SQRT($A32)),TRUE)-1),"")</f>
        <v/>
      </c>
      <c r="E32" t="str">
        <f>IFERROR(IF(OR(MonteCarlo!$B$4="C",MonteCarlo!$B$4="c"),_xlfn.NORM.S.DIST((LN(E$1 / MonteCarlo!$B$5) + (MonteCarlo!$B$9 + MonteCarlo!$B$7 ^ 2 / 2) *$A32) / (MonteCarlo!$B$7 * SQRT($A32)),TRUE),_xlfn.NORM.S.DIST((LN(E$1 / MonteCarlo!$B$5) + (MonteCarlo!$B$9 - MonteCarlo!$B$7 ^ 2 / 2) *$A32) / (MonteCarlo!$B$7 * SQRT($A32)),TRUE)-1),"")</f>
        <v/>
      </c>
      <c r="F32" t="str">
        <f>IFERROR(IF(OR(MonteCarlo!$B$4="C",MonteCarlo!$B$4="c"),_xlfn.NORM.S.DIST((LN(F$1 / MonteCarlo!$B$5) + (MonteCarlo!$B$9 + MonteCarlo!$B$7 ^ 2 / 2) *$A32) / (MonteCarlo!$B$7 * SQRT($A32)),TRUE),_xlfn.NORM.S.DIST((LN(F$1 / MonteCarlo!$B$5) + (MonteCarlo!$B$9 - MonteCarlo!$B$7 ^ 2 / 2) *$A32) / (MonteCarlo!$B$7 * SQRT($A32)),TRUE)-1),"")</f>
        <v/>
      </c>
      <c r="G32" t="str">
        <f>IFERROR(IF(OR(MonteCarlo!$B$4="C",MonteCarlo!$B$4="c"),_xlfn.NORM.S.DIST((LN(G$1 / MonteCarlo!$B$5) + (MonteCarlo!$B$9 + MonteCarlo!$B$7 ^ 2 / 2) *$A32) / (MonteCarlo!$B$7 * SQRT($A32)),TRUE),_xlfn.NORM.S.DIST((LN(G$1 / MonteCarlo!$B$5) + (MonteCarlo!$B$9 - MonteCarlo!$B$7 ^ 2 / 2) *$A32) / (MonteCarlo!$B$7 * SQRT($A32)),TRUE)-1),"")</f>
        <v/>
      </c>
      <c r="H32" t="str">
        <f>IFERROR(IF(OR(MonteCarlo!$B$4="C",MonteCarlo!$B$4="c"),_xlfn.NORM.S.DIST((LN(H$1 / MonteCarlo!$B$5) + (MonteCarlo!$B$9 + MonteCarlo!$B$7 ^ 2 / 2) *$A32) / (MonteCarlo!$B$7 * SQRT($A32)),TRUE),_xlfn.NORM.S.DIST((LN(H$1 / MonteCarlo!$B$5) + (MonteCarlo!$B$9 - MonteCarlo!$B$7 ^ 2 / 2) *$A32) / (MonteCarlo!$B$7 * SQRT($A32)),TRUE)-1),"")</f>
        <v/>
      </c>
      <c r="I32" t="str">
        <f>IFERROR(IF(OR(MonteCarlo!$B$4="C",MonteCarlo!$B$4="c"),_xlfn.NORM.S.DIST((LN(I$1 / MonteCarlo!$B$5) + (MonteCarlo!$B$9 + MonteCarlo!$B$7 ^ 2 / 2) *$A32) / (MonteCarlo!$B$7 * SQRT($A32)),TRUE),_xlfn.NORM.S.DIST((LN(I$1 / MonteCarlo!$B$5) + (MonteCarlo!$B$9 - MonteCarlo!$B$7 ^ 2 / 2) *$A32) / (MonteCarlo!$B$7 * SQRT($A32)),TRUE)-1),"")</f>
        <v/>
      </c>
      <c r="J32" t="str">
        <f>IFERROR(IF(OR(MonteCarlo!$B$4="C",MonteCarlo!$B$4="c"),_xlfn.NORM.S.DIST((LN(J$1 / MonteCarlo!$B$5) + (MonteCarlo!$B$9 + MonteCarlo!$B$7 ^ 2 / 2) *$A32) / (MonteCarlo!$B$7 * SQRT($A32)),TRUE),_xlfn.NORM.S.DIST((LN(J$1 / MonteCarlo!$B$5) + (MonteCarlo!$B$9 - MonteCarlo!$B$7 ^ 2 / 2) *$A32) / (MonteCarlo!$B$7 * SQRT($A32)),TRUE)-1),"")</f>
        <v/>
      </c>
      <c r="K32" t="str">
        <f>IFERROR(IF(OR(MonteCarlo!$B$4="C",MonteCarlo!$B$4="c"),_xlfn.NORM.S.DIST((LN(K$1 / MonteCarlo!$B$5) + (MonteCarlo!$B$9 + MonteCarlo!$B$7 ^ 2 / 2) *$A32) / (MonteCarlo!$B$7 * SQRT($A32)),TRUE),_xlfn.NORM.S.DIST((LN(K$1 / MonteCarlo!$B$5) + (MonteCarlo!$B$9 - MonteCarlo!$B$7 ^ 2 / 2) *$A32) / (MonteCarlo!$B$7 * SQRT($A32)),TRUE)-1),"")</f>
        <v/>
      </c>
      <c r="L32" t="str">
        <f>IFERROR(IF(OR(MonteCarlo!$B$4="C",MonteCarlo!$B$4="c"),_xlfn.NORM.S.DIST((LN(L$1 / MonteCarlo!$B$5) + (MonteCarlo!$B$9 + MonteCarlo!$B$7 ^ 2 / 2) *$A32) / (MonteCarlo!$B$7 * SQRT($A32)),TRUE),_xlfn.NORM.S.DIST((LN(L$1 / MonteCarlo!$B$5) + (MonteCarlo!$B$9 - MonteCarlo!$B$7 ^ 2 / 2) *$A32) / (MonteCarlo!$B$7 * SQRT($A32)),TRUE)-1),"")</f>
        <v/>
      </c>
      <c r="M32" t="str">
        <f>IFERROR(IF(OR(MonteCarlo!$B$4="C",MonteCarlo!$B$4="c"),_xlfn.NORM.S.DIST((LN(M$1 / MonteCarlo!$B$5) + (MonteCarlo!$B$9 + MonteCarlo!$B$7 ^ 2 / 2) *$A32) / (MonteCarlo!$B$7 * SQRT($A32)),TRUE),_xlfn.NORM.S.DIST((LN(M$1 / MonteCarlo!$B$5) + (MonteCarlo!$B$9 - MonteCarlo!$B$7 ^ 2 / 2) *$A32) / (MonteCarlo!$B$7 * SQRT($A32)),TRUE)-1),"")</f>
        <v/>
      </c>
      <c r="N32" t="str">
        <f>IFERROR(IF(OR(MonteCarlo!$B$4="C",MonteCarlo!$B$4="c"),_xlfn.NORM.S.DIST((LN(N$1 / MonteCarlo!$B$5) + (MonteCarlo!$B$9 + MonteCarlo!$B$7 ^ 2 / 2) *$A32) / (MonteCarlo!$B$7 * SQRT($A32)),TRUE),_xlfn.NORM.S.DIST((LN(N$1 / MonteCarlo!$B$5) + (MonteCarlo!$B$9 - MonteCarlo!$B$7 ^ 2 / 2) *$A32) / (MonteCarlo!$B$7 * SQRT($A32)),TRUE)-1),"")</f>
        <v/>
      </c>
      <c r="O32" t="str">
        <f>IFERROR(IF(OR(MonteCarlo!$B$4="C",MonteCarlo!$B$4="c"),_xlfn.NORM.S.DIST((LN(O$1 / MonteCarlo!$B$5) + (MonteCarlo!$B$9 + MonteCarlo!$B$7 ^ 2 / 2) *$A32) / (MonteCarlo!$B$7 * SQRT($A32)),TRUE),_xlfn.NORM.S.DIST((LN(O$1 / MonteCarlo!$B$5) + (MonteCarlo!$B$9 - MonteCarlo!$B$7 ^ 2 / 2) *$A32) / (MonteCarlo!$B$7 * SQRT($A32)),TRUE)-1),"")</f>
        <v/>
      </c>
      <c r="P32" t="str">
        <f>IFERROR(IF(OR(MonteCarlo!$B$4="C",MonteCarlo!$B$4="c"),_xlfn.NORM.S.DIST((LN(P$1 / MonteCarlo!$B$5) + (MonteCarlo!$B$9 + MonteCarlo!$B$7 ^ 2 / 2) *$A32) / (MonteCarlo!$B$7 * SQRT($A32)),TRUE),_xlfn.NORM.S.DIST((LN(P$1 / MonteCarlo!$B$5) + (MonteCarlo!$B$9 - MonteCarlo!$B$7 ^ 2 / 2) *$A32) / (MonteCarlo!$B$7 * SQRT($A32)),TRUE)-1),"")</f>
        <v/>
      </c>
      <c r="Q32" t="str">
        <f>IFERROR(IF(OR(MonteCarlo!$B$4="C",MonteCarlo!$B$4="c"),_xlfn.NORM.S.DIST((LN(Q$1 / MonteCarlo!$B$5) + (MonteCarlo!$B$9 + MonteCarlo!$B$7 ^ 2 / 2) *$A32) / (MonteCarlo!$B$7 * SQRT($A32)),TRUE),_xlfn.NORM.S.DIST((LN(Q$1 / MonteCarlo!$B$5) + (MonteCarlo!$B$9 - MonteCarlo!$B$7 ^ 2 / 2) *$A32) / (MonteCarlo!$B$7 * SQRT($A32)),TRUE)-1),"")</f>
        <v/>
      </c>
      <c r="R32" t="str">
        <f>IFERROR(IF(OR(MonteCarlo!$B$4="C",MonteCarlo!$B$4="c"),_xlfn.NORM.S.DIST((LN(R$1 / MonteCarlo!$B$5) + (MonteCarlo!$B$9 + MonteCarlo!$B$7 ^ 2 / 2) *$A32) / (MonteCarlo!$B$7 * SQRT($A32)),TRUE),_xlfn.NORM.S.DIST((LN(R$1 / MonteCarlo!$B$5) + (MonteCarlo!$B$9 - MonteCarlo!$B$7 ^ 2 / 2) *$A32) / (MonteCarlo!$B$7 * SQRT($A32)),TRUE)-1),"")</f>
        <v/>
      </c>
      <c r="S32" t="str">
        <f>IFERROR(IF(OR(MonteCarlo!$B$4="C",MonteCarlo!$B$4="c"),_xlfn.NORM.S.DIST((LN(S$1 / MonteCarlo!$B$5) + (MonteCarlo!$B$9 + MonteCarlo!$B$7 ^ 2 / 2) *$A32) / (MonteCarlo!$B$7 * SQRT($A32)),TRUE),_xlfn.NORM.S.DIST((LN(S$1 / MonteCarlo!$B$5) + (MonteCarlo!$B$9 - MonteCarlo!$B$7 ^ 2 / 2) *$A32) / (MonteCarlo!$B$7 * SQRT($A32)),TRUE)-1),"")</f>
        <v/>
      </c>
      <c r="T32" t="str">
        <f>IFERROR(IF(OR(MonteCarlo!$B$4="C",MonteCarlo!$B$4="c"),_xlfn.NORM.S.DIST((LN(T$1 / MonteCarlo!$B$5) + (MonteCarlo!$B$9 + MonteCarlo!$B$7 ^ 2 / 2) *$A32) / (MonteCarlo!$B$7 * SQRT($A32)),TRUE),_xlfn.NORM.S.DIST((LN(T$1 / MonteCarlo!$B$5) + (MonteCarlo!$B$9 - MonteCarlo!$B$7 ^ 2 / 2) *$A32) / (MonteCarlo!$B$7 * SQRT($A32)),TRUE)-1),"")</f>
        <v/>
      </c>
      <c r="U32" t="str">
        <f>IFERROR(IF(OR(MonteCarlo!$B$4="C",MonteCarlo!$B$4="c"),_xlfn.NORM.S.DIST((LN(U$1 / MonteCarlo!$B$5) + (MonteCarlo!$B$9 + MonteCarlo!$B$7 ^ 2 / 2) *$A32) / (MonteCarlo!$B$7 * SQRT($A32)),TRUE),_xlfn.NORM.S.DIST((LN(U$1 / MonteCarlo!$B$5) + (MonteCarlo!$B$9 - MonteCarlo!$B$7 ^ 2 / 2) *$A32) / (MonteCarlo!$B$7 * SQRT($A32)),TRUE)-1),"")</f>
        <v/>
      </c>
      <c r="V32" t="str">
        <f>IFERROR(IF(OR(MonteCarlo!$B$4="C",MonteCarlo!$B$4="c"),_xlfn.NORM.S.DIST((LN(V$1 / MonteCarlo!$B$5) + (MonteCarlo!$B$9 + MonteCarlo!$B$7 ^ 2 / 2) *$A32) / (MonteCarlo!$B$7 * SQRT($A32)),TRUE),_xlfn.NORM.S.DIST((LN(V$1 / MonteCarlo!$B$5) + (MonteCarlo!$B$9 - MonteCarlo!$B$7 ^ 2 / 2) *$A32) / (MonteCarlo!$B$7 * SQRT($A32)),TRUE)-1),"")</f>
        <v/>
      </c>
      <c r="W32" t="str">
        <f>IFERROR(IF(OR(MonteCarlo!$B$4="C",MonteCarlo!$B$4="c"),_xlfn.NORM.S.DIST((LN(W$1 / MonteCarlo!$B$5) + (MonteCarlo!$B$9 + MonteCarlo!$B$7 ^ 2 / 2) *$A32) / (MonteCarlo!$B$7 * SQRT($A32)),TRUE),_xlfn.NORM.S.DIST((LN(W$1 / MonteCarlo!$B$5) + (MonteCarlo!$B$9 - MonteCarlo!$B$7 ^ 2 / 2) *$A32) / (MonteCarlo!$B$7 * SQRT($A32)),TRUE)-1),"")</f>
        <v/>
      </c>
      <c r="X32" t="str">
        <f>IFERROR(IF(OR(MonteCarlo!$B$4="C",MonteCarlo!$B$4="c"),_xlfn.NORM.S.DIST((LN(X$1 / MonteCarlo!$B$5) + (MonteCarlo!$B$9 + MonteCarlo!$B$7 ^ 2 / 2) *$A32) / (MonteCarlo!$B$7 * SQRT($A32)),TRUE),_xlfn.NORM.S.DIST((LN(X$1 / MonteCarlo!$B$5) + (MonteCarlo!$B$9 - MonteCarlo!$B$7 ^ 2 / 2) *$A32) / (MonteCarlo!$B$7 * SQRT($A32)),TRUE)-1),"")</f>
        <v/>
      </c>
      <c r="Y32" t="str">
        <f>IFERROR(IF(OR(MonteCarlo!$B$4="C",MonteCarlo!$B$4="c"),_xlfn.NORM.S.DIST((LN(Y$1 / MonteCarlo!$B$5) + (MonteCarlo!$B$9 + MonteCarlo!$B$7 ^ 2 / 2) *$A32) / (MonteCarlo!$B$7 * SQRT($A32)),TRUE),_xlfn.NORM.S.DIST((LN(Y$1 / MonteCarlo!$B$5) + (MonteCarlo!$B$9 - MonteCarlo!$B$7 ^ 2 / 2) *$A32) / (MonteCarlo!$B$7 * SQRT($A32)),TRUE)-1),"")</f>
        <v/>
      </c>
      <c r="Z32" t="str">
        <f>IFERROR(IF(OR(MonteCarlo!$B$4="C",MonteCarlo!$B$4="c"),_xlfn.NORM.S.DIST((LN(Z$1 / MonteCarlo!$B$5) + (MonteCarlo!$B$9 + MonteCarlo!$B$7 ^ 2 / 2) *$A32) / (MonteCarlo!$B$7 * SQRT($A32)),TRUE),_xlfn.NORM.S.DIST((LN(Z$1 / MonteCarlo!$B$5) + (MonteCarlo!$B$9 - MonteCarlo!$B$7 ^ 2 / 2) *$A32) / (MonteCarlo!$B$7 * SQRT($A32)),TRUE)-1),"")</f>
        <v/>
      </c>
      <c r="AA32" t="str">
        <f>IFERROR(IF(OR(MonteCarlo!$B$4="C",MonteCarlo!$B$4="c"),_xlfn.NORM.S.DIST((LN(AA$1 / MonteCarlo!$B$5) + (MonteCarlo!$B$9 + MonteCarlo!$B$7 ^ 2 / 2) *$A32) / (MonteCarlo!$B$7 * SQRT($A32)),TRUE),_xlfn.NORM.S.DIST((LN(AA$1 / MonteCarlo!$B$5) + (MonteCarlo!$B$9 - MonteCarlo!$B$7 ^ 2 / 2) *$A32) / (MonteCarlo!$B$7 * SQRT($A32)),TRUE)-1),"")</f>
        <v/>
      </c>
      <c r="AB32" t="str">
        <f>IFERROR(IF(OR(MonteCarlo!$B$4="C",MonteCarlo!$B$4="c"),_xlfn.NORM.S.DIST((LN(AB$1 / MonteCarlo!$B$5) + (MonteCarlo!$B$9 + MonteCarlo!$B$7 ^ 2 / 2) *$A32) / (MonteCarlo!$B$7 * SQRT($A32)),TRUE),_xlfn.NORM.S.DIST((LN(AB$1 / MonteCarlo!$B$5) + (MonteCarlo!$B$9 - MonteCarlo!$B$7 ^ 2 / 2) *$A32) / (MonteCarlo!$B$7 * SQRT($A32)),TRUE)-1),"")</f>
        <v/>
      </c>
      <c r="AC32" t="str">
        <f>IFERROR(IF(OR(MonteCarlo!$B$4="C",MonteCarlo!$B$4="c"),_xlfn.NORM.S.DIST((LN(AC$1 / MonteCarlo!$B$5) + (MonteCarlo!$B$9 + MonteCarlo!$B$7 ^ 2 / 2) *$A32) / (MonteCarlo!$B$7 * SQRT($A32)),TRUE),_xlfn.NORM.S.DIST((LN(AC$1 / MonteCarlo!$B$5) + (MonteCarlo!$B$9 - MonteCarlo!$B$7 ^ 2 / 2) *$A32) / (MonteCarlo!$B$7 * SQRT($A32)),TRUE)-1),"")</f>
        <v/>
      </c>
      <c r="AD32" t="str">
        <f>IFERROR(IF(OR(MonteCarlo!$B$4="C",MonteCarlo!$B$4="c"),_xlfn.NORM.S.DIST((LN(AD$1 / MonteCarlo!$B$5) + (MonteCarlo!$B$9 + MonteCarlo!$B$7 ^ 2 / 2) *$A32) / (MonteCarlo!$B$7 * SQRT($A32)),TRUE),_xlfn.NORM.S.DIST((LN(AD$1 / MonteCarlo!$B$5) + (MonteCarlo!$B$9 - MonteCarlo!$B$7 ^ 2 / 2) *$A32) / (MonteCarlo!$B$7 * SQRT($A32)),TRUE)-1),"")</f>
        <v/>
      </c>
      <c r="AE32" t="str">
        <f>IFERROR(IF(OR(MonteCarlo!$B$4="C",MonteCarlo!$B$4="c"),_xlfn.NORM.S.DIST((LN(AE$1 / MonteCarlo!$B$5) + (MonteCarlo!$B$9 + MonteCarlo!$B$7 ^ 2 / 2) *$A32) / (MonteCarlo!$B$7 * SQRT($A32)),TRUE),_xlfn.NORM.S.DIST((LN(AE$1 / MonteCarlo!$B$5) + (MonteCarlo!$B$9 - MonteCarlo!$B$7 ^ 2 / 2) *$A32) / (MonteCarlo!$B$7 * SQRT($A32)),TRUE)-1),"")</f>
        <v/>
      </c>
      <c r="AF32" t="str">
        <f>IFERROR(IF(OR(MonteCarlo!$B$4="C",MonteCarlo!$B$4="c"),_xlfn.NORM.S.DIST((LN(AF$1 / MonteCarlo!$B$5) + (MonteCarlo!$B$9 + MonteCarlo!$B$7 ^ 2 / 2) *$A32) / (MonteCarlo!$B$7 * SQRT($A32)),TRUE),_xlfn.NORM.S.DIST((LN(AF$1 / MonteCarlo!$B$5) + (MonteCarlo!$B$9 - MonteCarlo!$B$7 ^ 2 / 2) *$A32) / (MonteCarlo!$B$7 * SQRT($A32)),TRUE)-1),"")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F32"/>
  <sheetViews>
    <sheetView workbookViewId="0"/>
  </sheetViews>
  <sheetFormatPr defaultRowHeight="15" x14ac:dyDescent="0.25"/>
  <cols>
    <col min="2" max="2" width="12" bestFit="1" customWidth="1"/>
  </cols>
  <sheetData>
    <row r="2" spans="2:32" x14ac:dyDescent="0.25">
      <c r="B2" t="str">
        <f>IFERROR(B$1*SQRT($A2)*_xlfn.NORM.S.DIST((LN(B$1 / MonteCarlo!$B$5) + (MonteCarlo!$B$9 + MonteCarlo!$B$7 ^ 2 / 2) *$A2) / (MonteCarlo!$B$7 * SQRT($A2)),FALSE),"")</f>
        <v/>
      </c>
      <c r="C2" t="str">
        <f>IFERROR(C$1*SQRT($A2)*_xlfn.NORM.S.DIST((LN(C$1 / MonteCarlo!$B$5) + (MonteCarlo!$B$9 + MonteCarlo!$B$7 ^ 2 / 2) *$A2) / (MonteCarlo!$B$7 * SQRT($A2)),FALSE),"")</f>
        <v/>
      </c>
      <c r="D2" t="str">
        <f>IFERROR(D$1*SQRT($A2)*_xlfn.NORM.S.DIST((LN(D$1 / MonteCarlo!$B$5) + (MonteCarlo!$B$9 + MonteCarlo!$B$7 ^ 2 / 2) *$A2) / (MonteCarlo!$B$7 * SQRT($A2)),FALSE),"")</f>
        <v/>
      </c>
      <c r="E2" t="str">
        <f>IFERROR(E$1*SQRT($A2)*_xlfn.NORM.S.DIST((LN(E$1 / MonteCarlo!$B$5) + (MonteCarlo!$B$9 + MonteCarlo!$B$7 ^ 2 / 2) *$A2) / (MonteCarlo!$B$7 * SQRT($A2)),FALSE),"")</f>
        <v/>
      </c>
      <c r="F2" t="str">
        <f>IFERROR(F$1*SQRT($A2)*_xlfn.NORM.S.DIST((LN(F$1 / MonteCarlo!$B$5) + (MonteCarlo!$B$9 + MonteCarlo!$B$7 ^ 2 / 2) *$A2) / (MonteCarlo!$B$7 * SQRT($A2)),FALSE),"")</f>
        <v/>
      </c>
      <c r="G2" t="str">
        <f>IFERROR(G$1*SQRT($A2)*_xlfn.NORM.S.DIST((LN(G$1 / MonteCarlo!$B$5) + (MonteCarlo!$B$9 + MonteCarlo!$B$7 ^ 2 / 2) *$A2) / (MonteCarlo!$B$7 * SQRT($A2)),FALSE),"")</f>
        <v/>
      </c>
      <c r="H2" t="str">
        <f>IFERROR(H$1*SQRT($A2)*_xlfn.NORM.S.DIST((LN(H$1 / MonteCarlo!$B$5) + (MonteCarlo!$B$9 + MonteCarlo!$B$7 ^ 2 / 2) *$A2) / (MonteCarlo!$B$7 * SQRT($A2)),FALSE),"")</f>
        <v/>
      </c>
      <c r="I2" t="str">
        <f>IFERROR(I$1*SQRT($A2)*_xlfn.NORM.S.DIST((LN(I$1 / MonteCarlo!$B$5) + (MonteCarlo!$B$9 + MonteCarlo!$B$7 ^ 2 / 2) *$A2) / (MonteCarlo!$B$7 * SQRT($A2)),FALSE),"")</f>
        <v/>
      </c>
      <c r="J2" t="str">
        <f>IFERROR(J$1*SQRT($A2)*_xlfn.NORM.S.DIST((LN(J$1 / MonteCarlo!$B$5) + (MonteCarlo!$B$9 + MonteCarlo!$B$7 ^ 2 / 2) *$A2) / (MonteCarlo!$B$7 * SQRT($A2)),FALSE),"")</f>
        <v/>
      </c>
      <c r="K2" t="str">
        <f>IFERROR(K$1*SQRT($A2)*_xlfn.NORM.S.DIST((LN(K$1 / MonteCarlo!$B$5) + (MonteCarlo!$B$9 + MonteCarlo!$B$7 ^ 2 / 2) *$A2) / (MonteCarlo!$B$7 * SQRT($A2)),FALSE),"")</f>
        <v/>
      </c>
      <c r="L2" t="str">
        <f>IFERROR(L$1*SQRT($A2)*_xlfn.NORM.S.DIST((LN(L$1 / MonteCarlo!$B$5) + (MonteCarlo!$B$9 + MonteCarlo!$B$7 ^ 2 / 2) *$A2) / (MonteCarlo!$B$7 * SQRT($A2)),FALSE),"")</f>
        <v/>
      </c>
      <c r="M2" t="str">
        <f>IFERROR(M$1*SQRT($A2)*_xlfn.NORM.S.DIST((LN(M$1 / MonteCarlo!$B$5) + (MonteCarlo!$B$9 + MonteCarlo!$B$7 ^ 2 / 2) *$A2) / (MonteCarlo!$B$7 * SQRT($A2)),FALSE),"")</f>
        <v/>
      </c>
      <c r="N2" t="str">
        <f>IFERROR(N$1*SQRT($A2)*_xlfn.NORM.S.DIST((LN(N$1 / MonteCarlo!$B$5) + (MonteCarlo!$B$9 + MonteCarlo!$B$7 ^ 2 / 2) *$A2) / (MonteCarlo!$B$7 * SQRT($A2)),FALSE),"")</f>
        <v/>
      </c>
      <c r="O2" t="str">
        <f>IFERROR(O$1*SQRT($A2)*_xlfn.NORM.S.DIST((LN(O$1 / MonteCarlo!$B$5) + (MonteCarlo!$B$9 + MonteCarlo!$B$7 ^ 2 / 2) *$A2) / (MonteCarlo!$B$7 * SQRT($A2)),FALSE),"")</f>
        <v/>
      </c>
      <c r="P2" t="str">
        <f>IFERROR(P$1*SQRT($A2)*_xlfn.NORM.S.DIST((LN(P$1 / MonteCarlo!$B$5) + (MonteCarlo!$B$9 + MonteCarlo!$B$7 ^ 2 / 2) *$A2) / (MonteCarlo!$B$7 * SQRT($A2)),FALSE),"")</f>
        <v/>
      </c>
      <c r="Q2" t="str">
        <f>IFERROR(Q$1*SQRT($A2)*_xlfn.NORM.S.DIST((LN(Q$1 / MonteCarlo!$B$5) + (MonteCarlo!$B$9 + MonteCarlo!$B$7 ^ 2 / 2) *$A2) / (MonteCarlo!$B$7 * SQRT($A2)),FALSE),"")</f>
        <v/>
      </c>
      <c r="R2" t="str">
        <f>IFERROR(R$1*SQRT($A2)*_xlfn.NORM.S.DIST((LN(R$1 / MonteCarlo!$B$5) + (MonteCarlo!$B$9 + MonteCarlo!$B$7 ^ 2 / 2) *$A2) / (MonteCarlo!$B$7 * SQRT($A2)),FALSE),"")</f>
        <v/>
      </c>
      <c r="S2" t="str">
        <f>IFERROR(S$1*SQRT($A2)*_xlfn.NORM.S.DIST((LN(S$1 / MonteCarlo!$B$5) + (MonteCarlo!$B$9 + MonteCarlo!$B$7 ^ 2 / 2) *$A2) / (MonteCarlo!$B$7 * SQRT($A2)),FALSE),"")</f>
        <v/>
      </c>
      <c r="T2" t="str">
        <f>IFERROR(T$1*SQRT($A2)*_xlfn.NORM.S.DIST((LN(T$1 / MonteCarlo!$B$5) + (MonteCarlo!$B$9 + MonteCarlo!$B$7 ^ 2 / 2) *$A2) / (MonteCarlo!$B$7 * SQRT($A2)),FALSE),"")</f>
        <v/>
      </c>
      <c r="U2" t="str">
        <f>IFERROR(U$1*SQRT($A2)*_xlfn.NORM.S.DIST((LN(U$1 / MonteCarlo!$B$5) + (MonteCarlo!$B$9 + MonteCarlo!$B$7 ^ 2 / 2) *$A2) / (MonteCarlo!$B$7 * SQRT($A2)),FALSE),"")</f>
        <v/>
      </c>
      <c r="V2" t="str">
        <f>IFERROR(V$1*SQRT($A2)*_xlfn.NORM.S.DIST((LN(V$1 / MonteCarlo!$B$5) + (MonteCarlo!$B$9 + MonteCarlo!$B$7 ^ 2 / 2) *$A2) / (MonteCarlo!$B$7 * SQRT($A2)),FALSE),"")</f>
        <v/>
      </c>
      <c r="W2" t="str">
        <f>IFERROR(W$1*SQRT($A2)*_xlfn.NORM.S.DIST((LN(W$1 / MonteCarlo!$B$5) + (MonteCarlo!$B$9 + MonteCarlo!$B$7 ^ 2 / 2) *$A2) / (MonteCarlo!$B$7 * SQRT($A2)),FALSE),"")</f>
        <v/>
      </c>
      <c r="X2" t="str">
        <f>IFERROR(X$1*SQRT($A2)*_xlfn.NORM.S.DIST((LN(X$1 / MonteCarlo!$B$5) + (MonteCarlo!$B$9 + MonteCarlo!$B$7 ^ 2 / 2) *$A2) / (MonteCarlo!$B$7 * SQRT($A2)),FALSE),"")</f>
        <v/>
      </c>
      <c r="Y2" t="str">
        <f>IFERROR(Y$1*SQRT($A2)*_xlfn.NORM.S.DIST((LN(Y$1 / MonteCarlo!$B$5) + (MonteCarlo!$B$9 + MonteCarlo!$B$7 ^ 2 / 2) *$A2) / (MonteCarlo!$B$7 * SQRT($A2)),FALSE),"")</f>
        <v/>
      </c>
      <c r="Z2" t="str">
        <f>IFERROR(Z$1*SQRT($A2)*_xlfn.NORM.S.DIST((LN(Z$1 / MonteCarlo!$B$5) + (MonteCarlo!$B$9 + MonteCarlo!$B$7 ^ 2 / 2) *$A2) / (MonteCarlo!$B$7 * SQRT($A2)),FALSE),"")</f>
        <v/>
      </c>
      <c r="AA2" t="str">
        <f>IFERROR(AA$1*SQRT($A2)*_xlfn.NORM.S.DIST((LN(AA$1 / MonteCarlo!$B$5) + (MonteCarlo!$B$9 + MonteCarlo!$B$7 ^ 2 / 2) *$A2) / (MonteCarlo!$B$7 * SQRT($A2)),FALSE),"")</f>
        <v/>
      </c>
      <c r="AB2" t="str">
        <f>IFERROR(AB$1*SQRT($A2)*_xlfn.NORM.S.DIST((LN(AB$1 / MonteCarlo!$B$5) + (MonteCarlo!$B$9 + MonteCarlo!$B$7 ^ 2 / 2) *$A2) / (MonteCarlo!$B$7 * SQRT($A2)),FALSE),"")</f>
        <v/>
      </c>
      <c r="AC2" t="str">
        <f>IFERROR(AC$1*SQRT($A2)*_xlfn.NORM.S.DIST((LN(AC$1 / MonteCarlo!$B$5) + (MonteCarlo!$B$9 + MonteCarlo!$B$7 ^ 2 / 2) *$A2) / (MonteCarlo!$B$7 * SQRT($A2)),FALSE),"")</f>
        <v/>
      </c>
      <c r="AD2" t="str">
        <f>IFERROR(AD$1*SQRT($A2)*_xlfn.NORM.S.DIST((LN(AD$1 / MonteCarlo!$B$5) + (MonteCarlo!$B$9 + MonteCarlo!$B$7 ^ 2 / 2) *$A2) / (MonteCarlo!$B$7 * SQRT($A2)),FALSE),"")</f>
        <v/>
      </c>
      <c r="AE2" t="str">
        <f>IFERROR(AE$1*SQRT($A2)*_xlfn.NORM.S.DIST((LN(AE$1 / MonteCarlo!$B$5) + (MonteCarlo!$B$9 + MonteCarlo!$B$7 ^ 2 / 2) *$A2) / (MonteCarlo!$B$7 * SQRT($A2)),FALSE),"")</f>
        <v/>
      </c>
      <c r="AF2" t="str">
        <f>IFERROR(AF$1*SQRT($A2)*_xlfn.NORM.S.DIST((LN(AF$1 / MonteCarlo!$B$5) + (MonteCarlo!$B$9 + MonteCarlo!$B$7 ^ 2 / 2) *$A2) / (MonteCarlo!$B$7 * SQRT($A2)),FALSE),"")</f>
        <v/>
      </c>
    </row>
    <row r="3" spans="2:32" x14ac:dyDescent="0.25">
      <c r="B3" t="str">
        <f>IFERROR(B$1*SQRT($A3)*_xlfn.NORM.S.DIST((LN(B$1 / MonteCarlo!$B$5) + (MonteCarlo!$B$9 + MonteCarlo!$B$7 ^ 2 / 2) *$A3) / (MonteCarlo!$B$7 * SQRT($A3)),FALSE),"")</f>
        <v/>
      </c>
      <c r="C3" t="str">
        <f>IFERROR(C$1*SQRT($A3)*_xlfn.NORM.S.DIST((LN(C$1 / MonteCarlo!$B$5) + (MonteCarlo!$B$9 + MonteCarlo!$B$7 ^ 2 / 2) *$A3) / (MonteCarlo!$B$7 * SQRT($A3)),FALSE),"")</f>
        <v/>
      </c>
      <c r="D3" t="str">
        <f>IFERROR(D$1*SQRT($A3)*_xlfn.NORM.S.DIST((LN(D$1 / MonteCarlo!$B$5) + (MonteCarlo!$B$9 + MonteCarlo!$B$7 ^ 2 / 2) *$A3) / (MonteCarlo!$B$7 * SQRT($A3)),FALSE),"")</f>
        <v/>
      </c>
      <c r="E3" t="str">
        <f>IFERROR(E$1*SQRT($A3)*_xlfn.NORM.S.DIST((LN(E$1 / MonteCarlo!$B$5) + (MonteCarlo!$B$9 + MonteCarlo!$B$7 ^ 2 / 2) *$A3) / (MonteCarlo!$B$7 * SQRT($A3)),FALSE),"")</f>
        <v/>
      </c>
      <c r="F3" t="str">
        <f>IFERROR(F$1*SQRT($A3)*_xlfn.NORM.S.DIST((LN(F$1 / MonteCarlo!$B$5) + (MonteCarlo!$B$9 + MonteCarlo!$B$7 ^ 2 / 2) *$A3) / (MonteCarlo!$B$7 * SQRT($A3)),FALSE),"")</f>
        <v/>
      </c>
      <c r="G3" t="str">
        <f>IFERROR(G$1*SQRT($A3)*_xlfn.NORM.S.DIST((LN(G$1 / MonteCarlo!$B$5) + (MonteCarlo!$B$9 + MonteCarlo!$B$7 ^ 2 / 2) *$A3) / (MonteCarlo!$B$7 * SQRT($A3)),FALSE),"")</f>
        <v/>
      </c>
      <c r="H3" t="str">
        <f>IFERROR(H$1*SQRT($A3)*_xlfn.NORM.S.DIST((LN(H$1 / MonteCarlo!$B$5) + (MonteCarlo!$B$9 + MonteCarlo!$B$7 ^ 2 / 2) *$A3) / (MonteCarlo!$B$7 * SQRT($A3)),FALSE),"")</f>
        <v/>
      </c>
      <c r="I3" t="str">
        <f>IFERROR(I$1*SQRT($A3)*_xlfn.NORM.S.DIST((LN(I$1 / MonteCarlo!$B$5) + (MonteCarlo!$B$9 + MonteCarlo!$B$7 ^ 2 / 2) *$A3) / (MonteCarlo!$B$7 * SQRT($A3)),FALSE),"")</f>
        <v/>
      </c>
      <c r="J3" t="str">
        <f>IFERROR(J$1*SQRT($A3)*_xlfn.NORM.S.DIST((LN(J$1 / MonteCarlo!$B$5) + (MonteCarlo!$B$9 + MonteCarlo!$B$7 ^ 2 / 2) *$A3) / (MonteCarlo!$B$7 * SQRT($A3)),FALSE),"")</f>
        <v/>
      </c>
      <c r="K3" t="str">
        <f>IFERROR(K$1*SQRT($A3)*_xlfn.NORM.S.DIST((LN(K$1 / MonteCarlo!$B$5) + (MonteCarlo!$B$9 + MonteCarlo!$B$7 ^ 2 / 2) *$A3) / (MonteCarlo!$B$7 * SQRT($A3)),FALSE),"")</f>
        <v/>
      </c>
      <c r="L3" t="str">
        <f>IFERROR(L$1*SQRT($A3)*_xlfn.NORM.S.DIST((LN(L$1 / MonteCarlo!$B$5) + (MonteCarlo!$B$9 + MonteCarlo!$B$7 ^ 2 / 2) *$A3) / (MonteCarlo!$B$7 * SQRT($A3)),FALSE),"")</f>
        <v/>
      </c>
      <c r="M3" t="str">
        <f>IFERROR(M$1*SQRT($A3)*_xlfn.NORM.S.DIST((LN(M$1 / MonteCarlo!$B$5) + (MonteCarlo!$B$9 + MonteCarlo!$B$7 ^ 2 / 2) *$A3) / (MonteCarlo!$B$7 * SQRT($A3)),FALSE),"")</f>
        <v/>
      </c>
      <c r="N3" t="str">
        <f>IFERROR(N$1*SQRT($A3)*_xlfn.NORM.S.DIST((LN(N$1 / MonteCarlo!$B$5) + (MonteCarlo!$B$9 + MonteCarlo!$B$7 ^ 2 / 2) *$A3) / (MonteCarlo!$B$7 * SQRT($A3)),FALSE),"")</f>
        <v/>
      </c>
      <c r="O3" t="str">
        <f>IFERROR(O$1*SQRT($A3)*_xlfn.NORM.S.DIST((LN(O$1 / MonteCarlo!$B$5) + (MonteCarlo!$B$9 + MonteCarlo!$B$7 ^ 2 / 2) *$A3) / (MonteCarlo!$B$7 * SQRT($A3)),FALSE),"")</f>
        <v/>
      </c>
      <c r="P3" t="str">
        <f>IFERROR(P$1*SQRT($A3)*_xlfn.NORM.S.DIST((LN(P$1 / MonteCarlo!$B$5) + (MonteCarlo!$B$9 + MonteCarlo!$B$7 ^ 2 / 2) *$A3) / (MonteCarlo!$B$7 * SQRT($A3)),FALSE),"")</f>
        <v/>
      </c>
      <c r="Q3" t="str">
        <f>IFERROR(Q$1*SQRT($A3)*_xlfn.NORM.S.DIST((LN(Q$1 / MonteCarlo!$B$5) + (MonteCarlo!$B$9 + MonteCarlo!$B$7 ^ 2 / 2) *$A3) / (MonteCarlo!$B$7 * SQRT($A3)),FALSE),"")</f>
        <v/>
      </c>
      <c r="R3" t="str">
        <f>IFERROR(R$1*SQRT($A3)*_xlfn.NORM.S.DIST((LN(R$1 / MonteCarlo!$B$5) + (MonteCarlo!$B$9 + MonteCarlo!$B$7 ^ 2 / 2) *$A3) / (MonteCarlo!$B$7 * SQRT($A3)),FALSE),"")</f>
        <v/>
      </c>
      <c r="S3" t="str">
        <f>IFERROR(S$1*SQRT($A3)*_xlfn.NORM.S.DIST((LN(S$1 / MonteCarlo!$B$5) + (MonteCarlo!$B$9 + MonteCarlo!$B$7 ^ 2 / 2) *$A3) / (MonteCarlo!$B$7 * SQRT($A3)),FALSE),"")</f>
        <v/>
      </c>
      <c r="T3" t="str">
        <f>IFERROR(T$1*SQRT($A3)*_xlfn.NORM.S.DIST((LN(T$1 / MonteCarlo!$B$5) + (MonteCarlo!$B$9 + MonteCarlo!$B$7 ^ 2 / 2) *$A3) / (MonteCarlo!$B$7 * SQRT($A3)),FALSE),"")</f>
        <v/>
      </c>
      <c r="U3" t="str">
        <f>IFERROR(U$1*SQRT($A3)*_xlfn.NORM.S.DIST((LN(U$1 / MonteCarlo!$B$5) + (MonteCarlo!$B$9 + MonteCarlo!$B$7 ^ 2 / 2) *$A3) / (MonteCarlo!$B$7 * SQRT($A3)),FALSE),"")</f>
        <v/>
      </c>
      <c r="V3" t="str">
        <f>IFERROR(V$1*SQRT($A3)*_xlfn.NORM.S.DIST((LN(V$1 / MonteCarlo!$B$5) + (MonteCarlo!$B$9 + MonteCarlo!$B$7 ^ 2 / 2) *$A3) / (MonteCarlo!$B$7 * SQRT($A3)),FALSE),"")</f>
        <v/>
      </c>
      <c r="W3" t="str">
        <f>IFERROR(W$1*SQRT($A3)*_xlfn.NORM.S.DIST((LN(W$1 / MonteCarlo!$B$5) + (MonteCarlo!$B$9 + MonteCarlo!$B$7 ^ 2 / 2) *$A3) / (MonteCarlo!$B$7 * SQRT($A3)),FALSE),"")</f>
        <v/>
      </c>
      <c r="X3" t="str">
        <f>IFERROR(X$1*SQRT($A3)*_xlfn.NORM.S.DIST((LN(X$1 / MonteCarlo!$B$5) + (MonteCarlo!$B$9 + MonteCarlo!$B$7 ^ 2 / 2) *$A3) / (MonteCarlo!$B$7 * SQRT($A3)),FALSE),"")</f>
        <v/>
      </c>
      <c r="Y3" t="str">
        <f>IFERROR(Y$1*SQRT($A3)*_xlfn.NORM.S.DIST((LN(Y$1 / MonteCarlo!$B$5) + (MonteCarlo!$B$9 + MonteCarlo!$B$7 ^ 2 / 2) *$A3) / (MonteCarlo!$B$7 * SQRT($A3)),FALSE),"")</f>
        <v/>
      </c>
      <c r="Z3" t="str">
        <f>IFERROR(Z$1*SQRT($A3)*_xlfn.NORM.S.DIST((LN(Z$1 / MonteCarlo!$B$5) + (MonteCarlo!$B$9 + MonteCarlo!$B$7 ^ 2 / 2) *$A3) / (MonteCarlo!$B$7 * SQRT($A3)),FALSE),"")</f>
        <v/>
      </c>
      <c r="AA3" t="str">
        <f>IFERROR(AA$1*SQRT($A3)*_xlfn.NORM.S.DIST((LN(AA$1 / MonteCarlo!$B$5) + (MonteCarlo!$B$9 + MonteCarlo!$B$7 ^ 2 / 2) *$A3) / (MonteCarlo!$B$7 * SQRT($A3)),FALSE),"")</f>
        <v/>
      </c>
      <c r="AB3" t="str">
        <f>IFERROR(AB$1*SQRT($A3)*_xlfn.NORM.S.DIST((LN(AB$1 / MonteCarlo!$B$5) + (MonteCarlo!$B$9 + MonteCarlo!$B$7 ^ 2 / 2) *$A3) / (MonteCarlo!$B$7 * SQRT($A3)),FALSE),"")</f>
        <v/>
      </c>
      <c r="AC3" t="str">
        <f>IFERROR(AC$1*SQRT($A3)*_xlfn.NORM.S.DIST((LN(AC$1 / MonteCarlo!$B$5) + (MonteCarlo!$B$9 + MonteCarlo!$B$7 ^ 2 / 2) *$A3) / (MonteCarlo!$B$7 * SQRT($A3)),FALSE),"")</f>
        <v/>
      </c>
      <c r="AD3" t="str">
        <f>IFERROR(AD$1*SQRT($A3)*_xlfn.NORM.S.DIST((LN(AD$1 / MonteCarlo!$B$5) + (MonteCarlo!$B$9 + MonteCarlo!$B$7 ^ 2 / 2) *$A3) / (MonteCarlo!$B$7 * SQRT($A3)),FALSE),"")</f>
        <v/>
      </c>
      <c r="AE3" t="str">
        <f>IFERROR(AE$1*SQRT($A3)*_xlfn.NORM.S.DIST((LN(AE$1 / MonteCarlo!$B$5) + (MonteCarlo!$B$9 + MonteCarlo!$B$7 ^ 2 / 2) *$A3) / (MonteCarlo!$B$7 * SQRT($A3)),FALSE),"")</f>
        <v/>
      </c>
      <c r="AF3" t="str">
        <f>IFERROR(AF$1*SQRT($A3)*_xlfn.NORM.S.DIST((LN(AF$1 / MonteCarlo!$B$5) + (MonteCarlo!$B$9 + MonteCarlo!$B$7 ^ 2 / 2) *$A3) / (MonteCarlo!$B$7 * SQRT($A3)),FALSE),"")</f>
        <v/>
      </c>
    </row>
    <row r="4" spans="2:32" x14ac:dyDescent="0.25">
      <c r="B4" t="str">
        <f>IFERROR(B$1*SQRT($A4)*_xlfn.NORM.S.DIST((LN(B$1 / MonteCarlo!$B$5) + (MonteCarlo!$B$9 + MonteCarlo!$B$7 ^ 2 / 2) *$A4) / (MonteCarlo!$B$7 * SQRT($A4)),FALSE),"")</f>
        <v/>
      </c>
      <c r="C4" t="str">
        <f>IFERROR(C$1*SQRT($A4)*_xlfn.NORM.S.DIST((LN(C$1 / MonteCarlo!$B$5) + (MonteCarlo!$B$9 + MonteCarlo!$B$7 ^ 2 / 2) *$A4) / (MonteCarlo!$B$7 * SQRT($A4)),FALSE),"")</f>
        <v/>
      </c>
      <c r="D4" t="str">
        <f>IFERROR(D$1*SQRT($A4)*_xlfn.NORM.S.DIST((LN(D$1 / MonteCarlo!$B$5) + (MonteCarlo!$B$9 + MonteCarlo!$B$7 ^ 2 / 2) *$A4) / (MonteCarlo!$B$7 * SQRT($A4)),FALSE),"")</f>
        <v/>
      </c>
      <c r="E4" t="str">
        <f>IFERROR(E$1*SQRT($A4)*_xlfn.NORM.S.DIST((LN(E$1 / MonteCarlo!$B$5) + (MonteCarlo!$B$9 + MonteCarlo!$B$7 ^ 2 / 2) *$A4) / (MonteCarlo!$B$7 * SQRT($A4)),FALSE),"")</f>
        <v/>
      </c>
      <c r="F4" t="str">
        <f>IFERROR(F$1*SQRT($A4)*_xlfn.NORM.S.DIST((LN(F$1 / MonteCarlo!$B$5) + (MonteCarlo!$B$9 + MonteCarlo!$B$7 ^ 2 / 2) *$A4) / (MonteCarlo!$B$7 * SQRT($A4)),FALSE),"")</f>
        <v/>
      </c>
      <c r="G4" t="str">
        <f>IFERROR(G$1*SQRT($A4)*_xlfn.NORM.S.DIST((LN(G$1 / MonteCarlo!$B$5) + (MonteCarlo!$B$9 + MonteCarlo!$B$7 ^ 2 / 2) *$A4) / (MonteCarlo!$B$7 * SQRT($A4)),FALSE),"")</f>
        <v/>
      </c>
      <c r="H4" t="str">
        <f>IFERROR(H$1*SQRT($A4)*_xlfn.NORM.S.DIST((LN(H$1 / MonteCarlo!$B$5) + (MonteCarlo!$B$9 + MonteCarlo!$B$7 ^ 2 / 2) *$A4) / (MonteCarlo!$B$7 * SQRT($A4)),FALSE),"")</f>
        <v/>
      </c>
      <c r="I4" t="str">
        <f>IFERROR(I$1*SQRT($A4)*_xlfn.NORM.S.DIST((LN(I$1 / MonteCarlo!$B$5) + (MonteCarlo!$B$9 + MonteCarlo!$B$7 ^ 2 / 2) *$A4) / (MonteCarlo!$B$7 * SQRT($A4)),FALSE),"")</f>
        <v/>
      </c>
      <c r="J4" t="str">
        <f>IFERROR(J$1*SQRT($A4)*_xlfn.NORM.S.DIST((LN(J$1 / MonteCarlo!$B$5) + (MonteCarlo!$B$9 + MonteCarlo!$B$7 ^ 2 / 2) *$A4) / (MonteCarlo!$B$7 * SQRT($A4)),FALSE),"")</f>
        <v/>
      </c>
      <c r="K4" t="str">
        <f>IFERROR(K$1*SQRT($A4)*_xlfn.NORM.S.DIST((LN(K$1 / MonteCarlo!$B$5) + (MonteCarlo!$B$9 + MonteCarlo!$B$7 ^ 2 / 2) *$A4) / (MonteCarlo!$B$7 * SQRT($A4)),FALSE),"")</f>
        <v/>
      </c>
      <c r="L4" t="str">
        <f>IFERROR(L$1*SQRT($A4)*_xlfn.NORM.S.DIST((LN(L$1 / MonteCarlo!$B$5) + (MonteCarlo!$B$9 + MonteCarlo!$B$7 ^ 2 / 2) *$A4) / (MonteCarlo!$B$7 * SQRT($A4)),FALSE),"")</f>
        <v/>
      </c>
      <c r="M4" t="str">
        <f>IFERROR(M$1*SQRT($A4)*_xlfn.NORM.S.DIST((LN(M$1 / MonteCarlo!$B$5) + (MonteCarlo!$B$9 + MonteCarlo!$B$7 ^ 2 / 2) *$A4) / (MonteCarlo!$B$7 * SQRT($A4)),FALSE),"")</f>
        <v/>
      </c>
      <c r="N4" t="str">
        <f>IFERROR(N$1*SQRT($A4)*_xlfn.NORM.S.DIST((LN(N$1 / MonteCarlo!$B$5) + (MonteCarlo!$B$9 + MonteCarlo!$B$7 ^ 2 / 2) *$A4) / (MonteCarlo!$B$7 * SQRT($A4)),FALSE),"")</f>
        <v/>
      </c>
      <c r="O4" t="str">
        <f>IFERROR(O$1*SQRT($A4)*_xlfn.NORM.S.DIST((LN(O$1 / MonteCarlo!$B$5) + (MonteCarlo!$B$9 + MonteCarlo!$B$7 ^ 2 / 2) *$A4) / (MonteCarlo!$B$7 * SQRT($A4)),FALSE),"")</f>
        <v/>
      </c>
      <c r="P4" t="str">
        <f>IFERROR(P$1*SQRT($A4)*_xlfn.NORM.S.DIST((LN(P$1 / MonteCarlo!$B$5) + (MonteCarlo!$B$9 + MonteCarlo!$B$7 ^ 2 / 2) *$A4) / (MonteCarlo!$B$7 * SQRT($A4)),FALSE),"")</f>
        <v/>
      </c>
      <c r="Q4" t="str">
        <f>IFERROR(Q$1*SQRT($A4)*_xlfn.NORM.S.DIST((LN(Q$1 / MonteCarlo!$B$5) + (MonteCarlo!$B$9 + MonteCarlo!$B$7 ^ 2 / 2) *$A4) / (MonteCarlo!$B$7 * SQRT($A4)),FALSE),"")</f>
        <v/>
      </c>
      <c r="R4" t="str">
        <f>IFERROR(R$1*SQRT($A4)*_xlfn.NORM.S.DIST((LN(R$1 / MonteCarlo!$B$5) + (MonteCarlo!$B$9 + MonteCarlo!$B$7 ^ 2 / 2) *$A4) / (MonteCarlo!$B$7 * SQRT($A4)),FALSE),"")</f>
        <v/>
      </c>
      <c r="S4" t="str">
        <f>IFERROR(S$1*SQRT($A4)*_xlfn.NORM.S.DIST((LN(S$1 / MonteCarlo!$B$5) + (MonteCarlo!$B$9 + MonteCarlo!$B$7 ^ 2 / 2) *$A4) / (MonteCarlo!$B$7 * SQRT($A4)),FALSE),"")</f>
        <v/>
      </c>
      <c r="T4" t="str">
        <f>IFERROR(T$1*SQRT($A4)*_xlfn.NORM.S.DIST((LN(T$1 / MonteCarlo!$B$5) + (MonteCarlo!$B$9 + MonteCarlo!$B$7 ^ 2 / 2) *$A4) / (MonteCarlo!$B$7 * SQRT($A4)),FALSE),"")</f>
        <v/>
      </c>
      <c r="U4" t="str">
        <f>IFERROR(U$1*SQRT($A4)*_xlfn.NORM.S.DIST((LN(U$1 / MonteCarlo!$B$5) + (MonteCarlo!$B$9 + MonteCarlo!$B$7 ^ 2 / 2) *$A4) / (MonteCarlo!$B$7 * SQRT($A4)),FALSE),"")</f>
        <v/>
      </c>
      <c r="V4" t="str">
        <f>IFERROR(V$1*SQRT($A4)*_xlfn.NORM.S.DIST((LN(V$1 / MonteCarlo!$B$5) + (MonteCarlo!$B$9 + MonteCarlo!$B$7 ^ 2 / 2) *$A4) / (MonteCarlo!$B$7 * SQRT($A4)),FALSE),"")</f>
        <v/>
      </c>
      <c r="W4" t="str">
        <f>IFERROR(W$1*SQRT($A4)*_xlfn.NORM.S.DIST((LN(W$1 / MonteCarlo!$B$5) + (MonteCarlo!$B$9 + MonteCarlo!$B$7 ^ 2 / 2) *$A4) / (MonteCarlo!$B$7 * SQRT($A4)),FALSE),"")</f>
        <v/>
      </c>
      <c r="X4" t="str">
        <f>IFERROR(X$1*SQRT($A4)*_xlfn.NORM.S.DIST((LN(X$1 / MonteCarlo!$B$5) + (MonteCarlo!$B$9 + MonteCarlo!$B$7 ^ 2 / 2) *$A4) / (MonteCarlo!$B$7 * SQRT($A4)),FALSE),"")</f>
        <v/>
      </c>
      <c r="Y4" t="str">
        <f>IFERROR(Y$1*SQRT($A4)*_xlfn.NORM.S.DIST((LN(Y$1 / MonteCarlo!$B$5) + (MonteCarlo!$B$9 + MonteCarlo!$B$7 ^ 2 / 2) *$A4) / (MonteCarlo!$B$7 * SQRT($A4)),FALSE),"")</f>
        <v/>
      </c>
      <c r="Z4" t="str">
        <f>IFERROR(Z$1*SQRT($A4)*_xlfn.NORM.S.DIST((LN(Z$1 / MonteCarlo!$B$5) + (MonteCarlo!$B$9 + MonteCarlo!$B$7 ^ 2 / 2) *$A4) / (MonteCarlo!$B$7 * SQRT($A4)),FALSE),"")</f>
        <v/>
      </c>
      <c r="AA4" t="str">
        <f>IFERROR(AA$1*SQRT($A4)*_xlfn.NORM.S.DIST((LN(AA$1 / MonteCarlo!$B$5) + (MonteCarlo!$B$9 + MonteCarlo!$B$7 ^ 2 / 2) *$A4) / (MonteCarlo!$B$7 * SQRT($A4)),FALSE),"")</f>
        <v/>
      </c>
      <c r="AB4" t="str">
        <f>IFERROR(AB$1*SQRT($A4)*_xlfn.NORM.S.DIST((LN(AB$1 / MonteCarlo!$B$5) + (MonteCarlo!$B$9 + MonteCarlo!$B$7 ^ 2 / 2) *$A4) / (MonteCarlo!$B$7 * SQRT($A4)),FALSE),"")</f>
        <v/>
      </c>
      <c r="AC4" t="str">
        <f>IFERROR(AC$1*SQRT($A4)*_xlfn.NORM.S.DIST((LN(AC$1 / MonteCarlo!$B$5) + (MonteCarlo!$B$9 + MonteCarlo!$B$7 ^ 2 / 2) *$A4) / (MonteCarlo!$B$7 * SQRT($A4)),FALSE),"")</f>
        <v/>
      </c>
      <c r="AD4" t="str">
        <f>IFERROR(AD$1*SQRT($A4)*_xlfn.NORM.S.DIST((LN(AD$1 / MonteCarlo!$B$5) + (MonteCarlo!$B$9 + MonteCarlo!$B$7 ^ 2 / 2) *$A4) / (MonteCarlo!$B$7 * SQRT($A4)),FALSE),"")</f>
        <v/>
      </c>
      <c r="AE4" t="str">
        <f>IFERROR(AE$1*SQRT($A4)*_xlfn.NORM.S.DIST((LN(AE$1 / MonteCarlo!$B$5) + (MonteCarlo!$B$9 + MonteCarlo!$B$7 ^ 2 / 2) *$A4) / (MonteCarlo!$B$7 * SQRT($A4)),FALSE),"")</f>
        <v/>
      </c>
      <c r="AF4" t="str">
        <f>IFERROR(AF$1*SQRT($A4)*_xlfn.NORM.S.DIST((LN(AF$1 / MonteCarlo!$B$5) + (MonteCarlo!$B$9 + MonteCarlo!$B$7 ^ 2 / 2) *$A4) / (MonteCarlo!$B$7 * SQRT($A4)),FALSE),"")</f>
        <v/>
      </c>
    </row>
    <row r="5" spans="2:32" x14ac:dyDescent="0.25">
      <c r="B5" t="str">
        <f>IFERROR(B$1*SQRT($A5)*_xlfn.NORM.S.DIST((LN(B$1 / MonteCarlo!$B$5) + (MonteCarlo!$B$9 + MonteCarlo!$B$7 ^ 2 / 2) *$A5) / (MonteCarlo!$B$7 * SQRT($A5)),FALSE),"")</f>
        <v/>
      </c>
      <c r="C5" t="str">
        <f>IFERROR(C$1*SQRT($A5)*_xlfn.NORM.S.DIST((LN(C$1 / MonteCarlo!$B$5) + (MonteCarlo!$B$9 + MonteCarlo!$B$7 ^ 2 / 2) *$A5) / (MonteCarlo!$B$7 * SQRT($A5)),FALSE),"")</f>
        <v/>
      </c>
      <c r="D5" t="str">
        <f>IFERROR(D$1*SQRT($A5)*_xlfn.NORM.S.DIST((LN(D$1 / MonteCarlo!$B$5) + (MonteCarlo!$B$9 + MonteCarlo!$B$7 ^ 2 / 2) *$A5) / (MonteCarlo!$B$7 * SQRT($A5)),FALSE),"")</f>
        <v/>
      </c>
      <c r="E5" t="str">
        <f>IFERROR(E$1*SQRT($A5)*_xlfn.NORM.S.DIST((LN(E$1 / MonteCarlo!$B$5) + (MonteCarlo!$B$9 + MonteCarlo!$B$7 ^ 2 / 2) *$A5) / (MonteCarlo!$B$7 * SQRT($A5)),FALSE),"")</f>
        <v/>
      </c>
      <c r="F5" t="str">
        <f>IFERROR(F$1*SQRT($A5)*_xlfn.NORM.S.DIST((LN(F$1 / MonteCarlo!$B$5) + (MonteCarlo!$B$9 + MonteCarlo!$B$7 ^ 2 / 2) *$A5) / (MonteCarlo!$B$7 * SQRT($A5)),FALSE),"")</f>
        <v/>
      </c>
      <c r="G5" t="str">
        <f>IFERROR(G$1*SQRT($A5)*_xlfn.NORM.S.DIST((LN(G$1 / MonteCarlo!$B$5) + (MonteCarlo!$B$9 + MonteCarlo!$B$7 ^ 2 / 2) *$A5) / (MonteCarlo!$B$7 * SQRT($A5)),FALSE),"")</f>
        <v/>
      </c>
      <c r="H5" t="str">
        <f>IFERROR(H$1*SQRT($A5)*_xlfn.NORM.S.DIST((LN(H$1 / MonteCarlo!$B$5) + (MonteCarlo!$B$9 + MonteCarlo!$B$7 ^ 2 / 2) *$A5) / (MonteCarlo!$B$7 * SQRT($A5)),FALSE),"")</f>
        <v/>
      </c>
      <c r="I5" t="str">
        <f>IFERROR(I$1*SQRT($A5)*_xlfn.NORM.S.DIST((LN(I$1 / MonteCarlo!$B$5) + (MonteCarlo!$B$9 + MonteCarlo!$B$7 ^ 2 / 2) *$A5) / (MonteCarlo!$B$7 * SQRT($A5)),FALSE),"")</f>
        <v/>
      </c>
      <c r="J5" t="str">
        <f>IFERROR(J$1*SQRT($A5)*_xlfn.NORM.S.DIST((LN(J$1 / MonteCarlo!$B$5) + (MonteCarlo!$B$9 + MonteCarlo!$B$7 ^ 2 / 2) *$A5) / (MonteCarlo!$B$7 * SQRT($A5)),FALSE),"")</f>
        <v/>
      </c>
      <c r="K5" t="str">
        <f>IFERROR(K$1*SQRT($A5)*_xlfn.NORM.S.DIST((LN(K$1 / MonteCarlo!$B$5) + (MonteCarlo!$B$9 + MonteCarlo!$B$7 ^ 2 / 2) *$A5) / (MonteCarlo!$B$7 * SQRT($A5)),FALSE),"")</f>
        <v/>
      </c>
      <c r="L5" t="str">
        <f>IFERROR(L$1*SQRT($A5)*_xlfn.NORM.S.DIST((LN(L$1 / MonteCarlo!$B$5) + (MonteCarlo!$B$9 + MonteCarlo!$B$7 ^ 2 / 2) *$A5) / (MonteCarlo!$B$7 * SQRT($A5)),FALSE),"")</f>
        <v/>
      </c>
      <c r="M5" t="str">
        <f>IFERROR(M$1*SQRT($A5)*_xlfn.NORM.S.DIST((LN(M$1 / MonteCarlo!$B$5) + (MonteCarlo!$B$9 + MonteCarlo!$B$7 ^ 2 / 2) *$A5) / (MonteCarlo!$B$7 * SQRT($A5)),FALSE),"")</f>
        <v/>
      </c>
      <c r="N5" t="str">
        <f>IFERROR(N$1*SQRT($A5)*_xlfn.NORM.S.DIST((LN(N$1 / MonteCarlo!$B$5) + (MonteCarlo!$B$9 + MonteCarlo!$B$7 ^ 2 / 2) *$A5) / (MonteCarlo!$B$7 * SQRT($A5)),FALSE),"")</f>
        <v/>
      </c>
      <c r="O5" t="str">
        <f>IFERROR(O$1*SQRT($A5)*_xlfn.NORM.S.DIST((LN(O$1 / MonteCarlo!$B$5) + (MonteCarlo!$B$9 + MonteCarlo!$B$7 ^ 2 / 2) *$A5) / (MonteCarlo!$B$7 * SQRT($A5)),FALSE),"")</f>
        <v/>
      </c>
      <c r="P5" t="str">
        <f>IFERROR(P$1*SQRT($A5)*_xlfn.NORM.S.DIST((LN(P$1 / MonteCarlo!$B$5) + (MonteCarlo!$B$9 + MonteCarlo!$B$7 ^ 2 / 2) *$A5) / (MonteCarlo!$B$7 * SQRT($A5)),FALSE),"")</f>
        <v/>
      </c>
      <c r="Q5" t="str">
        <f>IFERROR(Q$1*SQRT($A5)*_xlfn.NORM.S.DIST((LN(Q$1 / MonteCarlo!$B$5) + (MonteCarlo!$B$9 + MonteCarlo!$B$7 ^ 2 / 2) *$A5) / (MonteCarlo!$B$7 * SQRT($A5)),FALSE),"")</f>
        <v/>
      </c>
      <c r="R5" t="str">
        <f>IFERROR(R$1*SQRT($A5)*_xlfn.NORM.S.DIST((LN(R$1 / MonteCarlo!$B$5) + (MonteCarlo!$B$9 + MonteCarlo!$B$7 ^ 2 / 2) *$A5) / (MonteCarlo!$B$7 * SQRT($A5)),FALSE),"")</f>
        <v/>
      </c>
      <c r="S5" t="str">
        <f>IFERROR(S$1*SQRT($A5)*_xlfn.NORM.S.DIST((LN(S$1 / MonteCarlo!$B$5) + (MonteCarlo!$B$9 + MonteCarlo!$B$7 ^ 2 / 2) *$A5) / (MonteCarlo!$B$7 * SQRT($A5)),FALSE),"")</f>
        <v/>
      </c>
      <c r="T5" t="str">
        <f>IFERROR(T$1*SQRT($A5)*_xlfn.NORM.S.DIST((LN(T$1 / MonteCarlo!$B$5) + (MonteCarlo!$B$9 + MonteCarlo!$B$7 ^ 2 / 2) *$A5) / (MonteCarlo!$B$7 * SQRT($A5)),FALSE),"")</f>
        <v/>
      </c>
      <c r="U5" t="str">
        <f>IFERROR(U$1*SQRT($A5)*_xlfn.NORM.S.DIST((LN(U$1 / MonteCarlo!$B$5) + (MonteCarlo!$B$9 + MonteCarlo!$B$7 ^ 2 / 2) *$A5) / (MonteCarlo!$B$7 * SQRT($A5)),FALSE),"")</f>
        <v/>
      </c>
      <c r="V5" t="str">
        <f>IFERROR(V$1*SQRT($A5)*_xlfn.NORM.S.DIST((LN(V$1 / MonteCarlo!$B$5) + (MonteCarlo!$B$9 + MonteCarlo!$B$7 ^ 2 / 2) *$A5) / (MonteCarlo!$B$7 * SQRT($A5)),FALSE),"")</f>
        <v/>
      </c>
      <c r="W5" t="str">
        <f>IFERROR(W$1*SQRT($A5)*_xlfn.NORM.S.DIST((LN(W$1 / MonteCarlo!$B$5) + (MonteCarlo!$B$9 + MonteCarlo!$B$7 ^ 2 / 2) *$A5) / (MonteCarlo!$B$7 * SQRT($A5)),FALSE),"")</f>
        <v/>
      </c>
      <c r="X5" t="str">
        <f>IFERROR(X$1*SQRT($A5)*_xlfn.NORM.S.DIST((LN(X$1 / MonteCarlo!$B$5) + (MonteCarlo!$B$9 + MonteCarlo!$B$7 ^ 2 / 2) *$A5) / (MonteCarlo!$B$7 * SQRT($A5)),FALSE),"")</f>
        <v/>
      </c>
      <c r="Y5" t="str">
        <f>IFERROR(Y$1*SQRT($A5)*_xlfn.NORM.S.DIST((LN(Y$1 / MonteCarlo!$B$5) + (MonteCarlo!$B$9 + MonteCarlo!$B$7 ^ 2 / 2) *$A5) / (MonteCarlo!$B$7 * SQRT($A5)),FALSE),"")</f>
        <v/>
      </c>
      <c r="Z5" t="str">
        <f>IFERROR(Z$1*SQRT($A5)*_xlfn.NORM.S.DIST((LN(Z$1 / MonteCarlo!$B$5) + (MonteCarlo!$B$9 + MonteCarlo!$B$7 ^ 2 / 2) *$A5) / (MonteCarlo!$B$7 * SQRT($A5)),FALSE),"")</f>
        <v/>
      </c>
      <c r="AA5" t="str">
        <f>IFERROR(AA$1*SQRT($A5)*_xlfn.NORM.S.DIST((LN(AA$1 / MonteCarlo!$B$5) + (MonteCarlo!$B$9 + MonteCarlo!$B$7 ^ 2 / 2) *$A5) / (MonteCarlo!$B$7 * SQRT($A5)),FALSE),"")</f>
        <v/>
      </c>
      <c r="AB5" t="str">
        <f>IFERROR(AB$1*SQRT($A5)*_xlfn.NORM.S.DIST((LN(AB$1 / MonteCarlo!$B$5) + (MonteCarlo!$B$9 + MonteCarlo!$B$7 ^ 2 / 2) *$A5) / (MonteCarlo!$B$7 * SQRT($A5)),FALSE),"")</f>
        <v/>
      </c>
      <c r="AC5" t="str">
        <f>IFERROR(AC$1*SQRT($A5)*_xlfn.NORM.S.DIST((LN(AC$1 / MonteCarlo!$B$5) + (MonteCarlo!$B$9 + MonteCarlo!$B$7 ^ 2 / 2) *$A5) / (MonteCarlo!$B$7 * SQRT($A5)),FALSE),"")</f>
        <v/>
      </c>
      <c r="AD5" t="str">
        <f>IFERROR(AD$1*SQRT($A5)*_xlfn.NORM.S.DIST((LN(AD$1 / MonteCarlo!$B$5) + (MonteCarlo!$B$9 + MonteCarlo!$B$7 ^ 2 / 2) *$A5) / (MonteCarlo!$B$7 * SQRT($A5)),FALSE),"")</f>
        <v/>
      </c>
      <c r="AE5" t="str">
        <f>IFERROR(AE$1*SQRT($A5)*_xlfn.NORM.S.DIST((LN(AE$1 / MonteCarlo!$B$5) + (MonteCarlo!$B$9 + MonteCarlo!$B$7 ^ 2 / 2) *$A5) / (MonteCarlo!$B$7 * SQRT($A5)),FALSE),"")</f>
        <v/>
      </c>
      <c r="AF5" t="str">
        <f>IFERROR(AF$1*SQRT($A5)*_xlfn.NORM.S.DIST((LN(AF$1 / MonteCarlo!$B$5) + (MonteCarlo!$B$9 + MonteCarlo!$B$7 ^ 2 / 2) *$A5) / (MonteCarlo!$B$7 * SQRT($A5)),FALSE),"")</f>
        <v/>
      </c>
    </row>
    <row r="6" spans="2:32" x14ac:dyDescent="0.25">
      <c r="B6" t="str">
        <f>IFERROR(B$1*SQRT($A6)*_xlfn.NORM.S.DIST((LN(B$1 / MonteCarlo!$B$5) + (MonteCarlo!$B$9 + MonteCarlo!$B$7 ^ 2 / 2) *$A6) / (MonteCarlo!$B$7 * SQRT($A6)),FALSE),"")</f>
        <v/>
      </c>
      <c r="C6" t="str">
        <f>IFERROR(C$1*SQRT($A6)*_xlfn.NORM.S.DIST((LN(C$1 / MonteCarlo!$B$5) + (MonteCarlo!$B$9 + MonteCarlo!$B$7 ^ 2 / 2) *$A6) / (MonteCarlo!$B$7 * SQRT($A6)),FALSE),"")</f>
        <v/>
      </c>
      <c r="D6" t="str">
        <f>IFERROR(D$1*SQRT($A6)*_xlfn.NORM.S.DIST((LN(D$1 / MonteCarlo!$B$5) + (MonteCarlo!$B$9 + MonteCarlo!$B$7 ^ 2 / 2) *$A6) / (MonteCarlo!$B$7 * SQRT($A6)),FALSE),"")</f>
        <v/>
      </c>
      <c r="E6" t="str">
        <f>IFERROR(E$1*SQRT($A6)*_xlfn.NORM.S.DIST((LN(E$1 / MonteCarlo!$B$5) + (MonteCarlo!$B$9 + MonteCarlo!$B$7 ^ 2 / 2) *$A6) / (MonteCarlo!$B$7 * SQRT($A6)),FALSE),"")</f>
        <v/>
      </c>
      <c r="F6" t="str">
        <f>IFERROR(F$1*SQRT($A6)*_xlfn.NORM.S.DIST((LN(F$1 / MonteCarlo!$B$5) + (MonteCarlo!$B$9 + MonteCarlo!$B$7 ^ 2 / 2) *$A6) / (MonteCarlo!$B$7 * SQRT($A6)),FALSE),"")</f>
        <v/>
      </c>
      <c r="G6" t="str">
        <f>IFERROR(G$1*SQRT($A6)*_xlfn.NORM.S.DIST((LN(G$1 / MonteCarlo!$B$5) + (MonteCarlo!$B$9 + MonteCarlo!$B$7 ^ 2 / 2) *$A6) / (MonteCarlo!$B$7 * SQRT($A6)),FALSE),"")</f>
        <v/>
      </c>
      <c r="H6" t="str">
        <f>IFERROR(H$1*SQRT($A6)*_xlfn.NORM.S.DIST((LN(H$1 / MonteCarlo!$B$5) + (MonteCarlo!$B$9 + MonteCarlo!$B$7 ^ 2 / 2) *$A6) / (MonteCarlo!$B$7 * SQRT($A6)),FALSE),"")</f>
        <v/>
      </c>
      <c r="I6" t="str">
        <f>IFERROR(I$1*SQRT($A6)*_xlfn.NORM.S.DIST((LN(I$1 / MonteCarlo!$B$5) + (MonteCarlo!$B$9 + MonteCarlo!$B$7 ^ 2 / 2) *$A6) / (MonteCarlo!$B$7 * SQRT($A6)),FALSE),"")</f>
        <v/>
      </c>
      <c r="J6" t="str">
        <f>IFERROR(J$1*SQRT($A6)*_xlfn.NORM.S.DIST((LN(J$1 / MonteCarlo!$B$5) + (MonteCarlo!$B$9 + MonteCarlo!$B$7 ^ 2 / 2) *$A6) / (MonteCarlo!$B$7 * SQRT($A6)),FALSE),"")</f>
        <v/>
      </c>
      <c r="K6" t="str">
        <f>IFERROR(K$1*SQRT($A6)*_xlfn.NORM.S.DIST((LN(K$1 / MonteCarlo!$B$5) + (MonteCarlo!$B$9 + MonteCarlo!$B$7 ^ 2 / 2) *$A6) / (MonteCarlo!$B$7 * SQRT($A6)),FALSE),"")</f>
        <v/>
      </c>
      <c r="L6" t="str">
        <f>IFERROR(L$1*SQRT($A6)*_xlfn.NORM.S.DIST((LN(L$1 / MonteCarlo!$B$5) + (MonteCarlo!$B$9 + MonteCarlo!$B$7 ^ 2 / 2) *$A6) / (MonteCarlo!$B$7 * SQRT($A6)),FALSE),"")</f>
        <v/>
      </c>
      <c r="M6" t="str">
        <f>IFERROR(M$1*SQRT($A6)*_xlfn.NORM.S.DIST((LN(M$1 / MonteCarlo!$B$5) + (MonteCarlo!$B$9 + MonteCarlo!$B$7 ^ 2 / 2) *$A6) / (MonteCarlo!$B$7 * SQRT($A6)),FALSE),"")</f>
        <v/>
      </c>
      <c r="N6" t="str">
        <f>IFERROR(N$1*SQRT($A6)*_xlfn.NORM.S.DIST((LN(N$1 / MonteCarlo!$B$5) + (MonteCarlo!$B$9 + MonteCarlo!$B$7 ^ 2 / 2) *$A6) / (MonteCarlo!$B$7 * SQRT($A6)),FALSE),"")</f>
        <v/>
      </c>
      <c r="O6" t="str">
        <f>IFERROR(O$1*SQRT($A6)*_xlfn.NORM.S.DIST((LN(O$1 / MonteCarlo!$B$5) + (MonteCarlo!$B$9 + MonteCarlo!$B$7 ^ 2 / 2) *$A6) / (MonteCarlo!$B$7 * SQRT($A6)),FALSE),"")</f>
        <v/>
      </c>
      <c r="P6" t="str">
        <f>IFERROR(P$1*SQRT($A6)*_xlfn.NORM.S.DIST((LN(P$1 / MonteCarlo!$B$5) + (MonteCarlo!$B$9 + MonteCarlo!$B$7 ^ 2 / 2) *$A6) / (MonteCarlo!$B$7 * SQRT($A6)),FALSE),"")</f>
        <v/>
      </c>
      <c r="Q6" t="str">
        <f>IFERROR(Q$1*SQRT($A6)*_xlfn.NORM.S.DIST((LN(Q$1 / MonteCarlo!$B$5) + (MonteCarlo!$B$9 + MonteCarlo!$B$7 ^ 2 / 2) *$A6) / (MonteCarlo!$B$7 * SQRT($A6)),FALSE),"")</f>
        <v/>
      </c>
      <c r="R6" t="str">
        <f>IFERROR(R$1*SQRT($A6)*_xlfn.NORM.S.DIST((LN(R$1 / MonteCarlo!$B$5) + (MonteCarlo!$B$9 + MonteCarlo!$B$7 ^ 2 / 2) *$A6) / (MonteCarlo!$B$7 * SQRT($A6)),FALSE),"")</f>
        <v/>
      </c>
      <c r="S6" t="str">
        <f>IFERROR(S$1*SQRT($A6)*_xlfn.NORM.S.DIST((LN(S$1 / MonteCarlo!$B$5) + (MonteCarlo!$B$9 + MonteCarlo!$B$7 ^ 2 / 2) *$A6) / (MonteCarlo!$B$7 * SQRT($A6)),FALSE),"")</f>
        <v/>
      </c>
      <c r="T6" t="str">
        <f>IFERROR(T$1*SQRT($A6)*_xlfn.NORM.S.DIST((LN(T$1 / MonteCarlo!$B$5) + (MonteCarlo!$B$9 + MonteCarlo!$B$7 ^ 2 / 2) *$A6) / (MonteCarlo!$B$7 * SQRT($A6)),FALSE),"")</f>
        <v/>
      </c>
      <c r="U6" t="str">
        <f>IFERROR(U$1*SQRT($A6)*_xlfn.NORM.S.DIST((LN(U$1 / MonteCarlo!$B$5) + (MonteCarlo!$B$9 + MonteCarlo!$B$7 ^ 2 / 2) *$A6) / (MonteCarlo!$B$7 * SQRT($A6)),FALSE),"")</f>
        <v/>
      </c>
      <c r="V6" t="str">
        <f>IFERROR(V$1*SQRT($A6)*_xlfn.NORM.S.DIST((LN(V$1 / MonteCarlo!$B$5) + (MonteCarlo!$B$9 + MonteCarlo!$B$7 ^ 2 / 2) *$A6) / (MonteCarlo!$B$7 * SQRT($A6)),FALSE),"")</f>
        <v/>
      </c>
      <c r="W6" t="str">
        <f>IFERROR(W$1*SQRT($A6)*_xlfn.NORM.S.DIST((LN(W$1 / MonteCarlo!$B$5) + (MonteCarlo!$B$9 + MonteCarlo!$B$7 ^ 2 / 2) *$A6) / (MonteCarlo!$B$7 * SQRT($A6)),FALSE),"")</f>
        <v/>
      </c>
      <c r="X6" t="str">
        <f>IFERROR(X$1*SQRT($A6)*_xlfn.NORM.S.DIST((LN(X$1 / MonteCarlo!$B$5) + (MonteCarlo!$B$9 + MonteCarlo!$B$7 ^ 2 / 2) *$A6) / (MonteCarlo!$B$7 * SQRT($A6)),FALSE),"")</f>
        <v/>
      </c>
      <c r="Y6" t="str">
        <f>IFERROR(Y$1*SQRT($A6)*_xlfn.NORM.S.DIST((LN(Y$1 / MonteCarlo!$B$5) + (MonteCarlo!$B$9 + MonteCarlo!$B$7 ^ 2 / 2) *$A6) / (MonteCarlo!$B$7 * SQRT($A6)),FALSE),"")</f>
        <v/>
      </c>
      <c r="Z6" t="str">
        <f>IFERROR(Z$1*SQRT($A6)*_xlfn.NORM.S.DIST((LN(Z$1 / MonteCarlo!$B$5) + (MonteCarlo!$B$9 + MonteCarlo!$B$7 ^ 2 / 2) *$A6) / (MonteCarlo!$B$7 * SQRT($A6)),FALSE),"")</f>
        <v/>
      </c>
      <c r="AA6" t="str">
        <f>IFERROR(AA$1*SQRT($A6)*_xlfn.NORM.S.DIST((LN(AA$1 / MonteCarlo!$B$5) + (MonteCarlo!$B$9 + MonteCarlo!$B$7 ^ 2 / 2) *$A6) / (MonteCarlo!$B$7 * SQRT($A6)),FALSE),"")</f>
        <v/>
      </c>
      <c r="AB6" t="str">
        <f>IFERROR(AB$1*SQRT($A6)*_xlfn.NORM.S.DIST((LN(AB$1 / MonteCarlo!$B$5) + (MonteCarlo!$B$9 + MonteCarlo!$B$7 ^ 2 / 2) *$A6) / (MonteCarlo!$B$7 * SQRT($A6)),FALSE),"")</f>
        <v/>
      </c>
      <c r="AC6" t="str">
        <f>IFERROR(AC$1*SQRT($A6)*_xlfn.NORM.S.DIST((LN(AC$1 / MonteCarlo!$B$5) + (MonteCarlo!$B$9 + MonteCarlo!$B$7 ^ 2 / 2) *$A6) / (MonteCarlo!$B$7 * SQRT($A6)),FALSE),"")</f>
        <v/>
      </c>
      <c r="AD6" t="str">
        <f>IFERROR(AD$1*SQRT($A6)*_xlfn.NORM.S.DIST((LN(AD$1 / MonteCarlo!$B$5) + (MonteCarlo!$B$9 + MonteCarlo!$B$7 ^ 2 / 2) *$A6) / (MonteCarlo!$B$7 * SQRT($A6)),FALSE),"")</f>
        <v/>
      </c>
      <c r="AE6" t="str">
        <f>IFERROR(AE$1*SQRT($A6)*_xlfn.NORM.S.DIST((LN(AE$1 / MonteCarlo!$B$5) + (MonteCarlo!$B$9 + MonteCarlo!$B$7 ^ 2 / 2) *$A6) / (MonteCarlo!$B$7 * SQRT($A6)),FALSE),"")</f>
        <v/>
      </c>
      <c r="AF6" t="str">
        <f>IFERROR(AF$1*SQRT($A6)*_xlfn.NORM.S.DIST((LN(AF$1 / MonteCarlo!$B$5) + (MonteCarlo!$B$9 + MonteCarlo!$B$7 ^ 2 / 2) *$A6) / (MonteCarlo!$B$7 * SQRT($A6)),FALSE),"")</f>
        <v/>
      </c>
    </row>
    <row r="7" spans="2:32" x14ac:dyDescent="0.25">
      <c r="B7" t="str">
        <f>IFERROR(B$1*SQRT($A7)*_xlfn.NORM.S.DIST((LN(B$1 / MonteCarlo!$B$5) + (MonteCarlo!$B$9 + MonteCarlo!$B$7 ^ 2 / 2) *$A7) / (MonteCarlo!$B$7 * SQRT($A7)),FALSE),"")</f>
        <v/>
      </c>
      <c r="C7" t="str">
        <f>IFERROR(C$1*SQRT($A7)*_xlfn.NORM.S.DIST((LN(C$1 / MonteCarlo!$B$5) + (MonteCarlo!$B$9 + MonteCarlo!$B$7 ^ 2 / 2) *$A7) / (MonteCarlo!$B$7 * SQRT($A7)),FALSE),"")</f>
        <v/>
      </c>
      <c r="D7" t="str">
        <f>IFERROR(D$1*SQRT($A7)*_xlfn.NORM.S.DIST((LN(D$1 / MonteCarlo!$B$5) + (MonteCarlo!$B$9 + MonteCarlo!$B$7 ^ 2 / 2) *$A7) / (MonteCarlo!$B$7 * SQRT($A7)),FALSE),"")</f>
        <v/>
      </c>
      <c r="E7" t="str">
        <f>IFERROR(E$1*SQRT($A7)*_xlfn.NORM.S.DIST((LN(E$1 / MonteCarlo!$B$5) + (MonteCarlo!$B$9 + MonteCarlo!$B$7 ^ 2 / 2) *$A7) / (MonteCarlo!$B$7 * SQRT($A7)),FALSE),"")</f>
        <v/>
      </c>
      <c r="F7" t="str">
        <f>IFERROR(F$1*SQRT($A7)*_xlfn.NORM.S.DIST((LN(F$1 / MonteCarlo!$B$5) + (MonteCarlo!$B$9 + MonteCarlo!$B$7 ^ 2 / 2) *$A7) / (MonteCarlo!$B$7 * SQRT($A7)),FALSE),"")</f>
        <v/>
      </c>
      <c r="G7" t="str">
        <f>IFERROR(G$1*SQRT($A7)*_xlfn.NORM.S.DIST((LN(G$1 / MonteCarlo!$B$5) + (MonteCarlo!$B$9 + MonteCarlo!$B$7 ^ 2 / 2) *$A7) / (MonteCarlo!$B$7 * SQRT($A7)),FALSE),"")</f>
        <v/>
      </c>
      <c r="H7" t="str">
        <f>IFERROR(H$1*SQRT($A7)*_xlfn.NORM.S.DIST((LN(H$1 / MonteCarlo!$B$5) + (MonteCarlo!$B$9 + MonteCarlo!$B$7 ^ 2 / 2) *$A7) / (MonteCarlo!$B$7 * SQRT($A7)),FALSE),"")</f>
        <v/>
      </c>
      <c r="I7" t="str">
        <f>IFERROR(I$1*SQRT($A7)*_xlfn.NORM.S.DIST((LN(I$1 / MonteCarlo!$B$5) + (MonteCarlo!$B$9 + MonteCarlo!$B$7 ^ 2 / 2) *$A7) / (MonteCarlo!$B$7 * SQRT($A7)),FALSE),"")</f>
        <v/>
      </c>
      <c r="J7" t="str">
        <f>IFERROR(J$1*SQRT($A7)*_xlfn.NORM.S.DIST((LN(J$1 / MonteCarlo!$B$5) + (MonteCarlo!$B$9 + MonteCarlo!$B$7 ^ 2 / 2) *$A7) / (MonteCarlo!$B$7 * SQRT($A7)),FALSE),"")</f>
        <v/>
      </c>
      <c r="K7" t="str">
        <f>IFERROR(K$1*SQRT($A7)*_xlfn.NORM.S.DIST((LN(K$1 / MonteCarlo!$B$5) + (MonteCarlo!$B$9 + MonteCarlo!$B$7 ^ 2 / 2) *$A7) / (MonteCarlo!$B$7 * SQRT($A7)),FALSE),"")</f>
        <v/>
      </c>
      <c r="L7" t="str">
        <f>IFERROR(L$1*SQRT($A7)*_xlfn.NORM.S.DIST((LN(L$1 / MonteCarlo!$B$5) + (MonteCarlo!$B$9 + MonteCarlo!$B$7 ^ 2 / 2) *$A7) / (MonteCarlo!$B$7 * SQRT($A7)),FALSE),"")</f>
        <v/>
      </c>
      <c r="M7" t="str">
        <f>IFERROR(M$1*SQRT($A7)*_xlfn.NORM.S.DIST((LN(M$1 / MonteCarlo!$B$5) + (MonteCarlo!$B$9 + MonteCarlo!$B$7 ^ 2 / 2) *$A7) / (MonteCarlo!$B$7 * SQRT($A7)),FALSE),"")</f>
        <v/>
      </c>
      <c r="N7" t="str">
        <f>IFERROR(N$1*SQRT($A7)*_xlfn.NORM.S.DIST((LN(N$1 / MonteCarlo!$B$5) + (MonteCarlo!$B$9 + MonteCarlo!$B$7 ^ 2 / 2) *$A7) / (MonteCarlo!$B$7 * SQRT($A7)),FALSE),"")</f>
        <v/>
      </c>
      <c r="O7" t="str">
        <f>IFERROR(O$1*SQRT($A7)*_xlfn.NORM.S.DIST((LN(O$1 / MonteCarlo!$B$5) + (MonteCarlo!$B$9 + MonteCarlo!$B$7 ^ 2 / 2) *$A7) / (MonteCarlo!$B$7 * SQRT($A7)),FALSE),"")</f>
        <v/>
      </c>
      <c r="P7" t="str">
        <f>IFERROR(P$1*SQRT($A7)*_xlfn.NORM.S.DIST((LN(P$1 / MonteCarlo!$B$5) + (MonteCarlo!$B$9 + MonteCarlo!$B$7 ^ 2 / 2) *$A7) / (MonteCarlo!$B$7 * SQRT($A7)),FALSE),"")</f>
        <v/>
      </c>
      <c r="Q7" t="str">
        <f>IFERROR(Q$1*SQRT($A7)*_xlfn.NORM.S.DIST((LN(Q$1 / MonteCarlo!$B$5) + (MonteCarlo!$B$9 + MonteCarlo!$B$7 ^ 2 / 2) *$A7) / (MonteCarlo!$B$7 * SQRT($A7)),FALSE),"")</f>
        <v/>
      </c>
      <c r="R7" t="str">
        <f>IFERROR(R$1*SQRT($A7)*_xlfn.NORM.S.DIST((LN(R$1 / MonteCarlo!$B$5) + (MonteCarlo!$B$9 + MonteCarlo!$B$7 ^ 2 / 2) *$A7) / (MonteCarlo!$B$7 * SQRT($A7)),FALSE),"")</f>
        <v/>
      </c>
      <c r="S7" t="str">
        <f>IFERROR(S$1*SQRT($A7)*_xlfn.NORM.S.DIST((LN(S$1 / MonteCarlo!$B$5) + (MonteCarlo!$B$9 + MonteCarlo!$B$7 ^ 2 / 2) *$A7) / (MonteCarlo!$B$7 * SQRT($A7)),FALSE),"")</f>
        <v/>
      </c>
      <c r="T7" t="str">
        <f>IFERROR(T$1*SQRT($A7)*_xlfn.NORM.S.DIST((LN(T$1 / MonteCarlo!$B$5) + (MonteCarlo!$B$9 + MonteCarlo!$B$7 ^ 2 / 2) *$A7) / (MonteCarlo!$B$7 * SQRT($A7)),FALSE),"")</f>
        <v/>
      </c>
      <c r="U7" t="str">
        <f>IFERROR(U$1*SQRT($A7)*_xlfn.NORM.S.DIST((LN(U$1 / MonteCarlo!$B$5) + (MonteCarlo!$B$9 + MonteCarlo!$B$7 ^ 2 / 2) *$A7) / (MonteCarlo!$B$7 * SQRT($A7)),FALSE),"")</f>
        <v/>
      </c>
      <c r="V7" t="str">
        <f>IFERROR(V$1*SQRT($A7)*_xlfn.NORM.S.DIST((LN(V$1 / MonteCarlo!$B$5) + (MonteCarlo!$B$9 + MonteCarlo!$B$7 ^ 2 / 2) *$A7) / (MonteCarlo!$B$7 * SQRT($A7)),FALSE),"")</f>
        <v/>
      </c>
      <c r="W7" t="str">
        <f>IFERROR(W$1*SQRT($A7)*_xlfn.NORM.S.DIST((LN(W$1 / MonteCarlo!$B$5) + (MonteCarlo!$B$9 + MonteCarlo!$B$7 ^ 2 / 2) *$A7) / (MonteCarlo!$B$7 * SQRT($A7)),FALSE),"")</f>
        <v/>
      </c>
      <c r="X7" t="str">
        <f>IFERROR(X$1*SQRT($A7)*_xlfn.NORM.S.DIST((LN(X$1 / MonteCarlo!$B$5) + (MonteCarlo!$B$9 + MonteCarlo!$B$7 ^ 2 / 2) *$A7) / (MonteCarlo!$B$7 * SQRT($A7)),FALSE),"")</f>
        <v/>
      </c>
      <c r="Y7" t="str">
        <f>IFERROR(Y$1*SQRT($A7)*_xlfn.NORM.S.DIST((LN(Y$1 / MonteCarlo!$B$5) + (MonteCarlo!$B$9 + MonteCarlo!$B$7 ^ 2 / 2) *$A7) / (MonteCarlo!$B$7 * SQRT($A7)),FALSE),"")</f>
        <v/>
      </c>
      <c r="Z7" t="str">
        <f>IFERROR(Z$1*SQRT($A7)*_xlfn.NORM.S.DIST((LN(Z$1 / MonteCarlo!$B$5) + (MonteCarlo!$B$9 + MonteCarlo!$B$7 ^ 2 / 2) *$A7) / (MonteCarlo!$B$7 * SQRT($A7)),FALSE),"")</f>
        <v/>
      </c>
      <c r="AA7" t="str">
        <f>IFERROR(AA$1*SQRT($A7)*_xlfn.NORM.S.DIST((LN(AA$1 / MonteCarlo!$B$5) + (MonteCarlo!$B$9 + MonteCarlo!$B$7 ^ 2 / 2) *$A7) / (MonteCarlo!$B$7 * SQRT($A7)),FALSE),"")</f>
        <v/>
      </c>
      <c r="AB7" t="str">
        <f>IFERROR(AB$1*SQRT($A7)*_xlfn.NORM.S.DIST((LN(AB$1 / MonteCarlo!$B$5) + (MonteCarlo!$B$9 + MonteCarlo!$B$7 ^ 2 / 2) *$A7) / (MonteCarlo!$B$7 * SQRT($A7)),FALSE),"")</f>
        <v/>
      </c>
      <c r="AC7" t="str">
        <f>IFERROR(AC$1*SQRT($A7)*_xlfn.NORM.S.DIST((LN(AC$1 / MonteCarlo!$B$5) + (MonteCarlo!$B$9 + MonteCarlo!$B$7 ^ 2 / 2) *$A7) / (MonteCarlo!$B$7 * SQRT($A7)),FALSE),"")</f>
        <v/>
      </c>
      <c r="AD7" t="str">
        <f>IFERROR(AD$1*SQRT($A7)*_xlfn.NORM.S.DIST((LN(AD$1 / MonteCarlo!$B$5) + (MonteCarlo!$B$9 + MonteCarlo!$B$7 ^ 2 / 2) *$A7) / (MonteCarlo!$B$7 * SQRT($A7)),FALSE),"")</f>
        <v/>
      </c>
      <c r="AE7" t="str">
        <f>IFERROR(AE$1*SQRT($A7)*_xlfn.NORM.S.DIST((LN(AE$1 / MonteCarlo!$B$5) + (MonteCarlo!$B$9 + MonteCarlo!$B$7 ^ 2 / 2) *$A7) / (MonteCarlo!$B$7 * SQRT($A7)),FALSE),"")</f>
        <v/>
      </c>
      <c r="AF7" t="str">
        <f>IFERROR(AF$1*SQRT($A7)*_xlfn.NORM.S.DIST((LN(AF$1 / MonteCarlo!$B$5) + (MonteCarlo!$B$9 + MonteCarlo!$B$7 ^ 2 / 2) *$A7) / (MonteCarlo!$B$7 * SQRT($A7)),FALSE),"")</f>
        <v/>
      </c>
    </row>
    <row r="8" spans="2:32" x14ac:dyDescent="0.25">
      <c r="B8" t="str">
        <f>IFERROR(B$1*SQRT($A8)*_xlfn.NORM.S.DIST((LN(B$1 / MonteCarlo!$B$5) + (MonteCarlo!$B$9 + MonteCarlo!$B$7 ^ 2 / 2) *$A8) / (MonteCarlo!$B$7 * SQRT($A8)),FALSE),"")</f>
        <v/>
      </c>
      <c r="C8" t="str">
        <f>IFERROR(C$1*SQRT($A8)*_xlfn.NORM.S.DIST((LN(C$1 / MonteCarlo!$B$5) + (MonteCarlo!$B$9 + MonteCarlo!$B$7 ^ 2 / 2) *$A8) / (MonteCarlo!$B$7 * SQRT($A8)),FALSE),"")</f>
        <v/>
      </c>
      <c r="D8" t="str">
        <f>IFERROR(D$1*SQRT($A8)*_xlfn.NORM.S.DIST((LN(D$1 / MonteCarlo!$B$5) + (MonteCarlo!$B$9 + MonteCarlo!$B$7 ^ 2 / 2) *$A8) / (MonteCarlo!$B$7 * SQRT($A8)),FALSE),"")</f>
        <v/>
      </c>
      <c r="E8" t="str">
        <f>IFERROR(E$1*SQRT($A8)*_xlfn.NORM.S.DIST((LN(E$1 / MonteCarlo!$B$5) + (MonteCarlo!$B$9 + MonteCarlo!$B$7 ^ 2 / 2) *$A8) / (MonteCarlo!$B$7 * SQRT($A8)),FALSE),"")</f>
        <v/>
      </c>
      <c r="F8" t="str">
        <f>IFERROR(F$1*SQRT($A8)*_xlfn.NORM.S.DIST((LN(F$1 / MonteCarlo!$B$5) + (MonteCarlo!$B$9 + MonteCarlo!$B$7 ^ 2 / 2) *$A8) / (MonteCarlo!$B$7 * SQRT($A8)),FALSE),"")</f>
        <v/>
      </c>
      <c r="G8" t="str">
        <f>IFERROR(G$1*SQRT($A8)*_xlfn.NORM.S.DIST((LN(G$1 / MonteCarlo!$B$5) + (MonteCarlo!$B$9 + MonteCarlo!$B$7 ^ 2 / 2) *$A8) / (MonteCarlo!$B$7 * SQRT($A8)),FALSE),"")</f>
        <v/>
      </c>
      <c r="H8" t="str">
        <f>IFERROR(H$1*SQRT($A8)*_xlfn.NORM.S.DIST((LN(H$1 / MonteCarlo!$B$5) + (MonteCarlo!$B$9 + MonteCarlo!$B$7 ^ 2 / 2) *$A8) / (MonteCarlo!$B$7 * SQRT($A8)),FALSE),"")</f>
        <v/>
      </c>
      <c r="I8" t="str">
        <f>IFERROR(I$1*SQRT($A8)*_xlfn.NORM.S.DIST((LN(I$1 / MonteCarlo!$B$5) + (MonteCarlo!$B$9 + MonteCarlo!$B$7 ^ 2 / 2) *$A8) / (MonteCarlo!$B$7 * SQRT($A8)),FALSE),"")</f>
        <v/>
      </c>
      <c r="J8" t="str">
        <f>IFERROR(J$1*SQRT($A8)*_xlfn.NORM.S.DIST((LN(J$1 / MonteCarlo!$B$5) + (MonteCarlo!$B$9 + MonteCarlo!$B$7 ^ 2 / 2) *$A8) / (MonteCarlo!$B$7 * SQRT($A8)),FALSE),"")</f>
        <v/>
      </c>
      <c r="K8" t="str">
        <f>IFERROR(K$1*SQRT($A8)*_xlfn.NORM.S.DIST((LN(K$1 / MonteCarlo!$B$5) + (MonteCarlo!$B$9 + MonteCarlo!$B$7 ^ 2 / 2) *$A8) / (MonteCarlo!$B$7 * SQRT($A8)),FALSE),"")</f>
        <v/>
      </c>
      <c r="L8" t="str">
        <f>IFERROR(L$1*SQRT($A8)*_xlfn.NORM.S.DIST((LN(L$1 / MonteCarlo!$B$5) + (MonteCarlo!$B$9 + MonteCarlo!$B$7 ^ 2 / 2) *$A8) / (MonteCarlo!$B$7 * SQRT($A8)),FALSE),"")</f>
        <v/>
      </c>
      <c r="M8" t="str">
        <f>IFERROR(M$1*SQRT($A8)*_xlfn.NORM.S.DIST((LN(M$1 / MonteCarlo!$B$5) + (MonteCarlo!$B$9 + MonteCarlo!$B$7 ^ 2 / 2) *$A8) / (MonteCarlo!$B$7 * SQRT($A8)),FALSE),"")</f>
        <v/>
      </c>
      <c r="N8" t="str">
        <f>IFERROR(N$1*SQRT($A8)*_xlfn.NORM.S.DIST((LN(N$1 / MonteCarlo!$B$5) + (MonteCarlo!$B$9 + MonteCarlo!$B$7 ^ 2 / 2) *$A8) / (MonteCarlo!$B$7 * SQRT($A8)),FALSE),"")</f>
        <v/>
      </c>
      <c r="O8" t="str">
        <f>IFERROR(O$1*SQRT($A8)*_xlfn.NORM.S.DIST((LN(O$1 / MonteCarlo!$B$5) + (MonteCarlo!$B$9 + MonteCarlo!$B$7 ^ 2 / 2) *$A8) / (MonteCarlo!$B$7 * SQRT($A8)),FALSE),"")</f>
        <v/>
      </c>
      <c r="P8" t="str">
        <f>IFERROR(P$1*SQRT($A8)*_xlfn.NORM.S.DIST((LN(P$1 / MonteCarlo!$B$5) + (MonteCarlo!$B$9 + MonteCarlo!$B$7 ^ 2 / 2) *$A8) / (MonteCarlo!$B$7 * SQRT($A8)),FALSE),"")</f>
        <v/>
      </c>
      <c r="Q8" t="str">
        <f>IFERROR(Q$1*SQRT($A8)*_xlfn.NORM.S.DIST((LN(Q$1 / MonteCarlo!$B$5) + (MonteCarlo!$B$9 + MonteCarlo!$B$7 ^ 2 / 2) *$A8) / (MonteCarlo!$B$7 * SQRT($A8)),FALSE),"")</f>
        <v/>
      </c>
      <c r="R8" t="str">
        <f>IFERROR(R$1*SQRT($A8)*_xlfn.NORM.S.DIST((LN(R$1 / MonteCarlo!$B$5) + (MonteCarlo!$B$9 + MonteCarlo!$B$7 ^ 2 / 2) *$A8) / (MonteCarlo!$B$7 * SQRT($A8)),FALSE),"")</f>
        <v/>
      </c>
      <c r="S8" t="str">
        <f>IFERROR(S$1*SQRT($A8)*_xlfn.NORM.S.DIST((LN(S$1 / MonteCarlo!$B$5) + (MonteCarlo!$B$9 + MonteCarlo!$B$7 ^ 2 / 2) *$A8) / (MonteCarlo!$B$7 * SQRT($A8)),FALSE),"")</f>
        <v/>
      </c>
      <c r="T8" t="str">
        <f>IFERROR(T$1*SQRT($A8)*_xlfn.NORM.S.DIST((LN(T$1 / MonteCarlo!$B$5) + (MonteCarlo!$B$9 + MonteCarlo!$B$7 ^ 2 / 2) *$A8) / (MonteCarlo!$B$7 * SQRT($A8)),FALSE),"")</f>
        <v/>
      </c>
      <c r="U8" t="str">
        <f>IFERROR(U$1*SQRT($A8)*_xlfn.NORM.S.DIST((LN(U$1 / MonteCarlo!$B$5) + (MonteCarlo!$B$9 + MonteCarlo!$B$7 ^ 2 / 2) *$A8) / (MonteCarlo!$B$7 * SQRT($A8)),FALSE),"")</f>
        <v/>
      </c>
      <c r="V8" t="str">
        <f>IFERROR(V$1*SQRT($A8)*_xlfn.NORM.S.DIST((LN(V$1 / MonteCarlo!$B$5) + (MonteCarlo!$B$9 + MonteCarlo!$B$7 ^ 2 / 2) *$A8) / (MonteCarlo!$B$7 * SQRT($A8)),FALSE),"")</f>
        <v/>
      </c>
      <c r="W8" t="str">
        <f>IFERROR(W$1*SQRT($A8)*_xlfn.NORM.S.DIST((LN(W$1 / MonteCarlo!$B$5) + (MonteCarlo!$B$9 + MonteCarlo!$B$7 ^ 2 / 2) *$A8) / (MonteCarlo!$B$7 * SQRT($A8)),FALSE),"")</f>
        <v/>
      </c>
      <c r="X8" t="str">
        <f>IFERROR(X$1*SQRT($A8)*_xlfn.NORM.S.DIST((LN(X$1 / MonteCarlo!$B$5) + (MonteCarlo!$B$9 + MonteCarlo!$B$7 ^ 2 / 2) *$A8) / (MonteCarlo!$B$7 * SQRT($A8)),FALSE),"")</f>
        <v/>
      </c>
      <c r="Y8" t="str">
        <f>IFERROR(Y$1*SQRT($A8)*_xlfn.NORM.S.DIST((LN(Y$1 / MonteCarlo!$B$5) + (MonteCarlo!$B$9 + MonteCarlo!$B$7 ^ 2 / 2) *$A8) / (MonteCarlo!$B$7 * SQRT($A8)),FALSE),"")</f>
        <v/>
      </c>
      <c r="Z8" t="str">
        <f>IFERROR(Z$1*SQRT($A8)*_xlfn.NORM.S.DIST((LN(Z$1 / MonteCarlo!$B$5) + (MonteCarlo!$B$9 + MonteCarlo!$B$7 ^ 2 / 2) *$A8) / (MonteCarlo!$B$7 * SQRT($A8)),FALSE),"")</f>
        <v/>
      </c>
      <c r="AA8" t="str">
        <f>IFERROR(AA$1*SQRT($A8)*_xlfn.NORM.S.DIST((LN(AA$1 / MonteCarlo!$B$5) + (MonteCarlo!$B$9 + MonteCarlo!$B$7 ^ 2 / 2) *$A8) / (MonteCarlo!$B$7 * SQRT($A8)),FALSE),"")</f>
        <v/>
      </c>
      <c r="AB8" t="str">
        <f>IFERROR(AB$1*SQRT($A8)*_xlfn.NORM.S.DIST((LN(AB$1 / MonteCarlo!$B$5) + (MonteCarlo!$B$9 + MonteCarlo!$B$7 ^ 2 / 2) *$A8) / (MonteCarlo!$B$7 * SQRT($A8)),FALSE),"")</f>
        <v/>
      </c>
      <c r="AC8" t="str">
        <f>IFERROR(AC$1*SQRT($A8)*_xlfn.NORM.S.DIST((LN(AC$1 / MonteCarlo!$B$5) + (MonteCarlo!$B$9 + MonteCarlo!$B$7 ^ 2 / 2) *$A8) / (MonteCarlo!$B$7 * SQRT($A8)),FALSE),"")</f>
        <v/>
      </c>
      <c r="AD8" t="str">
        <f>IFERROR(AD$1*SQRT($A8)*_xlfn.NORM.S.DIST((LN(AD$1 / MonteCarlo!$B$5) + (MonteCarlo!$B$9 + MonteCarlo!$B$7 ^ 2 / 2) *$A8) / (MonteCarlo!$B$7 * SQRT($A8)),FALSE),"")</f>
        <v/>
      </c>
      <c r="AE8" t="str">
        <f>IFERROR(AE$1*SQRT($A8)*_xlfn.NORM.S.DIST((LN(AE$1 / MonteCarlo!$B$5) + (MonteCarlo!$B$9 + MonteCarlo!$B$7 ^ 2 / 2) *$A8) / (MonteCarlo!$B$7 * SQRT($A8)),FALSE),"")</f>
        <v/>
      </c>
      <c r="AF8" t="str">
        <f>IFERROR(AF$1*SQRT($A8)*_xlfn.NORM.S.DIST((LN(AF$1 / MonteCarlo!$B$5) + (MonteCarlo!$B$9 + MonteCarlo!$B$7 ^ 2 / 2) *$A8) / (MonteCarlo!$B$7 * SQRT($A8)),FALSE),"")</f>
        <v/>
      </c>
    </row>
    <row r="9" spans="2:32" x14ac:dyDescent="0.25">
      <c r="B9" t="str">
        <f>IFERROR(B$1*SQRT($A9)*_xlfn.NORM.S.DIST((LN(B$1 / MonteCarlo!$B$5) + (MonteCarlo!$B$9 + MonteCarlo!$B$7 ^ 2 / 2) *$A9) / (MonteCarlo!$B$7 * SQRT($A9)),FALSE),"")</f>
        <v/>
      </c>
      <c r="C9" t="str">
        <f>IFERROR(C$1*SQRT($A9)*_xlfn.NORM.S.DIST((LN(C$1 / MonteCarlo!$B$5) + (MonteCarlo!$B$9 + MonteCarlo!$B$7 ^ 2 / 2) *$A9) / (MonteCarlo!$B$7 * SQRT($A9)),FALSE),"")</f>
        <v/>
      </c>
      <c r="D9" t="str">
        <f>IFERROR(D$1*SQRT($A9)*_xlfn.NORM.S.DIST((LN(D$1 / MonteCarlo!$B$5) + (MonteCarlo!$B$9 + MonteCarlo!$B$7 ^ 2 / 2) *$A9) / (MonteCarlo!$B$7 * SQRT($A9)),FALSE),"")</f>
        <v/>
      </c>
      <c r="E9" t="str">
        <f>IFERROR(E$1*SQRT($A9)*_xlfn.NORM.S.DIST((LN(E$1 / MonteCarlo!$B$5) + (MonteCarlo!$B$9 + MonteCarlo!$B$7 ^ 2 / 2) *$A9) / (MonteCarlo!$B$7 * SQRT($A9)),FALSE),"")</f>
        <v/>
      </c>
      <c r="F9" t="str">
        <f>IFERROR(F$1*SQRT($A9)*_xlfn.NORM.S.DIST((LN(F$1 / MonteCarlo!$B$5) + (MonteCarlo!$B$9 + MonteCarlo!$B$7 ^ 2 / 2) *$A9) / (MonteCarlo!$B$7 * SQRT($A9)),FALSE),"")</f>
        <v/>
      </c>
      <c r="G9" t="str">
        <f>IFERROR(G$1*SQRT($A9)*_xlfn.NORM.S.DIST((LN(G$1 / MonteCarlo!$B$5) + (MonteCarlo!$B$9 + MonteCarlo!$B$7 ^ 2 / 2) *$A9) / (MonteCarlo!$B$7 * SQRT($A9)),FALSE),"")</f>
        <v/>
      </c>
      <c r="H9" t="str">
        <f>IFERROR(H$1*SQRT($A9)*_xlfn.NORM.S.DIST((LN(H$1 / MonteCarlo!$B$5) + (MonteCarlo!$B$9 + MonteCarlo!$B$7 ^ 2 / 2) *$A9) / (MonteCarlo!$B$7 * SQRT($A9)),FALSE),"")</f>
        <v/>
      </c>
      <c r="I9" t="str">
        <f>IFERROR(I$1*SQRT($A9)*_xlfn.NORM.S.DIST((LN(I$1 / MonteCarlo!$B$5) + (MonteCarlo!$B$9 + MonteCarlo!$B$7 ^ 2 / 2) *$A9) / (MonteCarlo!$B$7 * SQRT($A9)),FALSE),"")</f>
        <v/>
      </c>
      <c r="J9" t="str">
        <f>IFERROR(J$1*SQRT($A9)*_xlfn.NORM.S.DIST((LN(J$1 / MonteCarlo!$B$5) + (MonteCarlo!$B$9 + MonteCarlo!$B$7 ^ 2 / 2) *$A9) / (MonteCarlo!$B$7 * SQRT($A9)),FALSE),"")</f>
        <v/>
      </c>
      <c r="K9" t="str">
        <f>IFERROR(K$1*SQRT($A9)*_xlfn.NORM.S.DIST((LN(K$1 / MonteCarlo!$B$5) + (MonteCarlo!$B$9 + MonteCarlo!$B$7 ^ 2 / 2) *$A9) / (MonteCarlo!$B$7 * SQRT($A9)),FALSE),"")</f>
        <v/>
      </c>
      <c r="L9" t="str">
        <f>IFERROR(L$1*SQRT($A9)*_xlfn.NORM.S.DIST((LN(L$1 / MonteCarlo!$B$5) + (MonteCarlo!$B$9 + MonteCarlo!$B$7 ^ 2 / 2) *$A9) / (MonteCarlo!$B$7 * SQRT($A9)),FALSE),"")</f>
        <v/>
      </c>
      <c r="M9" t="str">
        <f>IFERROR(M$1*SQRT($A9)*_xlfn.NORM.S.DIST((LN(M$1 / MonteCarlo!$B$5) + (MonteCarlo!$B$9 + MonteCarlo!$B$7 ^ 2 / 2) *$A9) / (MonteCarlo!$B$7 * SQRT($A9)),FALSE),"")</f>
        <v/>
      </c>
      <c r="N9" t="str">
        <f>IFERROR(N$1*SQRT($A9)*_xlfn.NORM.S.DIST((LN(N$1 / MonteCarlo!$B$5) + (MonteCarlo!$B$9 + MonteCarlo!$B$7 ^ 2 / 2) *$A9) / (MonteCarlo!$B$7 * SQRT($A9)),FALSE),"")</f>
        <v/>
      </c>
      <c r="O9" t="str">
        <f>IFERROR(O$1*SQRT($A9)*_xlfn.NORM.S.DIST((LN(O$1 / MonteCarlo!$B$5) + (MonteCarlo!$B$9 + MonteCarlo!$B$7 ^ 2 / 2) *$A9) / (MonteCarlo!$B$7 * SQRT($A9)),FALSE),"")</f>
        <v/>
      </c>
      <c r="P9" t="str">
        <f>IFERROR(P$1*SQRT($A9)*_xlfn.NORM.S.DIST((LN(P$1 / MonteCarlo!$B$5) + (MonteCarlo!$B$9 + MonteCarlo!$B$7 ^ 2 / 2) *$A9) / (MonteCarlo!$B$7 * SQRT($A9)),FALSE),"")</f>
        <v/>
      </c>
      <c r="Q9" t="str">
        <f>IFERROR(Q$1*SQRT($A9)*_xlfn.NORM.S.DIST((LN(Q$1 / MonteCarlo!$B$5) + (MonteCarlo!$B$9 + MonteCarlo!$B$7 ^ 2 / 2) *$A9) / (MonteCarlo!$B$7 * SQRT($A9)),FALSE),"")</f>
        <v/>
      </c>
      <c r="R9" t="str">
        <f>IFERROR(R$1*SQRT($A9)*_xlfn.NORM.S.DIST((LN(R$1 / MonteCarlo!$B$5) + (MonteCarlo!$B$9 + MonteCarlo!$B$7 ^ 2 / 2) *$A9) / (MonteCarlo!$B$7 * SQRT($A9)),FALSE),"")</f>
        <v/>
      </c>
      <c r="S9" t="str">
        <f>IFERROR(S$1*SQRT($A9)*_xlfn.NORM.S.DIST((LN(S$1 / MonteCarlo!$B$5) + (MonteCarlo!$B$9 + MonteCarlo!$B$7 ^ 2 / 2) *$A9) / (MonteCarlo!$B$7 * SQRT($A9)),FALSE),"")</f>
        <v/>
      </c>
      <c r="T9" t="str">
        <f>IFERROR(T$1*SQRT($A9)*_xlfn.NORM.S.DIST((LN(T$1 / MonteCarlo!$B$5) + (MonteCarlo!$B$9 + MonteCarlo!$B$7 ^ 2 / 2) *$A9) / (MonteCarlo!$B$7 * SQRT($A9)),FALSE),"")</f>
        <v/>
      </c>
      <c r="U9" t="str">
        <f>IFERROR(U$1*SQRT($A9)*_xlfn.NORM.S.DIST((LN(U$1 / MonteCarlo!$B$5) + (MonteCarlo!$B$9 + MonteCarlo!$B$7 ^ 2 / 2) *$A9) / (MonteCarlo!$B$7 * SQRT($A9)),FALSE),"")</f>
        <v/>
      </c>
      <c r="V9" t="str">
        <f>IFERROR(V$1*SQRT($A9)*_xlfn.NORM.S.DIST((LN(V$1 / MonteCarlo!$B$5) + (MonteCarlo!$B$9 + MonteCarlo!$B$7 ^ 2 / 2) *$A9) / (MonteCarlo!$B$7 * SQRT($A9)),FALSE),"")</f>
        <v/>
      </c>
      <c r="W9" t="str">
        <f>IFERROR(W$1*SQRT($A9)*_xlfn.NORM.S.DIST((LN(W$1 / MonteCarlo!$B$5) + (MonteCarlo!$B$9 + MonteCarlo!$B$7 ^ 2 / 2) *$A9) / (MonteCarlo!$B$7 * SQRT($A9)),FALSE),"")</f>
        <v/>
      </c>
      <c r="X9" t="str">
        <f>IFERROR(X$1*SQRT($A9)*_xlfn.NORM.S.DIST((LN(X$1 / MonteCarlo!$B$5) + (MonteCarlo!$B$9 + MonteCarlo!$B$7 ^ 2 / 2) *$A9) / (MonteCarlo!$B$7 * SQRT($A9)),FALSE),"")</f>
        <v/>
      </c>
      <c r="Y9" t="str">
        <f>IFERROR(Y$1*SQRT($A9)*_xlfn.NORM.S.DIST((LN(Y$1 / MonteCarlo!$B$5) + (MonteCarlo!$B$9 + MonteCarlo!$B$7 ^ 2 / 2) *$A9) / (MonteCarlo!$B$7 * SQRT($A9)),FALSE),"")</f>
        <v/>
      </c>
      <c r="Z9" t="str">
        <f>IFERROR(Z$1*SQRT($A9)*_xlfn.NORM.S.DIST((LN(Z$1 / MonteCarlo!$B$5) + (MonteCarlo!$B$9 + MonteCarlo!$B$7 ^ 2 / 2) *$A9) / (MonteCarlo!$B$7 * SQRT($A9)),FALSE),"")</f>
        <v/>
      </c>
      <c r="AA9" t="str">
        <f>IFERROR(AA$1*SQRT($A9)*_xlfn.NORM.S.DIST((LN(AA$1 / MonteCarlo!$B$5) + (MonteCarlo!$B$9 + MonteCarlo!$B$7 ^ 2 / 2) *$A9) / (MonteCarlo!$B$7 * SQRT($A9)),FALSE),"")</f>
        <v/>
      </c>
      <c r="AB9" t="str">
        <f>IFERROR(AB$1*SQRT($A9)*_xlfn.NORM.S.DIST((LN(AB$1 / MonteCarlo!$B$5) + (MonteCarlo!$B$9 + MonteCarlo!$B$7 ^ 2 / 2) *$A9) / (MonteCarlo!$B$7 * SQRT($A9)),FALSE),"")</f>
        <v/>
      </c>
      <c r="AC9" t="str">
        <f>IFERROR(AC$1*SQRT($A9)*_xlfn.NORM.S.DIST((LN(AC$1 / MonteCarlo!$B$5) + (MonteCarlo!$B$9 + MonteCarlo!$B$7 ^ 2 / 2) *$A9) / (MonteCarlo!$B$7 * SQRT($A9)),FALSE),"")</f>
        <v/>
      </c>
      <c r="AD9" t="str">
        <f>IFERROR(AD$1*SQRT($A9)*_xlfn.NORM.S.DIST((LN(AD$1 / MonteCarlo!$B$5) + (MonteCarlo!$B$9 + MonteCarlo!$B$7 ^ 2 / 2) *$A9) / (MonteCarlo!$B$7 * SQRT($A9)),FALSE),"")</f>
        <v/>
      </c>
      <c r="AE9" t="str">
        <f>IFERROR(AE$1*SQRT($A9)*_xlfn.NORM.S.DIST((LN(AE$1 / MonteCarlo!$B$5) + (MonteCarlo!$B$9 + MonteCarlo!$B$7 ^ 2 / 2) *$A9) / (MonteCarlo!$B$7 * SQRT($A9)),FALSE),"")</f>
        <v/>
      </c>
      <c r="AF9" t="str">
        <f>IFERROR(AF$1*SQRT($A9)*_xlfn.NORM.S.DIST((LN(AF$1 / MonteCarlo!$B$5) + (MonteCarlo!$B$9 + MonteCarlo!$B$7 ^ 2 / 2) *$A9) / (MonteCarlo!$B$7 * SQRT($A9)),FALSE),"")</f>
        <v/>
      </c>
    </row>
    <row r="10" spans="2:32" x14ac:dyDescent="0.25">
      <c r="B10" t="str">
        <f>IFERROR(B$1*SQRT($A10)*_xlfn.NORM.S.DIST((LN(B$1 / MonteCarlo!$B$5) + (MonteCarlo!$B$9 + MonteCarlo!$B$7 ^ 2 / 2) *$A10) / (MonteCarlo!$B$7 * SQRT($A10)),FALSE),"")</f>
        <v/>
      </c>
      <c r="C10" t="str">
        <f>IFERROR(C$1*SQRT($A10)*_xlfn.NORM.S.DIST((LN(C$1 / MonteCarlo!$B$5) + (MonteCarlo!$B$9 + MonteCarlo!$B$7 ^ 2 / 2) *$A10) / (MonteCarlo!$B$7 * SQRT($A10)),FALSE),"")</f>
        <v/>
      </c>
      <c r="D10" t="str">
        <f>IFERROR(D$1*SQRT($A10)*_xlfn.NORM.S.DIST((LN(D$1 / MonteCarlo!$B$5) + (MonteCarlo!$B$9 + MonteCarlo!$B$7 ^ 2 / 2) *$A10) / (MonteCarlo!$B$7 * SQRT($A10)),FALSE),"")</f>
        <v/>
      </c>
      <c r="E10" t="str">
        <f>IFERROR(E$1*SQRT($A10)*_xlfn.NORM.S.DIST((LN(E$1 / MonteCarlo!$B$5) + (MonteCarlo!$B$9 + MonteCarlo!$B$7 ^ 2 / 2) *$A10) / (MonteCarlo!$B$7 * SQRT($A10)),FALSE),"")</f>
        <v/>
      </c>
      <c r="F10" t="str">
        <f>IFERROR(F$1*SQRT($A10)*_xlfn.NORM.S.DIST((LN(F$1 / MonteCarlo!$B$5) + (MonteCarlo!$B$9 + MonteCarlo!$B$7 ^ 2 / 2) *$A10) / (MonteCarlo!$B$7 * SQRT($A10)),FALSE),"")</f>
        <v/>
      </c>
      <c r="G10" t="str">
        <f>IFERROR(G$1*SQRT($A10)*_xlfn.NORM.S.DIST((LN(G$1 / MonteCarlo!$B$5) + (MonteCarlo!$B$9 + MonteCarlo!$B$7 ^ 2 / 2) *$A10) / (MonteCarlo!$B$7 * SQRT($A10)),FALSE),"")</f>
        <v/>
      </c>
      <c r="H10" t="str">
        <f>IFERROR(H$1*SQRT($A10)*_xlfn.NORM.S.DIST((LN(H$1 / MonteCarlo!$B$5) + (MonteCarlo!$B$9 + MonteCarlo!$B$7 ^ 2 / 2) *$A10) / (MonteCarlo!$B$7 * SQRT($A10)),FALSE),"")</f>
        <v/>
      </c>
      <c r="I10" t="str">
        <f>IFERROR(I$1*SQRT($A10)*_xlfn.NORM.S.DIST((LN(I$1 / MonteCarlo!$B$5) + (MonteCarlo!$B$9 + MonteCarlo!$B$7 ^ 2 / 2) *$A10) / (MonteCarlo!$B$7 * SQRT($A10)),FALSE),"")</f>
        <v/>
      </c>
      <c r="J10" t="str">
        <f>IFERROR(J$1*SQRT($A10)*_xlfn.NORM.S.DIST((LN(J$1 / MonteCarlo!$B$5) + (MonteCarlo!$B$9 + MonteCarlo!$B$7 ^ 2 / 2) *$A10) / (MonteCarlo!$B$7 * SQRT($A10)),FALSE),"")</f>
        <v/>
      </c>
      <c r="K10" t="str">
        <f>IFERROR(K$1*SQRT($A10)*_xlfn.NORM.S.DIST((LN(K$1 / MonteCarlo!$B$5) + (MonteCarlo!$B$9 + MonteCarlo!$B$7 ^ 2 / 2) *$A10) / (MonteCarlo!$B$7 * SQRT($A10)),FALSE),"")</f>
        <v/>
      </c>
      <c r="L10" t="str">
        <f>IFERROR(L$1*SQRT($A10)*_xlfn.NORM.S.DIST((LN(L$1 / MonteCarlo!$B$5) + (MonteCarlo!$B$9 + MonteCarlo!$B$7 ^ 2 / 2) *$A10) / (MonteCarlo!$B$7 * SQRT($A10)),FALSE),"")</f>
        <v/>
      </c>
      <c r="M10" t="str">
        <f>IFERROR(M$1*SQRT($A10)*_xlfn.NORM.S.DIST((LN(M$1 / MonteCarlo!$B$5) + (MonteCarlo!$B$9 + MonteCarlo!$B$7 ^ 2 / 2) *$A10) / (MonteCarlo!$B$7 * SQRT($A10)),FALSE),"")</f>
        <v/>
      </c>
      <c r="N10" t="str">
        <f>IFERROR(N$1*SQRT($A10)*_xlfn.NORM.S.DIST((LN(N$1 / MonteCarlo!$B$5) + (MonteCarlo!$B$9 + MonteCarlo!$B$7 ^ 2 / 2) *$A10) / (MonteCarlo!$B$7 * SQRT($A10)),FALSE),"")</f>
        <v/>
      </c>
      <c r="O10" t="str">
        <f>IFERROR(O$1*SQRT($A10)*_xlfn.NORM.S.DIST((LN(O$1 / MonteCarlo!$B$5) + (MonteCarlo!$B$9 + MonteCarlo!$B$7 ^ 2 / 2) *$A10) / (MonteCarlo!$B$7 * SQRT($A10)),FALSE),"")</f>
        <v/>
      </c>
      <c r="P10" t="str">
        <f>IFERROR(P$1*SQRT($A10)*_xlfn.NORM.S.DIST((LN(P$1 / MonteCarlo!$B$5) + (MonteCarlo!$B$9 + MonteCarlo!$B$7 ^ 2 / 2) *$A10) / (MonteCarlo!$B$7 * SQRT($A10)),FALSE),"")</f>
        <v/>
      </c>
      <c r="Q10" t="str">
        <f>IFERROR(Q$1*SQRT($A10)*_xlfn.NORM.S.DIST((LN(Q$1 / MonteCarlo!$B$5) + (MonteCarlo!$B$9 + MonteCarlo!$B$7 ^ 2 / 2) *$A10) / (MonteCarlo!$B$7 * SQRT($A10)),FALSE),"")</f>
        <v/>
      </c>
      <c r="R10" t="str">
        <f>IFERROR(R$1*SQRT($A10)*_xlfn.NORM.S.DIST((LN(R$1 / MonteCarlo!$B$5) + (MonteCarlo!$B$9 + MonteCarlo!$B$7 ^ 2 / 2) *$A10) / (MonteCarlo!$B$7 * SQRT($A10)),FALSE),"")</f>
        <v/>
      </c>
      <c r="S10" t="str">
        <f>IFERROR(S$1*SQRT($A10)*_xlfn.NORM.S.DIST((LN(S$1 / MonteCarlo!$B$5) + (MonteCarlo!$B$9 + MonteCarlo!$B$7 ^ 2 / 2) *$A10) / (MonteCarlo!$B$7 * SQRT($A10)),FALSE),"")</f>
        <v/>
      </c>
      <c r="T10" t="str">
        <f>IFERROR(T$1*SQRT($A10)*_xlfn.NORM.S.DIST((LN(T$1 / MonteCarlo!$B$5) + (MonteCarlo!$B$9 + MonteCarlo!$B$7 ^ 2 / 2) *$A10) / (MonteCarlo!$B$7 * SQRT($A10)),FALSE),"")</f>
        <v/>
      </c>
      <c r="U10" t="str">
        <f>IFERROR(U$1*SQRT($A10)*_xlfn.NORM.S.DIST((LN(U$1 / MonteCarlo!$B$5) + (MonteCarlo!$B$9 + MonteCarlo!$B$7 ^ 2 / 2) *$A10) / (MonteCarlo!$B$7 * SQRT($A10)),FALSE),"")</f>
        <v/>
      </c>
      <c r="V10" t="str">
        <f>IFERROR(V$1*SQRT($A10)*_xlfn.NORM.S.DIST((LN(V$1 / MonteCarlo!$B$5) + (MonteCarlo!$B$9 + MonteCarlo!$B$7 ^ 2 / 2) *$A10) / (MonteCarlo!$B$7 * SQRT($A10)),FALSE),"")</f>
        <v/>
      </c>
      <c r="W10" t="str">
        <f>IFERROR(W$1*SQRT($A10)*_xlfn.NORM.S.DIST((LN(W$1 / MonteCarlo!$B$5) + (MonteCarlo!$B$9 + MonteCarlo!$B$7 ^ 2 / 2) *$A10) / (MonteCarlo!$B$7 * SQRT($A10)),FALSE),"")</f>
        <v/>
      </c>
      <c r="X10" t="str">
        <f>IFERROR(X$1*SQRT($A10)*_xlfn.NORM.S.DIST((LN(X$1 / MonteCarlo!$B$5) + (MonteCarlo!$B$9 + MonteCarlo!$B$7 ^ 2 / 2) *$A10) / (MonteCarlo!$B$7 * SQRT($A10)),FALSE),"")</f>
        <v/>
      </c>
      <c r="Y10" t="str">
        <f>IFERROR(Y$1*SQRT($A10)*_xlfn.NORM.S.DIST((LN(Y$1 / MonteCarlo!$B$5) + (MonteCarlo!$B$9 + MonteCarlo!$B$7 ^ 2 / 2) *$A10) / (MonteCarlo!$B$7 * SQRT($A10)),FALSE),"")</f>
        <v/>
      </c>
      <c r="Z10" t="str">
        <f>IFERROR(Z$1*SQRT($A10)*_xlfn.NORM.S.DIST((LN(Z$1 / MonteCarlo!$B$5) + (MonteCarlo!$B$9 + MonteCarlo!$B$7 ^ 2 / 2) *$A10) / (MonteCarlo!$B$7 * SQRT($A10)),FALSE),"")</f>
        <v/>
      </c>
      <c r="AA10" t="str">
        <f>IFERROR(AA$1*SQRT($A10)*_xlfn.NORM.S.DIST((LN(AA$1 / MonteCarlo!$B$5) + (MonteCarlo!$B$9 + MonteCarlo!$B$7 ^ 2 / 2) *$A10) / (MonteCarlo!$B$7 * SQRT($A10)),FALSE),"")</f>
        <v/>
      </c>
      <c r="AB10" t="str">
        <f>IFERROR(AB$1*SQRT($A10)*_xlfn.NORM.S.DIST((LN(AB$1 / MonteCarlo!$B$5) + (MonteCarlo!$B$9 + MonteCarlo!$B$7 ^ 2 / 2) *$A10) / (MonteCarlo!$B$7 * SQRT($A10)),FALSE),"")</f>
        <v/>
      </c>
      <c r="AC10" t="str">
        <f>IFERROR(AC$1*SQRT($A10)*_xlfn.NORM.S.DIST((LN(AC$1 / MonteCarlo!$B$5) + (MonteCarlo!$B$9 + MonteCarlo!$B$7 ^ 2 / 2) *$A10) / (MonteCarlo!$B$7 * SQRT($A10)),FALSE),"")</f>
        <v/>
      </c>
      <c r="AD10" t="str">
        <f>IFERROR(AD$1*SQRT($A10)*_xlfn.NORM.S.DIST((LN(AD$1 / MonteCarlo!$B$5) + (MonteCarlo!$B$9 + MonteCarlo!$B$7 ^ 2 / 2) *$A10) / (MonteCarlo!$B$7 * SQRT($A10)),FALSE),"")</f>
        <v/>
      </c>
      <c r="AE10" t="str">
        <f>IFERROR(AE$1*SQRT($A10)*_xlfn.NORM.S.DIST((LN(AE$1 / MonteCarlo!$B$5) + (MonteCarlo!$B$9 + MonteCarlo!$B$7 ^ 2 / 2) *$A10) / (MonteCarlo!$B$7 * SQRT($A10)),FALSE),"")</f>
        <v/>
      </c>
      <c r="AF10" t="str">
        <f>IFERROR(AF$1*SQRT($A10)*_xlfn.NORM.S.DIST((LN(AF$1 / MonteCarlo!$B$5) + (MonteCarlo!$B$9 + MonteCarlo!$B$7 ^ 2 / 2) *$A10) / (MonteCarlo!$B$7 * SQRT($A10)),FALSE),"")</f>
        <v/>
      </c>
    </row>
    <row r="11" spans="2:32" x14ac:dyDescent="0.25">
      <c r="B11" t="str">
        <f>IFERROR(B$1*SQRT($A11)*_xlfn.NORM.S.DIST((LN(B$1 / MonteCarlo!$B$5) + (MonteCarlo!$B$9 + MonteCarlo!$B$7 ^ 2 / 2) *$A11) / (MonteCarlo!$B$7 * SQRT($A11)),FALSE),"")</f>
        <v/>
      </c>
      <c r="C11" t="str">
        <f>IFERROR(C$1*SQRT($A11)*_xlfn.NORM.S.DIST((LN(C$1 / MonteCarlo!$B$5) + (MonteCarlo!$B$9 + MonteCarlo!$B$7 ^ 2 / 2) *$A11) / (MonteCarlo!$B$7 * SQRT($A11)),FALSE),"")</f>
        <v/>
      </c>
      <c r="D11" t="str">
        <f>IFERROR(D$1*SQRT($A11)*_xlfn.NORM.S.DIST((LN(D$1 / MonteCarlo!$B$5) + (MonteCarlo!$B$9 + MonteCarlo!$B$7 ^ 2 / 2) *$A11) / (MonteCarlo!$B$7 * SQRT($A11)),FALSE),"")</f>
        <v/>
      </c>
      <c r="E11" t="str">
        <f>IFERROR(E$1*SQRT($A11)*_xlfn.NORM.S.DIST((LN(E$1 / MonteCarlo!$B$5) + (MonteCarlo!$B$9 + MonteCarlo!$B$7 ^ 2 / 2) *$A11) / (MonteCarlo!$B$7 * SQRT($A11)),FALSE),"")</f>
        <v/>
      </c>
      <c r="F11" t="str">
        <f>IFERROR(F$1*SQRT($A11)*_xlfn.NORM.S.DIST((LN(F$1 / MonteCarlo!$B$5) + (MonteCarlo!$B$9 + MonteCarlo!$B$7 ^ 2 / 2) *$A11) / (MonteCarlo!$B$7 * SQRT($A11)),FALSE),"")</f>
        <v/>
      </c>
      <c r="G11" t="str">
        <f>IFERROR(G$1*SQRT($A11)*_xlfn.NORM.S.DIST((LN(G$1 / MonteCarlo!$B$5) + (MonteCarlo!$B$9 + MonteCarlo!$B$7 ^ 2 / 2) *$A11) / (MonteCarlo!$B$7 * SQRT($A11)),FALSE),"")</f>
        <v/>
      </c>
      <c r="H11" t="str">
        <f>IFERROR(H$1*SQRT($A11)*_xlfn.NORM.S.DIST((LN(H$1 / MonteCarlo!$B$5) + (MonteCarlo!$B$9 + MonteCarlo!$B$7 ^ 2 / 2) *$A11) / (MonteCarlo!$B$7 * SQRT($A11)),FALSE),"")</f>
        <v/>
      </c>
      <c r="I11" t="str">
        <f>IFERROR(I$1*SQRT($A11)*_xlfn.NORM.S.DIST((LN(I$1 / MonteCarlo!$B$5) + (MonteCarlo!$B$9 + MonteCarlo!$B$7 ^ 2 / 2) *$A11) / (MonteCarlo!$B$7 * SQRT($A11)),FALSE),"")</f>
        <v/>
      </c>
      <c r="J11" t="str">
        <f>IFERROR(J$1*SQRT($A11)*_xlfn.NORM.S.DIST((LN(J$1 / MonteCarlo!$B$5) + (MonteCarlo!$B$9 + MonteCarlo!$B$7 ^ 2 / 2) *$A11) / (MonteCarlo!$B$7 * SQRT($A11)),FALSE),"")</f>
        <v/>
      </c>
      <c r="K11" t="str">
        <f>IFERROR(K$1*SQRT($A11)*_xlfn.NORM.S.DIST((LN(K$1 / MonteCarlo!$B$5) + (MonteCarlo!$B$9 + MonteCarlo!$B$7 ^ 2 / 2) *$A11) / (MonteCarlo!$B$7 * SQRT($A11)),FALSE),"")</f>
        <v/>
      </c>
      <c r="L11" t="str">
        <f>IFERROR(L$1*SQRT($A11)*_xlfn.NORM.S.DIST((LN(L$1 / MonteCarlo!$B$5) + (MonteCarlo!$B$9 + MonteCarlo!$B$7 ^ 2 / 2) *$A11) / (MonteCarlo!$B$7 * SQRT($A11)),FALSE),"")</f>
        <v/>
      </c>
      <c r="M11" t="str">
        <f>IFERROR(M$1*SQRT($A11)*_xlfn.NORM.S.DIST((LN(M$1 / MonteCarlo!$B$5) + (MonteCarlo!$B$9 + MonteCarlo!$B$7 ^ 2 / 2) *$A11) / (MonteCarlo!$B$7 * SQRT($A11)),FALSE),"")</f>
        <v/>
      </c>
      <c r="N11" t="str">
        <f>IFERROR(N$1*SQRT($A11)*_xlfn.NORM.S.DIST((LN(N$1 / MonteCarlo!$B$5) + (MonteCarlo!$B$9 + MonteCarlo!$B$7 ^ 2 / 2) *$A11) / (MonteCarlo!$B$7 * SQRT($A11)),FALSE),"")</f>
        <v/>
      </c>
      <c r="O11" t="str">
        <f>IFERROR(O$1*SQRT($A11)*_xlfn.NORM.S.DIST((LN(O$1 / MonteCarlo!$B$5) + (MonteCarlo!$B$9 + MonteCarlo!$B$7 ^ 2 / 2) *$A11) / (MonteCarlo!$B$7 * SQRT($A11)),FALSE),"")</f>
        <v/>
      </c>
      <c r="P11" t="str">
        <f>IFERROR(P$1*SQRT($A11)*_xlfn.NORM.S.DIST((LN(P$1 / MonteCarlo!$B$5) + (MonteCarlo!$B$9 + MonteCarlo!$B$7 ^ 2 / 2) *$A11) / (MonteCarlo!$B$7 * SQRT($A11)),FALSE),"")</f>
        <v/>
      </c>
      <c r="Q11" t="str">
        <f>IFERROR(Q$1*SQRT($A11)*_xlfn.NORM.S.DIST((LN(Q$1 / MonteCarlo!$B$5) + (MonteCarlo!$B$9 + MonteCarlo!$B$7 ^ 2 / 2) *$A11) / (MonteCarlo!$B$7 * SQRT($A11)),FALSE),"")</f>
        <v/>
      </c>
      <c r="R11" t="str">
        <f>IFERROR(R$1*SQRT($A11)*_xlfn.NORM.S.DIST((LN(R$1 / MonteCarlo!$B$5) + (MonteCarlo!$B$9 + MonteCarlo!$B$7 ^ 2 / 2) *$A11) / (MonteCarlo!$B$7 * SQRT($A11)),FALSE),"")</f>
        <v/>
      </c>
      <c r="S11" t="str">
        <f>IFERROR(S$1*SQRT($A11)*_xlfn.NORM.S.DIST((LN(S$1 / MonteCarlo!$B$5) + (MonteCarlo!$B$9 + MonteCarlo!$B$7 ^ 2 / 2) *$A11) / (MonteCarlo!$B$7 * SQRT($A11)),FALSE),"")</f>
        <v/>
      </c>
      <c r="T11" t="str">
        <f>IFERROR(T$1*SQRT($A11)*_xlfn.NORM.S.DIST((LN(T$1 / MonteCarlo!$B$5) + (MonteCarlo!$B$9 + MonteCarlo!$B$7 ^ 2 / 2) *$A11) / (MonteCarlo!$B$7 * SQRT($A11)),FALSE),"")</f>
        <v/>
      </c>
      <c r="U11" t="str">
        <f>IFERROR(U$1*SQRT($A11)*_xlfn.NORM.S.DIST((LN(U$1 / MonteCarlo!$B$5) + (MonteCarlo!$B$9 + MonteCarlo!$B$7 ^ 2 / 2) *$A11) / (MonteCarlo!$B$7 * SQRT($A11)),FALSE),"")</f>
        <v/>
      </c>
      <c r="V11" t="str">
        <f>IFERROR(V$1*SQRT($A11)*_xlfn.NORM.S.DIST((LN(V$1 / MonteCarlo!$B$5) + (MonteCarlo!$B$9 + MonteCarlo!$B$7 ^ 2 / 2) *$A11) / (MonteCarlo!$B$7 * SQRT($A11)),FALSE),"")</f>
        <v/>
      </c>
      <c r="W11" t="str">
        <f>IFERROR(W$1*SQRT($A11)*_xlfn.NORM.S.DIST((LN(W$1 / MonteCarlo!$B$5) + (MonteCarlo!$B$9 + MonteCarlo!$B$7 ^ 2 / 2) *$A11) / (MonteCarlo!$B$7 * SQRT($A11)),FALSE),"")</f>
        <v/>
      </c>
      <c r="X11" t="str">
        <f>IFERROR(X$1*SQRT($A11)*_xlfn.NORM.S.DIST((LN(X$1 / MonteCarlo!$B$5) + (MonteCarlo!$B$9 + MonteCarlo!$B$7 ^ 2 / 2) *$A11) / (MonteCarlo!$B$7 * SQRT($A11)),FALSE),"")</f>
        <v/>
      </c>
      <c r="Y11" t="str">
        <f>IFERROR(Y$1*SQRT($A11)*_xlfn.NORM.S.DIST((LN(Y$1 / MonteCarlo!$B$5) + (MonteCarlo!$B$9 + MonteCarlo!$B$7 ^ 2 / 2) *$A11) / (MonteCarlo!$B$7 * SQRT($A11)),FALSE),"")</f>
        <v/>
      </c>
      <c r="Z11" t="str">
        <f>IFERROR(Z$1*SQRT($A11)*_xlfn.NORM.S.DIST((LN(Z$1 / MonteCarlo!$B$5) + (MonteCarlo!$B$9 + MonteCarlo!$B$7 ^ 2 / 2) *$A11) / (MonteCarlo!$B$7 * SQRT($A11)),FALSE),"")</f>
        <v/>
      </c>
      <c r="AA11" t="str">
        <f>IFERROR(AA$1*SQRT($A11)*_xlfn.NORM.S.DIST((LN(AA$1 / MonteCarlo!$B$5) + (MonteCarlo!$B$9 + MonteCarlo!$B$7 ^ 2 / 2) *$A11) / (MonteCarlo!$B$7 * SQRT($A11)),FALSE),"")</f>
        <v/>
      </c>
      <c r="AB11" t="str">
        <f>IFERROR(AB$1*SQRT($A11)*_xlfn.NORM.S.DIST((LN(AB$1 / MonteCarlo!$B$5) + (MonteCarlo!$B$9 + MonteCarlo!$B$7 ^ 2 / 2) *$A11) / (MonteCarlo!$B$7 * SQRT($A11)),FALSE),"")</f>
        <v/>
      </c>
      <c r="AC11" t="str">
        <f>IFERROR(AC$1*SQRT($A11)*_xlfn.NORM.S.DIST((LN(AC$1 / MonteCarlo!$B$5) + (MonteCarlo!$B$9 + MonteCarlo!$B$7 ^ 2 / 2) *$A11) / (MonteCarlo!$B$7 * SQRT($A11)),FALSE),"")</f>
        <v/>
      </c>
      <c r="AD11" t="str">
        <f>IFERROR(AD$1*SQRT($A11)*_xlfn.NORM.S.DIST((LN(AD$1 / MonteCarlo!$B$5) + (MonteCarlo!$B$9 + MonteCarlo!$B$7 ^ 2 / 2) *$A11) / (MonteCarlo!$B$7 * SQRT($A11)),FALSE),"")</f>
        <v/>
      </c>
      <c r="AE11" t="str">
        <f>IFERROR(AE$1*SQRT($A11)*_xlfn.NORM.S.DIST((LN(AE$1 / MonteCarlo!$B$5) + (MonteCarlo!$B$9 + MonteCarlo!$B$7 ^ 2 / 2) *$A11) / (MonteCarlo!$B$7 * SQRT($A11)),FALSE),"")</f>
        <v/>
      </c>
      <c r="AF11" t="str">
        <f>IFERROR(AF$1*SQRT($A11)*_xlfn.NORM.S.DIST((LN(AF$1 / MonteCarlo!$B$5) + (MonteCarlo!$B$9 + MonteCarlo!$B$7 ^ 2 / 2) *$A11) / (MonteCarlo!$B$7 * SQRT($A11)),FALSE),"")</f>
        <v/>
      </c>
    </row>
    <row r="12" spans="2:32" x14ac:dyDescent="0.25">
      <c r="B12" t="str">
        <f>IFERROR(B$1*SQRT($A12)*_xlfn.NORM.S.DIST((LN(B$1 / MonteCarlo!$B$5) + (MonteCarlo!$B$9 + MonteCarlo!$B$7 ^ 2 / 2) *$A12) / (MonteCarlo!$B$7 * SQRT($A12)),FALSE),"")</f>
        <v/>
      </c>
      <c r="C12" t="str">
        <f>IFERROR(C$1*SQRT($A12)*_xlfn.NORM.S.DIST((LN(C$1 / MonteCarlo!$B$5) + (MonteCarlo!$B$9 + MonteCarlo!$B$7 ^ 2 / 2) *$A12) / (MonteCarlo!$B$7 * SQRT($A12)),FALSE),"")</f>
        <v/>
      </c>
      <c r="D12" t="str">
        <f>IFERROR(D$1*SQRT($A12)*_xlfn.NORM.S.DIST((LN(D$1 / MonteCarlo!$B$5) + (MonteCarlo!$B$9 + MonteCarlo!$B$7 ^ 2 / 2) *$A12) / (MonteCarlo!$B$7 * SQRT($A12)),FALSE),"")</f>
        <v/>
      </c>
      <c r="E12" t="str">
        <f>IFERROR(E$1*SQRT($A12)*_xlfn.NORM.S.DIST((LN(E$1 / MonteCarlo!$B$5) + (MonteCarlo!$B$9 + MonteCarlo!$B$7 ^ 2 / 2) *$A12) / (MonteCarlo!$B$7 * SQRT($A12)),FALSE),"")</f>
        <v/>
      </c>
      <c r="F12" t="str">
        <f>IFERROR(F$1*SQRT($A12)*_xlfn.NORM.S.DIST((LN(F$1 / MonteCarlo!$B$5) + (MonteCarlo!$B$9 + MonteCarlo!$B$7 ^ 2 / 2) *$A12) / (MonteCarlo!$B$7 * SQRT($A12)),FALSE),"")</f>
        <v/>
      </c>
      <c r="G12" t="str">
        <f>IFERROR(G$1*SQRT($A12)*_xlfn.NORM.S.DIST((LN(G$1 / MonteCarlo!$B$5) + (MonteCarlo!$B$9 + MonteCarlo!$B$7 ^ 2 / 2) *$A12) / (MonteCarlo!$B$7 * SQRT($A12)),FALSE),"")</f>
        <v/>
      </c>
      <c r="H12" t="str">
        <f>IFERROR(H$1*SQRT($A12)*_xlfn.NORM.S.DIST((LN(H$1 / MonteCarlo!$B$5) + (MonteCarlo!$B$9 + MonteCarlo!$B$7 ^ 2 / 2) *$A12) / (MonteCarlo!$B$7 * SQRT($A12)),FALSE),"")</f>
        <v/>
      </c>
      <c r="I12" t="str">
        <f>IFERROR(I$1*SQRT($A12)*_xlfn.NORM.S.DIST((LN(I$1 / MonteCarlo!$B$5) + (MonteCarlo!$B$9 + MonteCarlo!$B$7 ^ 2 / 2) *$A12) / (MonteCarlo!$B$7 * SQRT($A12)),FALSE),"")</f>
        <v/>
      </c>
      <c r="J12" t="str">
        <f>IFERROR(J$1*SQRT($A12)*_xlfn.NORM.S.DIST((LN(J$1 / MonteCarlo!$B$5) + (MonteCarlo!$B$9 + MonteCarlo!$B$7 ^ 2 / 2) *$A12) / (MonteCarlo!$B$7 * SQRT($A12)),FALSE),"")</f>
        <v/>
      </c>
      <c r="K12" t="str">
        <f>IFERROR(K$1*SQRT($A12)*_xlfn.NORM.S.DIST((LN(K$1 / MonteCarlo!$B$5) + (MonteCarlo!$B$9 + MonteCarlo!$B$7 ^ 2 / 2) *$A12) / (MonteCarlo!$B$7 * SQRT($A12)),FALSE),"")</f>
        <v/>
      </c>
      <c r="L12" t="str">
        <f>IFERROR(L$1*SQRT($A12)*_xlfn.NORM.S.DIST((LN(L$1 / MonteCarlo!$B$5) + (MonteCarlo!$B$9 + MonteCarlo!$B$7 ^ 2 / 2) *$A12) / (MonteCarlo!$B$7 * SQRT($A12)),FALSE),"")</f>
        <v/>
      </c>
      <c r="M12" t="str">
        <f>IFERROR(M$1*SQRT($A12)*_xlfn.NORM.S.DIST((LN(M$1 / MonteCarlo!$B$5) + (MonteCarlo!$B$9 + MonteCarlo!$B$7 ^ 2 / 2) *$A12) / (MonteCarlo!$B$7 * SQRT($A12)),FALSE),"")</f>
        <v/>
      </c>
      <c r="N12" t="str">
        <f>IFERROR(N$1*SQRT($A12)*_xlfn.NORM.S.DIST((LN(N$1 / MonteCarlo!$B$5) + (MonteCarlo!$B$9 + MonteCarlo!$B$7 ^ 2 / 2) *$A12) / (MonteCarlo!$B$7 * SQRT($A12)),FALSE),"")</f>
        <v/>
      </c>
      <c r="O12" t="str">
        <f>IFERROR(O$1*SQRT($A12)*_xlfn.NORM.S.DIST((LN(O$1 / MonteCarlo!$B$5) + (MonteCarlo!$B$9 + MonteCarlo!$B$7 ^ 2 / 2) *$A12) / (MonteCarlo!$B$7 * SQRT($A12)),FALSE),"")</f>
        <v/>
      </c>
      <c r="P12" t="str">
        <f>IFERROR(P$1*SQRT($A12)*_xlfn.NORM.S.DIST((LN(P$1 / MonteCarlo!$B$5) + (MonteCarlo!$B$9 + MonteCarlo!$B$7 ^ 2 / 2) *$A12) / (MonteCarlo!$B$7 * SQRT($A12)),FALSE),"")</f>
        <v/>
      </c>
      <c r="Q12" t="str">
        <f>IFERROR(Q$1*SQRT($A12)*_xlfn.NORM.S.DIST((LN(Q$1 / MonteCarlo!$B$5) + (MonteCarlo!$B$9 + MonteCarlo!$B$7 ^ 2 / 2) *$A12) / (MonteCarlo!$B$7 * SQRT($A12)),FALSE),"")</f>
        <v/>
      </c>
      <c r="R12" t="str">
        <f>IFERROR(R$1*SQRT($A12)*_xlfn.NORM.S.DIST((LN(R$1 / MonteCarlo!$B$5) + (MonteCarlo!$B$9 + MonteCarlo!$B$7 ^ 2 / 2) *$A12) / (MonteCarlo!$B$7 * SQRT($A12)),FALSE),"")</f>
        <v/>
      </c>
      <c r="S12" t="str">
        <f>IFERROR(S$1*SQRT($A12)*_xlfn.NORM.S.DIST((LN(S$1 / MonteCarlo!$B$5) + (MonteCarlo!$B$9 + MonteCarlo!$B$7 ^ 2 / 2) *$A12) / (MonteCarlo!$B$7 * SQRT($A12)),FALSE),"")</f>
        <v/>
      </c>
      <c r="T12" t="str">
        <f>IFERROR(T$1*SQRT($A12)*_xlfn.NORM.S.DIST((LN(T$1 / MonteCarlo!$B$5) + (MonteCarlo!$B$9 + MonteCarlo!$B$7 ^ 2 / 2) *$A12) / (MonteCarlo!$B$7 * SQRT($A12)),FALSE),"")</f>
        <v/>
      </c>
      <c r="U12" t="str">
        <f>IFERROR(U$1*SQRT($A12)*_xlfn.NORM.S.DIST((LN(U$1 / MonteCarlo!$B$5) + (MonteCarlo!$B$9 + MonteCarlo!$B$7 ^ 2 / 2) *$A12) / (MonteCarlo!$B$7 * SQRT($A12)),FALSE),"")</f>
        <v/>
      </c>
      <c r="V12" t="str">
        <f>IFERROR(V$1*SQRT($A12)*_xlfn.NORM.S.DIST((LN(V$1 / MonteCarlo!$B$5) + (MonteCarlo!$B$9 + MonteCarlo!$B$7 ^ 2 / 2) *$A12) / (MonteCarlo!$B$7 * SQRT($A12)),FALSE),"")</f>
        <v/>
      </c>
      <c r="W12" t="str">
        <f>IFERROR(W$1*SQRT($A12)*_xlfn.NORM.S.DIST((LN(W$1 / MonteCarlo!$B$5) + (MonteCarlo!$B$9 + MonteCarlo!$B$7 ^ 2 / 2) *$A12) / (MonteCarlo!$B$7 * SQRT($A12)),FALSE),"")</f>
        <v/>
      </c>
      <c r="X12" t="str">
        <f>IFERROR(X$1*SQRT($A12)*_xlfn.NORM.S.DIST((LN(X$1 / MonteCarlo!$B$5) + (MonteCarlo!$B$9 + MonteCarlo!$B$7 ^ 2 / 2) *$A12) / (MonteCarlo!$B$7 * SQRT($A12)),FALSE),"")</f>
        <v/>
      </c>
      <c r="Y12" t="str">
        <f>IFERROR(Y$1*SQRT($A12)*_xlfn.NORM.S.DIST((LN(Y$1 / MonteCarlo!$B$5) + (MonteCarlo!$B$9 + MonteCarlo!$B$7 ^ 2 / 2) *$A12) / (MonteCarlo!$B$7 * SQRT($A12)),FALSE),"")</f>
        <v/>
      </c>
      <c r="Z12" t="str">
        <f>IFERROR(Z$1*SQRT($A12)*_xlfn.NORM.S.DIST((LN(Z$1 / MonteCarlo!$B$5) + (MonteCarlo!$B$9 + MonteCarlo!$B$7 ^ 2 / 2) *$A12) / (MonteCarlo!$B$7 * SQRT($A12)),FALSE),"")</f>
        <v/>
      </c>
      <c r="AA12" t="str">
        <f>IFERROR(AA$1*SQRT($A12)*_xlfn.NORM.S.DIST((LN(AA$1 / MonteCarlo!$B$5) + (MonteCarlo!$B$9 + MonteCarlo!$B$7 ^ 2 / 2) *$A12) / (MonteCarlo!$B$7 * SQRT($A12)),FALSE),"")</f>
        <v/>
      </c>
      <c r="AB12" t="str">
        <f>IFERROR(AB$1*SQRT($A12)*_xlfn.NORM.S.DIST((LN(AB$1 / MonteCarlo!$B$5) + (MonteCarlo!$B$9 + MonteCarlo!$B$7 ^ 2 / 2) *$A12) / (MonteCarlo!$B$7 * SQRT($A12)),FALSE),"")</f>
        <v/>
      </c>
      <c r="AC12" t="str">
        <f>IFERROR(AC$1*SQRT($A12)*_xlfn.NORM.S.DIST((LN(AC$1 / MonteCarlo!$B$5) + (MonteCarlo!$B$9 + MonteCarlo!$B$7 ^ 2 / 2) *$A12) / (MonteCarlo!$B$7 * SQRT($A12)),FALSE),"")</f>
        <v/>
      </c>
      <c r="AD12" t="str">
        <f>IFERROR(AD$1*SQRT($A12)*_xlfn.NORM.S.DIST((LN(AD$1 / MonteCarlo!$B$5) + (MonteCarlo!$B$9 + MonteCarlo!$B$7 ^ 2 / 2) *$A12) / (MonteCarlo!$B$7 * SQRT($A12)),FALSE),"")</f>
        <v/>
      </c>
      <c r="AE12" t="str">
        <f>IFERROR(AE$1*SQRT($A12)*_xlfn.NORM.S.DIST((LN(AE$1 / MonteCarlo!$B$5) + (MonteCarlo!$B$9 + MonteCarlo!$B$7 ^ 2 / 2) *$A12) / (MonteCarlo!$B$7 * SQRT($A12)),FALSE),"")</f>
        <v/>
      </c>
      <c r="AF12" t="str">
        <f>IFERROR(AF$1*SQRT($A12)*_xlfn.NORM.S.DIST((LN(AF$1 / MonteCarlo!$B$5) + (MonteCarlo!$B$9 + MonteCarlo!$B$7 ^ 2 / 2) *$A12) / (MonteCarlo!$B$7 * SQRT($A12)),FALSE),"")</f>
        <v/>
      </c>
    </row>
    <row r="13" spans="2:32" x14ac:dyDescent="0.25">
      <c r="B13" t="str">
        <f>IFERROR(B$1*SQRT($A13)*_xlfn.NORM.S.DIST((LN(B$1 / MonteCarlo!$B$5) + (MonteCarlo!$B$9 + MonteCarlo!$B$7 ^ 2 / 2) *$A13) / (MonteCarlo!$B$7 * SQRT($A13)),FALSE),"")</f>
        <v/>
      </c>
      <c r="C13" t="str">
        <f>IFERROR(C$1*SQRT($A13)*_xlfn.NORM.S.DIST((LN(C$1 / MonteCarlo!$B$5) + (MonteCarlo!$B$9 + MonteCarlo!$B$7 ^ 2 / 2) *$A13) / (MonteCarlo!$B$7 * SQRT($A13)),FALSE),"")</f>
        <v/>
      </c>
      <c r="D13" t="str">
        <f>IFERROR(D$1*SQRT($A13)*_xlfn.NORM.S.DIST((LN(D$1 / MonteCarlo!$B$5) + (MonteCarlo!$B$9 + MonteCarlo!$B$7 ^ 2 / 2) *$A13) / (MonteCarlo!$B$7 * SQRT($A13)),FALSE),"")</f>
        <v/>
      </c>
      <c r="E13" t="str">
        <f>IFERROR(E$1*SQRT($A13)*_xlfn.NORM.S.DIST((LN(E$1 / MonteCarlo!$B$5) + (MonteCarlo!$B$9 + MonteCarlo!$B$7 ^ 2 / 2) *$A13) / (MonteCarlo!$B$7 * SQRT($A13)),FALSE),"")</f>
        <v/>
      </c>
      <c r="F13" t="str">
        <f>IFERROR(F$1*SQRT($A13)*_xlfn.NORM.S.DIST((LN(F$1 / MonteCarlo!$B$5) + (MonteCarlo!$B$9 + MonteCarlo!$B$7 ^ 2 / 2) *$A13) / (MonteCarlo!$B$7 * SQRT($A13)),FALSE),"")</f>
        <v/>
      </c>
      <c r="G13" t="str">
        <f>IFERROR(G$1*SQRT($A13)*_xlfn.NORM.S.DIST((LN(G$1 / MonteCarlo!$B$5) + (MonteCarlo!$B$9 + MonteCarlo!$B$7 ^ 2 / 2) *$A13) / (MonteCarlo!$B$7 * SQRT($A13)),FALSE),"")</f>
        <v/>
      </c>
      <c r="H13" t="str">
        <f>IFERROR(H$1*SQRT($A13)*_xlfn.NORM.S.DIST((LN(H$1 / MonteCarlo!$B$5) + (MonteCarlo!$B$9 + MonteCarlo!$B$7 ^ 2 / 2) *$A13) / (MonteCarlo!$B$7 * SQRT($A13)),FALSE),"")</f>
        <v/>
      </c>
      <c r="I13" t="str">
        <f>IFERROR(I$1*SQRT($A13)*_xlfn.NORM.S.DIST((LN(I$1 / MonteCarlo!$B$5) + (MonteCarlo!$B$9 + MonteCarlo!$B$7 ^ 2 / 2) *$A13) / (MonteCarlo!$B$7 * SQRT($A13)),FALSE),"")</f>
        <v/>
      </c>
      <c r="J13" t="str">
        <f>IFERROR(J$1*SQRT($A13)*_xlfn.NORM.S.DIST((LN(J$1 / MonteCarlo!$B$5) + (MonteCarlo!$B$9 + MonteCarlo!$B$7 ^ 2 / 2) *$A13) / (MonteCarlo!$B$7 * SQRT($A13)),FALSE),"")</f>
        <v/>
      </c>
      <c r="K13" t="str">
        <f>IFERROR(K$1*SQRT($A13)*_xlfn.NORM.S.DIST((LN(K$1 / MonteCarlo!$B$5) + (MonteCarlo!$B$9 + MonteCarlo!$B$7 ^ 2 / 2) *$A13) / (MonteCarlo!$B$7 * SQRT($A13)),FALSE),"")</f>
        <v/>
      </c>
      <c r="L13" t="str">
        <f>IFERROR(L$1*SQRT($A13)*_xlfn.NORM.S.DIST((LN(L$1 / MonteCarlo!$B$5) + (MonteCarlo!$B$9 + MonteCarlo!$B$7 ^ 2 / 2) *$A13) / (MonteCarlo!$B$7 * SQRT($A13)),FALSE),"")</f>
        <v/>
      </c>
      <c r="M13" t="str">
        <f>IFERROR(M$1*SQRT($A13)*_xlfn.NORM.S.DIST((LN(M$1 / MonteCarlo!$B$5) + (MonteCarlo!$B$9 + MonteCarlo!$B$7 ^ 2 / 2) *$A13) / (MonteCarlo!$B$7 * SQRT($A13)),FALSE),"")</f>
        <v/>
      </c>
      <c r="N13" t="str">
        <f>IFERROR(N$1*SQRT($A13)*_xlfn.NORM.S.DIST((LN(N$1 / MonteCarlo!$B$5) + (MonteCarlo!$B$9 + MonteCarlo!$B$7 ^ 2 / 2) *$A13) / (MonteCarlo!$B$7 * SQRT($A13)),FALSE),"")</f>
        <v/>
      </c>
      <c r="O13" t="str">
        <f>IFERROR(O$1*SQRT($A13)*_xlfn.NORM.S.DIST((LN(O$1 / MonteCarlo!$B$5) + (MonteCarlo!$B$9 + MonteCarlo!$B$7 ^ 2 / 2) *$A13) / (MonteCarlo!$B$7 * SQRT($A13)),FALSE),"")</f>
        <v/>
      </c>
      <c r="P13" t="str">
        <f>IFERROR(P$1*SQRT($A13)*_xlfn.NORM.S.DIST((LN(P$1 / MonteCarlo!$B$5) + (MonteCarlo!$B$9 + MonteCarlo!$B$7 ^ 2 / 2) *$A13) / (MonteCarlo!$B$7 * SQRT($A13)),FALSE),"")</f>
        <v/>
      </c>
      <c r="Q13" t="str">
        <f>IFERROR(Q$1*SQRT($A13)*_xlfn.NORM.S.DIST((LN(Q$1 / MonteCarlo!$B$5) + (MonteCarlo!$B$9 + MonteCarlo!$B$7 ^ 2 / 2) *$A13) / (MonteCarlo!$B$7 * SQRT($A13)),FALSE),"")</f>
        <v/>
      </c>
      <c r="R13" t="str">
        <f>IFERROR(R$1*SQRT($A13)*_xlfn.NORM.S.DIST((LN(R$1 / MonteCarlo!$B$5) + (MonteCarlo!$B$9 + MonteCarlo!$B$7 ^ 2 / 2) *$A13) / (MonteCarlo!$B$7 * SQRT($A13)),FALSE),"")</f>
        <v/>
      </c>
      <c r="S13" t="str">
        <f>IFERROR(S$1*SQRT($A13)*_xlfn.NORM.S.DIST((LN(S$1 / MonteCarlo!$B$5) + (MonteCarlo!$B$9 + MonteCarlo!$B$7 ^ 2 / 2) *$A13) / (MonteCarlo!$B$7 * SQRT($A13)),FALSE),"")</f>
        <v/>
      </c>
      <c r="T13" t="str">
        <f>IFERROR(T$1*SQRT($A13)*_xlfn.NORM.S.DIST((LN(T$1 / MonteCarlo!$B$5) + (MonteCarlo!$B$9 + MonteCarlo!$B$7 ^ 2 / 2) *$A13) / (MonteCarlo!$B$7 * SQRT($A13)),FALSE),"")</f>
        <v/>
      </c>
      <c r="U13" t="str">
        <f>IFERROR(U$1*SQRT($A13)*_xlfn.NORM.S.DIST((LN(U$1 / MonteCarlo!$B$5) + (MonteCarlo!$B$9 + MonteCarlo!$B$7 ^ 2 / 2) *$A13) / (MonteCarlo!$B$7 * SQRT($A13)),FALSE),"")</f>
        <v/>
      </c>
      <c r="V13" t="str">
        <f>IFERROR(V$1*SQRT($A13)*_xlfn.NORM.S.DIST((LN(V$1 / MonteCarlo!$B$5) + (MonteCarlo!$B$9 + MonteCarlo!$B$7 ^ 2 / 2) *$A13) / (MonteCarlo!$B$7 * SQRT($A13)),FALSE),"")</f>
        <v/>
      </c>
      <c r="W13" t="str">
        <f>IFERROR(W$1*SQRT($A13)*_xlfn.NORM.S.DIST((LN(W$1 / MonteCarlo!$B$5) + (MonteCarlo!$B$9 + MonteCarlo!$B$7 ^ 2 / 2) *$A13) / (MonteCarlo!$B$7 * SQRT($A13)),FALSE),"")</f>
        <v/>
      </c>
      <c r="X13" t="str">
        <f>IFERROR(X$1*SQRT($A13)*_xlfn.NORM.S.DIST((LN(X$1 / MonteCarlo!$B$5) + (MonteCarlo!$B$9 + MonteCarlo!$B$7 ^ 2 / 2) *$A13) / (MonteCarlo!$B$7 * SQRT($A13)),FALSE),"")</f>
        <v/>
      </c>
      <c r="Y13" t="str">
        <f>IFERROR(Y$1*SQRT($A13)*_xlfn.NORM.S.DIST((LN(Y$1 / MonteCarlo!$B$5) + (MonteCarlo!$B$9 + MonteCarlo!$B$7 ^ 2 / 2) *$A13) / (MonteCarlo!$B$7 * SQRT($A13)),FALSE),"")</f>
        <v/>
      </c>
      <c r="Z13" t="str">
        <f>IFERROR(Z$1*SQRT($A13)*_xlfn.NORM.S.DIST((LN(Z$1 / MonteCarlo!$B$5) + (MonteCarlo!$B$9 + MonteCarlo!$B$7 ^ 2 / 2) *$A13) / (MonteCarlo!$B$7 * SQRT($A13)),FALSE),"")</f>
        <v/>
      </c>
      <c r="AA13" t="str">
        <f>IFERROR(AA$1*SQRT($A13)*_xlfn.NORM.S.DIST((LN(AA$1 / MonteCarlo!$B$5) + (MonteCarlo!$B$9 + MonteCarlo!$B$7 ^ 2 / 2) *$A13) / (MonteCarlo!$B$7 * SQRT($A13)),FALSE),"")</f>
        <v/>
      </c>
      <c r="AB13" t="str">
        <f>IFERROR(AB$1*SQRT($A13)*_xlfn.NORM.S.DIST((LN(AB$1 / MonteCarlo!$B$5) + (MonteCarlo!$B$9 + MonteCarlo!$B$7 ^ 2 / 2) *$A13) / (MonteCarlo!$B$7 * SQRT($A13)),FALSE),"")</f>
        <v/>
      </c>
      <c r="AC13" t="str">
        <f>IFERROR(AC$1*SQRT($A13)*_xlfn.NORM.S.DIST((LN(AC$1 / MonteCarlo!$B$5) + (MonteCarlo!$B$9 + MonteCarlo!$B$7 ^ 2 / 2) *$A13) / (MonteCarlo!$B$7 * SQRT($A13)),FALSE),"")</f>
        <v/>
      </c>
      <c r="AD13" t="str">
        <f>IFERROR(AD$1*SQRT($A13)*_xlfn.NORM.S.DIST((LN(AD$1 / MonteCarlo!$B$5) + (MonteCarlo!$B$9 + MonteCarlo!$B$7 ^ 2 / 2) *$A13) / (MonteCarlo!$B$7 * SQRT($A13)),FALSE),"")</f>
        <v/>
      </c>
      <c r="AE13" t="str">
        <f>IFERROR(AE$1*SQRT($A13)*_xlfn.NORM.S.DIST((LN(AE$1 / MonteCarlo!$B$5) + (MonteCarlo!$B$9 + MonteCarlo!$B$7 ^ 2 / 2) *$A13) / (MonteCarlo!$B$7 * SQRT($A13)),FALSE),"")</f>
        <v/>
      </c>
      <c r="AF13" t="str">
        <f>IFERROR(AF$1*SQRT($A13)*_xlfn.NORM.S.DIST((LN(AF$1 / MonteCarlo!$B$5) + (MonteCarlo!$B$9 + MonteCarlo!$B$7 ^ 2 / 2) *$A13) / (MonteCarlo!$B$7 * SQRT($A13)),FALSE),"")</f>
        <v/>
      </c>
    </row>
    <row r="14" spans="2:32" x14ac:dyDescent="0.25">
      <c r="B14" t="str">
        <f>IFERROR(B$1*SQRT($A14)*_xlfn.NORM.S.DIST((LN(B$1 / MonteCarlo!$B$5) + (MonteCarlo!$B$9 + MonteCarlo!$B$7 ^ 2 / 2) *$A14) / (MonteCarlo!$B$7 * SQRT($A14)),FALSE),"")</f>
        <v/>
      </c>
      <c r="C14" t="str">
        <f>IFERROR(C$1*SQRT($A14)*_xlfn.NORM.S.DIST((LN(C$1 / MonteCarlo!$B$5) + (MonteCarlo!$B$9 + MonteCarlo!$B$7 ^ 2 / 2) *$A14) / (MonteCarlo!$B$7 * SQRT($A14)),FALSE),"")</f>
        <v/>
      </c>
      <c r="D14" t="str">
        <f>IFERROR(D$1*SQRT($A14)*_xlfn.NORM.S.DIST((LN(D$1 / MonteCarlo!$B$5) + (MonteCarlo!$B$9 + MonteCarlo!$B$7 ^ 2 / 2) *$A14) / (MonteCarlo!$B$7 * SQRT($A14)),FALSE),"")</f>
        <v/>
      </c>
      <c r="E14" t="str">
        <f>IFERROR(E$1*SQRT($A14)*_xlfn.NORM.S.DIST((LN(E$1 / MonteCarlo!$B$5) + (MonteCarlo!$B$9 + MonteCarlo!$B$7 ^ 2 / 2) *$A14) / (MonteCarlo!$B$7 * SQRT($A14)),FALSE),"")</f>
        <v/>
      </c>
      <c r="F14" t="str">
        <f>IFERROR(F$1*SQRT($A14)*_xlfn.NORM.S.DIST((LN(F$1 / MonteCarlo!$B$5) + (MonteCarlo!$B$9 + MonteCarlo!$B$7 ^ 2 / 2) *$A14) / (MonteCarlo!$B$7 * SQRT($A14)),FALSE),"")</f>
        <v/>
      </c>
      <c r="G14" t="str">
        <f>IFERROR(G$1*SQRT($A14)*_xlfn.NORM.S.DIST((LN(G$1 / MonteCarlo!$B$5) + (MonteCarlo!$B$9 + MonteCarlo!$B$7 ^ 2 / 2) *$A14) / (MonteCarlo!$B$7 * SQRT($A14)),FALSE),"")</f>
        <v/>
      </c>
      <c r="H14" t="str">
        <f>IFERROR(H$1*SQRT($A14)*_xlfn.NORM.S.DIST((LN(H$1 / MonteCarlo!$B$5) + (MonteCarlo!$B$9 + MonteCarlo!$B$7 ^ 2 / 2) *$A14) / (MonteCarlo!$B$7 * SQRT($A14)),FALSE),"")</f>
        <v/>
      </c>
      <c r="I14" t="str">
        <f>IFERROR(I$1*SQRT($A14)*_xlfn.NORM.S.DIST((LN(I$1 / MonteCarlo!$B$5) + (MonteCarlo!$B$9 + MonteCarlo!$B$7 ^ 2 / 2) *$A14) / (MonteCarlo!$B$7 * SQRT($A14)),FALSE),"")</f>
        <v/>
      </c>
      <c r="J14" t="str">
        <f>IFERROR(J$1*SQRT($A14)*_xlfn.NORM.S.DIST((LN(J$1 / MonteCarlo!$B$5) + (MonteCarlo!$B$9 + MonteCarlo!$B$7 ^ 2 / 2) *$A14) / (MonteCarlo!$B$7 * SQRT($A14)),FALSE),"")</f>
        <v/>
      </c>
      <c r="K14" t="str">
        <f>IFERROR(K$1*SQRT($A14)*_xlfn.NORM.S.DIST((LN(K$1 / MonteCarlo!$B$5) + (MonteCarlo!$B$9 + MonteCarlo!$B$7 ^ 2 / 2) *$A14) / (MonteCarlo!$B$7 * SQRT($A14)),FALSE),"")</f>
        <v/>
      </c>
      <c r="L14" t="str">
        <f>IFERROR(L$1*SQRT($A14)*_xlfn.NORM.S.DIST((LN(L$1 / MonteCarlo!$B$5) + (MonteCarlo!$B$9 + MonteCarlo!$B$7 ^ 2 / 2) *$A14) / (MonteCarlo!$B$7 * SQRT($A14)),FALSE),"")</f>
        <v/>
      </c>
      <c r="M14" t="str">
        <f>IFERROR(M$1*SQRT($A14)*_xlfn.NORM.S.DIST((LN(M$1 / MonteCarlo!$B$5) + (MonteCarlo!$B$9 + MonteCarlo!$B$7 ^ 2 / 2) *$A14) / (MonteCarlo!$B$7 * SQRT($A14)),FALSE),"")</f>
        <v/>
      </c>
      <c r="N14" t="str">
        <f>IFERROR(N$1*SQRT($A14)*_xlfn.NORM.S.DIST((LN(N$1 / MonteCarlo!$B$5) + (MonteCarlo!$B$9 + MonteCarlo!$B$7 ^ 2 / 2) *$A14) / (MonteCarlo!$B$7 * SQRT($A14)),FALSE),"")</f>
        <v/>
      </c>
      <c r="O14" t="str">
        <f>IFERROR(O$1*SQRT($A14)*_xlfn.NORM.S.DIST((LN(O$1 / MonteCarlo!$B$5) + (MonteCarlo!$B$9 + MonteCarlo!$B$7 ^ 2 / 2) *$A14) / (MonteCarlo!$B$7 * SQRT($A14)),FALSE),"")</f>
        <v/>
      </c>
      <c r="P14" t="str">
        <f>IFERROR(P$1*SQRT($A14)*_xlfn.NORM.S.DIST((LN(P$1 / MonteCarlo!$B$5) + (MonteCarlo!$B$9 + MonteCarlo!$B$7 ^ 2 / 2) *$A14) / (MonteCarlo!$B$7 * SQRT($A14)),FALSE),"")</f>
        <v/>
      </c>
      <c r="Q14" t="str">
        <f>IFERROR(Q$1*SQRT($A14)*_xlfn.NORM.S.DIST((LN(Q$1 / MonteCarlo!$B$5) + (MonteCarlo!$B$9 + MonteCarlo!$B$7 ^ 2 / 2) *$A14) / (MonteCarlo!$B$7 * SQRT($A14)),FALSE),"")</f>
        <v/>
      </c>
      <c r="R14" t="str">
        <f>IFERROR(R$1*SQRT($A14)*_xlfn.NORM.S.DIST((LN(R$1 / MonteCarlo!$B$5) + (MonteCarlo!$B$9 + MonteCarlo!$B$7 ^ 2 / 2) *$A14) / (MonteCarlo!$B$7 * SQRT($A14)),FALSE),"")</f>
        <v/>
      </c>
      <c r="S14" t="str">
        <f>IFERROR(S$1*SQRT($A14)*_xlfn.NORM.S.DIST((LN(S$1 / MonteCarlo!$B$5) + (MonteCarlo!$B$9 + MonteCarlo!$B$7 ^ 2 / 2) *$A14) / (MonteCarlo!$B$7 * SQRT($A14)),FALSE),"")</f>
        <v/>
      </c>
      <c r="T14" t="str">
        <f>IFERROR(T$1*SQRT($A14)*_xlfn.NORM.S.DIST((LN(T$1 / MonteCarlo!$B$5) + (MonteCarlo!$B$9 + MonteCarlo!$B$7 ^ 2 / 2) *$A14) / (MonteCarlo!$B$7 * SQRT($A14)),FALSE),"")</f>
        <v/>
      </c>
      <c r="U14" t="str">
        <f>IFERROR(U$1*SQRT($A14)*_xlfn.NORM.S.DIST((LN(U$1 / MonteCarlo!$B$5) + (MonteCarlo!$B$9 + MonteCarlo!$B$7 ^ 2 / 2) *$A14) / (MonteCarlo!$B$7 * SQRT($A14)),FALSE),"")</f>
        <v/>
      </c>
      <c r="V14" t="str">
        <f>IFERROR(V$1*SQRT($A14)*_xlfn.NORM.S.DIST((LN(V$1 / MonteCarlo!$B$5) + (MonteCarlo!$B$9 + MonteCarlo!$B$7 ^ 2 / 2) *$A14) / (MonteCarlo!$B$7 * SQRT($A14)),FALSE),"")</f>
        <v/>
      </c>
      <c r="W14" t="str">
        <f>IFERROR(W$1*SQRT($A14)*_xlfn.NORM.S.DIST((LN(W$1 / MonteCarlo!$B$5) + (MonteCarlo!$B$9 + MonteCarlo!$B$7 ^ 2 / 2) *$A14) / (MonteCarlo!$B$7 * SQRT($A14)),FALSE),"")</f>
        <v/>
      </c>
      <c r="X14" t="str">
        <f>IFERROR(X$1*SQRT($A14)*_xlfn.NORM.S.DIST((LN(X$1 / MonteCarlo!$B$5) + (MonteCarlo!$B$9 + MonteCarlo!$B$7 ^ 2 / 2) *$A14) / (MonteCarlo!$B$7 * SQRT($A14)),FALSE),"")</f>
        <v/>
      </c>
      <c r="Y14" t="str">
        <f>IFERROR(Y$1*SQRT($A14)*_xlfn.NORM.S.DIST((LN(Y$1 / MonteCarlo!$B$5) + (MonteCarlo!$B$9 + MonteCarlo!$B$7 ^ 2 / 2) *$A14) / (MonteCarlo!$B$7 * SQRT($A14)),FALSE),"")</f>
        <v/>
      </c>
      <c r="Z14" t="str">
        <f>IFERROR(Z$1*SQRT($A14)*_xlfn.NORM.S.DIST((LN(Z$1 / MonteCarlo!$B$5) + (MonteCarlo!$B$9 + MonteCarlo!$B$7 ^ 2 / 2) *$A14) / (MonteCarlo!$B$7 * SQRT($A14)),FALSE),"")</f>
        <v/>
      </c>
      <c r="AA14" t="str">
        <f>IFERROR(AA$1*SQRT($A14)*_xlfn.NORM.S.DIST((LN(AA$1 / MonteCarlo!$B$5) + (MonteCarlo!$B$9 + MonteCarlo!$B$7 ^ 2 / 2) *$A14) / (MonteCarlo!$B$7 * SQRT($A14)),FALSE),"")</f>
        <v/>
      </c>
      <c r="AB14" t="str">
        <f>IFERROR(AB$1*SQRT($A14)*_xlfn.NORM.S.DIST((LN(AB$1 / MonteCarlo!$B$5) + (MonteCarlo!$B$9 + MonteCarlo!$B$7 ^ 2 / 2) *$A14) / (MonteCarlo!$B$7 * SQRT($A14)),FALSE),"")</f>
        <v/>
      </c>
      <c r="AC14" t="str">
        <f>IFERROR(AC$1*SQRT($A14)*_xlfn.NORM.S.DIST((LN(AC$1 / MonteCarlo!$B$5) + (MonteCarlo!$B$9 + MonteCarlo!$B$7 ^ 2 / 2) *$A14) / (MonteCarlo!$B$7 * SQRT($A14)),FALSE),"")</f>
        <v/>
      </c>
      <c r="AD14" t="str">
        <f>IFERROR(AD$1*SQRT($A14)*_xlfn.NORM.S.DIST((LN(AD$1 / MonteCarlo!$B$5) + (MonteCarlo!$B$9 + MonteCarlo!$B$7 ^ 2 / 2) *$A14) / (MonteCarlo!$B$7 * SQRT($A14)),FALSE),"")</f>
        <v/>
      </c>
      <c r="AE14" t="str">
        <f>IFERROR(AE$1*SQRT($A14)*_xlfn.NORM.S.DIST((LN(AE$1 / MonteCarlo!$B$5) + (MonteCarlo!$B$9 + MonteCarlo!$B$7 ^ 2 / 2) *$A14) / (MonteCarlo!$B$7 * SQRT($A14)),FALSE),"")</f>
        <v/>
      </c>
      <c r="AF14" t="str">
        <f>IFERROR(AF$1*SQRT($A14)*_xlfn.NORM.S.DIST((LN(AF$1 / MonteCarlo!$B$5) + (MonteCarlo!$B$9 + MonteCarlo!$B$7 ^ 2 / 2) *$A14) / (MonteCarlo!$B$7 * SQRT($A14)),FALSE),"")</f>
        <v/>
      </c>
    </row>
    <row r="15" spans="2:32" x14ac:dyDescent="0.25">
      <c r="B15" t="str">
        <f>IFERROR(B$1*SQRT($A15)*_xlfn.NORM.S.DIST((LN(B$1 / MonteCarlo!$B$5) + (MonteCarlo!$B$9 + MonteCarlo!$B$7 ^ 2 / 2) *$A15) / (MonteCarlo!$B$7 * SQRT($A15)),FALSE),"")</f>
        <v/>
      </c>
      <c r="C15" t="str">
        <f>IFERROR(C$1*SQRT($A15)*_xlfn.NORM.S.DIST((LN(C$1 / MonteCarlo!$B$5) + (MonteCarlo!$B$9 + MonteCarlo!$B$7 ^ 2 / 2) *$A15) / (MonteCarlo!$B$7 * SQRT($A15)),FALSE),"")</f>
        <v/>
      </c>
      <c r="D15" t="str">
        <f>IFERROR(D$1*SQRT($A15)*_xlfn.NORM.S.DIST((LN(D$1 / MonteCarlo!$B$5) + (MonteCarlo!$B$9 + MonteCarlo!$B$7 ^ 2 / 2) *$A15) / (MonteCarlo!$B$7 * SQRT($A15)),FALSE),"")</f>
        <v/>
      </c>
      <c r="E15" t="str">
        <f>IFERROR(E$1*SQRT($A15)*_xlfn.NORM.S.DIST((LN(E$1 / MonteCarlo!$B$5) + (MonteCarlo!$B$9 + MonteCarlo!$B$7 ^ 2 / 2) *$A15) / (MonteCarlo!$B$7 * SQRT($A15)),FALSE),"")</f>
        <v/>
      </c>
      <c r="F15" t="str">
        <f>IFERROR(F$1*SQRT($A15)*_xlfn.NORM.S.DIST((LN(F$1 / MonteCarlo!$B$5) + (MonteCarlo!$B$9 + MonteCarlo!$B$7 ^ 2 / 2) *$A15) / (MonteCarlo!$B$7 * SQRT($A15)),FALSE),"")</f>
        <v/>
      </c>
      <c r="G15" t="str">
        <f>IFERROR(G$1*SQRT($A15)*_xlfn.NORM.S.DIST((LN(G$1 / MonteCarlo!$B$5) + (MonteCarlo!$B$9 + MonteCarlo!$B$7 ^ 2 / 2) *$A15) / (MonteCarlo!$B$7 * SQRT($A15)),FALSE),"")</f>
        <v/>
      </c>
      <c r="H15" t="str">
        <f>IFERROR(H$1*SQRT($A15)*_xlfn.NORM.S.DIST((LN(H$1 / MonteCarlo!$B$5) + (MonteCarlo!$B$9 + MonteCarlo!$B$7 ^ 2 / 2) *$A15) / (MonteCarlo!$B$7 * SQRT($A15)),FALSE),"")</f>
        <v/>
      </c>
      <c r="I15" t="str">
        <f>IFERROR(I$1*SQRT($A15)*_xlfn.NORM.S.DIST((LN(I$1 / MonteCarlo!$B$5) + (MonteCarlo!$B$9 + MonteCarlo!$B$7 ^ 2 / 2) *$A15) / (MonteCarlo!$B$7 * SQRT($A15)),FALSE),"")</f>
        <v/>
      </c>
      <c r="J15" t="str">
        <f>IFERROR(J$1*SQRT($A15)*_xlfn.NORM.S.DIST((LN(J$1 / MonteCarlo!$B$5) + (MonteCarlo!$B$9 + MonteCarlo!$B$7 ^ 2 / 2) *$A15) / (MonteCarlo!$B$7 * SQRT($A15)),FALSE),"")</f>
        <v/>
      </c>
      <c r="K15" t="str">
        <f>IFERROR(K$1*SQRT($A15)*_xlfn.NORM.S.DIST((LN(K$1 / MonteCarlo!$B$5) + (MonteCarlo!$B$9 + MonteCarlo!$B$7 ^ 2 / 2) *$A15) / (MonteCarlo!$B$7 * SQRT($A15)),FALSE),"")</f>
        <v/>
      </c>
      <c r="L15" t="str">
        <f>IFERROR(L$1*SQRT($A15)*_xlfn.NORM.S.DIST((LN(L$1 / MonteCarlo!$B$5) + (MonteCarlo!$B$9 + MonteCarlo!$B$7 ^ 2 / 2) *$A15) / (MonteCarlo!$B$7 * SQRT($A15)),FALSE),"")</f>
        <v/>
      </c>
      <c r="M15" t="str">
        <f>IFERROR(M$1*SQRT($A15)*_xlfn.NORM.S.DIST((LN(M$1 / MonteCarlo!$B$5) + (MonteCarlo!$B$9 + MonteCarlo!$B$7 ^ 2 / 2) *$A15) / (MonteCarlo!$B$7 * SQRT($A15)),FALSE),"")</f>
        <v/>
      </c>
      <c r="N15" t="str">
        <f>IFERROR(N$1*SQRT($A15)*_xlfn.NORM.S.DIST((LN(N$1 / MonteCarlo!$B$5) + (MonteCarlo!$B$9 + MonteCarlo!$B$7 ^ 2 / 2) *$A15) / (MonteCarlo!$B$7 * SQRT($A15)),FALSE),"")</f>
        <v/>
      </c>
      <c r="O15" t="str">
        <f>IFERROR(O$1*SQRT($A15)*_xlfn.NORM.S.DIST((LN(O$1 / MonteCarlo!$B$5) + (MonteCarlo!$B$9 + MonteCarlo!$B$7 ^ 2 / 2) *$A15) / (MonteCarlo!$B$7 * SQRT($A15)),FALSE),"")</f>
        <v/>
      </c>
      <c r="P15" t="str">
        <f>IFERROR(P$1*SQRT($A15)*_xlfn.NORM.S.DIST((LN(P$1 / MonteCarlo!$B$5) + (MonteCarlo!$B$9 + MonteCarlo!$B$7 ^ 2 / 2) *$A15) / (MonteCarlo!$B$7 * SQRT($A15)),FALSE),"")</f>
        <v/>
      </c>
      <c r="Q15" t="str">
        <f>IFERROR(Q$1*SQRT($A15)*_xlfn.NORM.S.DIST((LN(Q$1 / MonteCarlo!$B$5) + (MonteCarlo!$B$9 + MonteCarlo!$B$7 ^ 2 / 2) *$A15) / (MonteCarlo!$B$7 * SQRT($A15)),FALSE),"")</f>
        <v/>
      </c>
      <c r="R15" t="str">
        <f>IFERROR(R$1*SQRT($A15)*_xlfn.NORM.S.DIST((LN(R$1 / MonteCarlo!$B$5) + (MonteCarlo!$B$9 + MonteCarlo!$B$7 ^ 2 / 2) *$A15) / (MonteCarlo!$B$7 * SQRT($A15)),FALSE),"")</f>
        <v/>
      </c>
      <c r="S15" t="str">
        <f>IFERROR(S$1*SQRT($A15)*_xlfn.NORM.S.DIST((LN(S$1 / MonteCarlo!$B$5) + (MonteCarlo!$B$9 + MonteCarlo!$B$7 ^ 2 / 2) *$A15) / (MonteCarlo!$B$7 * SQRT($A15)),FALSE),"")</f>
        <v/>
      </c>
      <c r="T15" t="str">
        <f>IFERROR(T$1*SQRT($A15)*_xlfn.NORM.S.DIST((LN(T$1 / MonteCarlo!$B$5) + (MonteCarlo!$B$9 + MonteCarlo!$B$7 ^ 2 / 2) *$A15) / (MonteCarlo!$B$7 * SQRT($A15)),FALSE),"")</f>
        <v/>
      </c>
      <c r="U15" t="str">
        <f>IFERROR(U$1*SQRT($A15)*_xlfn.NORM.S.DIST((LN(U$1 / MonteCarlo!$B$5) + (MonteCarlo!$B$9 + MonteCarlo!$B$7 ^ 2 / 2) *$A15) / (MonteCarlo!$B$7 * SQRT($A15)),FALSE),"")</f>
        <v/>
      </c>
      <c r="V15" t="str">
        <f>IFERROR(V$1*SQRT($A15)*_xlfn.NORM.S.DIST((LN(V$1 / MonteCarlo!$B$5) + (MonteCarlo!$B$9 + MonteCarlo!$B$7 ^ 2 / 2) *$A15) / (MonteCarlo!$B$7 * SQRT($A15)),FALSE),"")</f>
        <v/>
      </c>
      <c r="W15" t="str">
        <f>IFERROR(W$1*SQRT($A15)*_xlfn.NORM.S.DIST((LN(W$1 / MonteCarlo!$B$5) + (MonteCarlo!$B$9 + MonteCarlo!$B$7 ^ 2 / 2) *$A15) / (MonteCarlo!$B$7 * SQRT($A15)),FALSE),"")</f>
        <v/>
      </c>
      <c r="X15" t="str">
        <f>IFERROR(X$1*SQRT($A15)*_xlfn.NORM.S.DIST((LN(X$1 / MonteCarlo!$B$5) + (MonteCarlo!$B$9 + MonteCarlo!$B$7 ^ 2 / 2) *$A15) / (MonteCarlo!$B$7 * SQRT($A15)),FALSE),"")</f>
        <v/>
      </c>
      <c r="Y15" t="str">
        <f>IFERROR(Y$1*SQRT($A15)*_xlfn.NORM.S.DIST((LN(Y$1 / MonteCarlo!$B$5) + (MonteCarlo!$B$9 + MonteCarlo!$B$7 ^ 2 / 2) *$A15) / (MonteCarlo!$B$7 * SQRT($A15)),FALSE),"")</f>
        <v/>
      </c>
      <c r="Z15" t="str">
        <f>IFERROR(Z$1*SQRT($A15)*_xlfn.NORM.S.DIST((LN(Z$1 / MonteCarlo!$B$5) + (MonteCarlo!$B$9 + MonteCarlo!$B$7 ^ 2 / 2) *$A15) / (MonteCarlo!$B$7 * SQRT($A15)),FALSE),"")</f>
        <v/>
      </c>
      <c r="AA15" t="str">
        <f>IFERROR(AA$1*SQRT($A15)*_xlfn.NORM.S.DIST((LN(AA$1 / MonteCarlo!$B$5) + (MonteCarlo!$B$9 + MonteCarlo!$B$7 ^ 2 / 2) *$A15) / (MonteCarlo!$B$7 * SQRT($A15)),FALSE),"")</f>
        <v/>
      </c>
      <c r="AB15" t="str">
        <f>IFERROR(AB$1*SQRT($A15)*_xlfn.NORM.S.DIST((LN(AB$1 / MonteCarlo!$B$5) + (MonteCarlo!$B$9 + MonteCarlo!$B$7 ^ 2 / 2) *$A15) / (MonteCarlo!$B$7 * SQRT($A15)),FALSE),"")</f>
        <v/>
      </c>
      <c r="AC15" t="str">
        <f>IFERROR(AC$1*SQRT($A15)*_xlfn.NORM.S.DIST((LN(AC$1 / MonteCarlo!$B$5) + (MonteCarlo!$B$9 + MonteCarlo!$B$7 ^ 2 / 2) *$A15) / (MonteCarlo!$B$7 * SQRT($A15)),FALSE),"")</f>
        <v/>
      </c>
      <c r="AD15" t="str">
        <f>IFERROR(AD$1*SQRT($A15)*_xlfn.NORM.S.DIST((LN(AD$1 / MonteCarlo!$B$5) + (MonteCarlo!$B$9 + MonteCarlo!$B$7 ^ 2 / 2) *$A15) / (MonteCarlo!$B$7 * SQRT($A15)),FALSE),"")</f>
        <v/>
      </c>
      <c r="AE15" t="str">
        <f>IFERROR(AE$1*SQRT($A15)*_xlfn.NORM.S.DIST((LN(AE$1 / MonteCarlo!$B$5) + (MonteCarlo!$B$9 + MonteCarlo!$B$7 ^ 2 / 2) *$A15) / (MonteCarlo!$B$7 * SQRT($A15)),FALSE),"")</f>
        <v/>
      </c>
      <c r="AF15" t="str">
        <f>IFERROR(AF$1*SQRT($A15)*_xlfn.NORM.S.DIST((LN(AF$1 / MonteCarlo!$B$5) + (MonteCarlo!$B$9 + MonteCarlo!$B$7 ^ 2 / 2) *$A15) / (MonteCarlo!$B$7 * SQRT($A15)),FALSE),"")</f>
        <v/>
      </c>
    </row>
    <row r="16" spans="2:32" x14ac:dyDescent="0.25">
      <c r="B16" t="str">
        <f>IFERROR(B$1*SQRT($A16)*_xlfn.NORM.S.DIST((LN(B$1 / MonteCarlo!$B$5) + (MonteCarlo!$B$9 + MonteCarlo!$B$7 ^ 2 / 2) *$A16) / (MonteCarlo!$B$7 * SQRT($A16)),FALSE),"")</f>
        <v/>
      </c>
      <c r="C16" t="str">
        <f>IFERROR(C$1*SQRT($A16)*_xlfn.NORM.S.DIST((LN(C$1 / MonteCarlo!$B$5) + (MonteCarlo!$B$9 + MonteCarlo!$B$7 ^ 2 / 2) *$A16) / (MonteCarlo!$B$7 * SQRT($A16)),FALSE),"")</f>
        <v/>
      </c>
      <c r="D16" t="str">
        <f>IFERROR(D$1*SQRT($A16)*_xlfn.NORM.S.DIST((LN(D$1 / MonteCarlo!$B$5) + (MonteCarlo!$B$9 + MonteCarlo!$B$7 ^ 2 / 2) *$A16) / (MonteCarlo!$B$7 * SQRT($A16)),FALSE),"")</f>
        <v/>
      </c>
      <c r="E16" t="str">
        <f>IFERROR(E$1*SQRT($A16)*_xlfn.NORM.S.DIST((LN(E$1 / MonteCarlo!$B$5) + (MonteCarlo!$B$9 + MonteCarlo!$B$7 ^ 2 / 2) *$A16) / (MonteCarlo!$B$7 * SQRT($A16)),FALSE),"")</f>
        <v/>
      </c>
      <c r="F16" t="str">
        <f>IFERROR(F$1*SQRT($A16)*_xlfn.NORM.S.DIST((LN(F$1 / MonteCarlo!$B$5) + (MonteCarlo!$B$9 + MonteCarlo!$B$7 ^ 2 / 2) *$A16) / (MonteCarlo!$B$7 * SQRT($A16)),FALSE),"")</f>
        <v/>
      </c>
      <c r="G16" t="str">
        <f>IFERROR(G$1*SQRT($A16)*_xlfn.NORM.S.DIST((LN(G$1 / MonteCarlo!$B$5) + (MonteCarlo!$B$9 + MonteCarlo!$B$7 ^ 2 / 2) *$A16) / (MonteCarlo!$B$7 * SQRT($A16)),FALSE),"")</f>
        <v/>
      </c>
      <c r="H16" t="str">
        <f>IFERROR(H$1*SQRT($A16)*_xlfn.NORM.S.DIST((LN(H$1 / MonteCarlo!$B$5) + (MonteCarlo!$B$9 + MonteCarlo!$B$7 ^ 2 / 2) *$A16) / (MonteCarlo!$B$7 * SQRT($A16)),FALSE),"")</f>
        <v/>
      </c>
      <c r="I16" t="str">
        <f>IFERROR(I$1*SQRT($A16)*_xlfn.NORM.S.DIST((LN(I$1 / MonteCarlo!$B$5) + (MonteCarlo!$B$9 + MonteCarlo!$B$7 ^ 2 / 2) *$A16) / (MonteCarlo!$B$7 * SQRT($A16)),FALSE),"")</f>
        <v/>
      </c>
      <c r="J16" t="str">
        <f>IFERROR(J$1*SQRT($A16)*_xlfn.NORM.S.DIST((LN(J$1 / MonteCarlo!$B$5) + (MonteCarlo!$B$9 + MonteCarlo!$B$7 ^ 2 / 2) *$A16) / (MonteCarlo!$B$7 * SQRT($A16)),FALSE),"")</f>
        <v/>
      </c>
      <c r="K16" t="str">
        <f>IFERROR(K$1*SQRT($A16)*_xlfn.NORM.S.DIST((LN(K$1 / MonteCarlo!$B$5) + (MonteCarlo!$B$9 + MonteCarlo!$B$7 ^ 2 / 2) *$A16) / (MonteCarlo!$B$7 * SQRT($A16)),FALSE),"")</f>
        <v/>
      </c>
      <c r="L16" t="str">
        <f>IFERROR(L$1*SQRT($A16)*_xlfn.NORM.S.DIST((LN(L$1 / MonteCarlo!$B$5) + (MonteCarlo!$B$9 + MonteCarlo!$B$7 ^ 2 / 2) *$A16) / (MonteCarlo!$B$7 * SQRT($A16)),FALSE),"")</f>
        <v/>
      </c>
      <c r="M16" t="str">
        <f>IFERROR(M$1*SQRT($A16)*_xlfn.NORM.S.DIST((LN(M$1 / MonteCarlo!$B$5) + (MonteCarlo!$B$9 + MonteCarlo!$B$7 ^ 2 / 2) *$A16) / (MonteCarlo!$B$7 * SQRT($A16)),FALSE),"")</f>
        <v/>
      </c>
      <c r="N16" t="str">
        <f>IFERROR(N$1*SQRT($A16)*_xlfn.NORM.S.DIST((LN(N$1 / MonteCarlo!$B$5) + (MonteCarlo!$B$9 + MonteCarlo!$B$7 ^ 2 / 2) *$A16) / (MonteCarlo!$B$7 * SQRT($A16)),FALSE),"")</f>
        <v/>
      </c>
      <c r="O16" t="str">
        <f>IFERROR(O$1*SQRT($A16)*_xlfn.NORM.S.DIST((LN(O$1 / MonteCarlo!$B$5) + (MonteCarlo!$B$9 + MonteCarlo!$B$7 ^ 2 / 2) *$A16) / (MonteCarlo!$B$7 * SQRT($A16)),FALSE),"")</f>
        <v/>
      </c>
      <c r="P16" t="str">
        <f>IFERROR(P$1*SQRT($A16)*_xlfn.NORM.S.DIST((LN(P$1 / MonteCarlo!$B$5) + (MonteCarlo!$B$9 + MonteCarlo!$B$7 ^ 2 / 2) *$A16) / (MonteCarlo!$B$7 * SQRT($A16)),FALSE),"")</f>
        <v/>
      </c>
      <c r="Q16" t="str">
        <f>IFERROR(Q$1*SQRT($A16)*_xlfn.NORM.S.DIST((LN(Q$1 / MonteCarlo!$B$5) + (MonteCarlo!$B$9 + MonteCarlo!$B$7 ^ 2 / 2) *$A16) / (MonteCarlo!$B$7 * SQRT($A16)),FALSE),"")</f>
        <v/>
      </c>
      <c r="R16" t="str">
        <f>IFERROR(R$1*SQRT($A16)*_xlfn.NORM.S.DIST((LN(R$1 / MonteCarlo!$B$5) + (MonteCarlo!$B$9 + MonteCarlo!$B$7 ^ 2 / 2) *$A16) / (MonteCarlo!$B$7 * SQRT($A16)),FALSE),"")</f>
        <v/>
      </c>
      <c r="S16" t="str">
        <f>IFERROR(S$1*SQRT($A16)*_xlfn.NORM.S.DIST((LN(S$1 / MonteCarlo!$B$5) + (MonteCarlo!$B$9 + MonteCarlo!$B$7 ^ 2 / 2) *$A16) / (MonteCarlo!$B$7 * SQRT($A16)),FALSE),"")</f>
        <v/>
      </c>
      <c r="T16" t="str">
        <f>IFERROR(T$1*SQRT($A16)*_xlfn.NORM.S.DIST((LN(T$1 / MonteCarlo!$B$5) + (MonteCarlo!$B$9 + MonteCarlo!$B$7 ^ 2 / 2) *$A16) / (MonteCarlo!$B$7 * SQRT($A16)),FALSE),"")</f>
        <v/>
      </c>
      <c r="U16" t="str">
        <f>IFERROR(U$1*SQRT($A16)*_xlfn.NORM.S.DIST((LN(U$1 / MonteCarlo!$B$5) + (MonteCarlo!$B$9 + MonteCarlo!$B$7 ^ 2 / 2) *$A16) / (MonteCarlo!$B$7 * SQRT($A16)),FALSE),"")</f>
        <v/>
      </c>
      <c r="V16" t="str">
        <f>IFERROR(V$1*SQRT($A16)*_xlfn.NORM.S.DIST((LN(V$1 / MonteCarlo!$B$5) + (MonteCarlo!$B$9 + MonteCarlo!$B$7 ^ 2 / 2) *$A16) / (MonteCarlo!$B$7 * SQRT($A16)),FALSE),"")</f>
        <v/>
      </c>
      <c r="W16" t="str">
        <f>IFERROR(W$1*SQRT($A16)*_xlfn.NORM.S.DIST((LN(W$1 / MonteCarlo!$B$5) + (MonteCarlo!$B$9 + MonteCarlo!$B$7 ^ 2 / 2) *$A16) / (MonteCarlo!$B$7 * SQRT($A16)),FALSE),"")</f>
        <v/>
      </c>
      <c r="X16" t="str">
        <f>IFERROR(X$1*SQRT($A16)*_xlfn.NORM.S.DIST((LN(X$1 / MonteCarlo!$B$5) + (MonteCarlo!$B$9 + MonteCarlo!$B$7 ^ 2 / 2) *$A16) / (MonteCarlo!$B$7 * SQRT($A16)),FALSE),"")</f>
        <v/>
      </c>
      <c r="Y16" t="str">
        <f>IFERROR(Y$1*SQRT($A16)*_xlfn.NORM.S.DIST((LN(Y$1 / MonteCarlo!$B$5) + (MonteCarlo!$B$9 + MonteCarlo!$B$7 ^ 2 / 2) *$A16) / (MonteCarlo!$B$7 * SQRT($A16)),FALSE),"")</f>
        <v/>
      </c>
      <c r="Z16" t="str">
        <f>IFERROR(Z$1*SQRT($A16)*_xlfn.NORM.S.DIST((LN(Z$1 / MonteCarlo!$B$5) + (MonteCarlo!$B$9 + MonteCarlo!$B$7 ^ 2 / 2) *$A16) / (MonteCarlo!$B$7 * SQRT($A16)),FALSE),"")</f>
        <v/>
      </c>
      <c r="AA16" t="str">
        <f>IFERROR(AA$1*SQRT($A16)*_xlfn.NORM.S.DIST((LN(AA$1 / MonteCarlo!$B$5) + (MonteCarlo!$B$9 + MonteCarlo!$B$7 ^ 2 / 2) *$A16) / (MonteCarlo!$B$7 * SQRT($A16)),FALSE),"")</f>
        <v/>
      </c>
      <c r="AB16" t="str">
        <f>IFERROR(AB$1*SQRT($A16)*_xlfn.NORM.S.DIST((LN(AB$1 / MonteCarlo!$B$5) + (MonteCarlo!$B$9 + MonteCarlo!$B$7 ^ 2 / 2) *$A16) / (MonteCarlo!$B$7 * SQRT($A16)),FALSE),"")</f>
        <v/>
      </c>
      <c r="AC16" t="str">
        <f>IFERROR(AC$1*SQRT($A16)*_xlfn.NORM.S.DIST((LN(AC$1 / MonteCarlo!$B$5) + (MonteCarlo!$B$9 + MonteCarlo!$B$7 ^ 2 / 2) *$A16) / (MonteCarlo!$B$7 * SQRT($A16)),FALSE),"")</f>
        <v/>
      </c>
      <c r="AD16" t="str">
        <f>IFERROR(AD$1*SQRT($A16)*_xlfn.NORM.S.DIST((LN(AD$1 / MonteCarlo!$B$5) + (MonteCarlo!$B$9 + MonteCarlo!$B$7 ^ 2 / 2) *$A16) / (MonteCarlo!$B$7 * SQRT($A16)),FALSE),"")</f>
        <v/>
      </c>
      <c r="AE16" t="str">
        <f>IFERROR(AE$1*SQRT($A16)*_xlfn.NORM.S.DIST((LN(AE$1 / MonteCarlo!$B$5) + (MonteCarlo!$B$9 + MonteCarlo!$B$7 ^ 2 / 2) *$A16) / (MonteCarlo!$B$7 * SQRT($A16)),FALSE),"")</f>
        <v/>
      </c>
      <c r="AF16" t="str">
        <f>IFERROR(AF$1*SQRT($A16)*_xlfn.NORM.S.DIST((LN(AF$1 / MonteCarlo!$B$5) + (MonteCarlo!$B$9 + MonteCarlo!$B$7 ^ 2 / 2) *$A16) / (MonteCarlo!$B$7 * SQRT($A16)),FALSE),"")</f>
        <v/>
      </c>
    </row>
    <row r="17" spans="2:32" x14ac:dyDescent="0.25">
      <c r="B17" t="str">
        <f>IFERROR(B$1*SQRT($A17)*_xlfn.NORM.S.DIST((LN(B$1 / MonteCarlo!$B$5) + (MonteCarlo!$B$9 + MonteCarlo!$B$7 ^ 2 / 2) *$A17) / (MonteCarlo!$B$7 * SQRT($A17)),FALSE),"")</f>
        <v/>
      </c>
      <c r="C17" t="str">
        <f>IFERROR(C$1*SQRT($A17)*_xlfn.NORM.S.DIST((LN(C$1 / MonteCarlo!$B$5) + (MonteCarlo!$B$9 + MonteCarlo!$B$7 ^ 2 / 2) *$A17) / (MonteCarlo!$B$7 * SQRT($A17)),FALSE),"")</f>
        <v/>
      </c>
      <c r="D17" t="str">
        <f>IFERROR(D$1*SQRT($A17)*_xlfn.NORM.S.DIST((LN(D$1 / MonteCarlo!$B$5) + (MonteCarlo!$B$9 + MonteCarlo!$B$7 ^ 2 / 2) *$A17) / (MonteCarlo!$B$7 * SQRT($A17)),FALSE),"")</f>
        <v/>
      </c>
      <c r="E17" t="str">
        <f>IFERROR(E$1*SQRT($A17)*_xlfn.NORM.S.DIST((LN(E$1 / MonteCarlo!$B$5) + (MonteCarlo!$B$9 + MonteCarlo!$B$7 ^ 2 / 2) *$A17) / (MonteCarlo!$B$7 * SQRT($A17)),FALSE),"")</f>
        <v/>
      </c>
      <c r="F17" t="str">
        <f>IFERROR(F$1*SQRT($A17)*_xlfn.NORM.S.DIST((LN(F$1 / MonteCarlo!$B$5) + (MonteCarlo!$B$9 + MonteCarlo!$B$7 ^ 2 / 2) *$A17) / (MonteCarlo!$B$7 * SQRT($A17)),FALSE),"")</f>
        <v/>
      </c>
      <c r="G17" t="str">
        <f>IFERROR(G$1*SQRT($A17)*_xlfn.NORM.S.DIST((LN(G$1 / MonteCarlo!$B$5) + (MonteCarlo!$B$9 + MonteCarlo!$B$7 ^ 2 / 2) *$A17) / (MonteCarlo!$B$7 * SQRT($A17)),FALSE),"")</f>
        <v/>
      </c>
      <c r="H17" t="str">
        <f>IFERROR(H$1*SQRT($A17)*_xlfn.NORM.S.DIST((LN(H$1 / MonteCarlo!$B$5) + (MonteCarlo!$B$9 + MonteCarlo!$B$7 ^ 2 / 2) *$A17) / (MonteCarlo!$B$7 * SQRT($A17)),FALSE),"")</f>
        <v/>
      </c>
      <c r="I17" t="str">
        <f>IFERROR(I$1*SQRT($A17)*_xlfn.NORM.S.DIST((LN(I$1 / MonteCarlo!$B$5) + (MonteCarlo!$B$9 + MonteCarlo!$B$7 ^ 2 / 2) *$A17) / (MonteCarlo!$B$7 * SQRT($A17)),FALSE),"")</f>
        <v/>
      </c>
      <c r="J17" t="str">
        <f>IFERROR(J$1*SQRT($A17)*_xlfn.NORM.S.DIST((LN(J$1 / MonteCarlo!$B$5) + (MonteCarlo!$B$9 + MonteCarlo!$B$7 ^ 2 / 2) *$A17) / (MonteCarlo!$B$7 * SQRT($A17)),FALSE),"")</f>
        <v/>
      </c>
      <c r="K17" t="str">
        <f>IFERROR(K$1*SQRT($A17)*_xlfn.NORM.S.DIST((LN(K$1 / MonteCarlo!$B$5) + (MonteCarlo!$B$9 + MonteCarlo!$B$7 ^ 2 / 2) *$A17) / (MonteCarlo!$B$7 * SQRT($A17)),FALSE),"")</f>
        <v/>
      </c>
      <c r="L17" t="str">
        <f>IFERROR(L$1*SQRT($A17)*_xlfn.NORM.S.DIST((LN(L$1 / MonteCarlo!$B$5) + (MonteCarlo!$B$9 + MonteCarlo!$B$7 ^ 2 / 2) *$A17) / (MonteCarlo!$B$7 * SQRT($A17)),FALSE),"")</f>
        <v/>
      </c>
      <c r="M17" t="str">
        <f>IFERROR(M$1*SQRT($A17)*_xlfn.NORM.S.DIST((LN(M$1 / MonteCarlo!$B$5) + (MonteCarlo!$B$9 + MonteCarlo!$B$7 ^ 2 / 2) *$A17) / (MonteCarlo!$B$7 * SQRT($A17)),FALSE),"")</f>
        <v/>
      </c>
      <c r="N17" t="str">
        <f>IFERROR(N$1*SQRT($A17)*_xlfn.NORM.S.DIST((LN(N$1 / MonteCarlo!$B$5) + (MonteCarlo!$B$9 + MonteCarlo!$B$7 ^ 2 / 2) *$A17) / (MonteCarlo!$B$7 * SQRT($A17)),FALSE),"")</f>
        <v/>
      </c>
      <c r="O17" t="str">
        <f>IFERROR(O$1*SQRT($A17)*_xlfn.NORM.S.DIST((LN(O$1 / MonteCarlo!$B$5) + (MonteCarlo!$B$9 + MonteCarlo!$B$7 ^ 2 / 2) *$A17) / (MonteCarlo!$B$7 * SQRT($A17)),FALSE),"")</f>
        <v/>
      </c>
      <c r="P17" t="str">
        <f>IFERROR(P$1*SQRT($A17)*_xlfn.NORM.S.DIST((LN(P$1 / MonteCarlo!$B$5) + (MonteCarlo!$B$9 + MonteCarlo!$B$7 ^ 2 / 2) *$A17) / (MonteCarlo!$B$7 * SQRT($A17)),FALSE),"")</f>
        <v/>
      </c>
      <c r="Q17" t="str">
        <f>IFERROR(Q$1*SQRT($A17)*_xlfn.NORM.S.DIST((LN(Q$1 / MonteCarlo!$B$5) + (MonteCarlo!$B$9 + MonteCarlo!$B$7 ^ 2 / 2) *$A17) / (MonteCarlo!$B$7 * SQRT($A17)),FALSE),"")</f>
        <v/>
      </c>
      <c r="R17" t="str">
        <f>IFERROR(R$1*SQRT($A17)*_xlfn.NORM.S.DIST((LN(R$1 / MonteCarlo!$B$5) + (MonteCarlo!$B$9 + MonteCarlo!$B$7 ^ 2 / 2) *$A17) / (MonteCarlo!$B$7 * SQRT($A17)),FALSE),"")</f>
        <v/>
      </c>
      <c r="S17" t="str">
        <f>IFERROR(S$1*SQRT($A17)*_xlfn.NORM.S.DIST((LN(S$1 / MonteCarlo!$B$5) + (MonteCarlo!$B$9 + MonteCarlo!$B$7 ^ 2 / 2) *$A17) / (MonteCarlo!$B$7 * SQRT($A17)),FALSE),"")</f>
        <v/>
      </c>
      <c r="T17" t="str">
        <f>IFERROR(T$1*SQRT($A17)*_xlfn.NORM.S.DIST((LN(T$1 / MonteCarlo!$B$5) + (MonteCarlo!$B$9 + MonteCarlo!$B$7 ^ 2 / 2) *$A17) / (MonteCarlo!$B$7 * SQRT($A17)),FALSE),"")</f>
        <v/>
      </c>
      <c r="U17" t="str">
        <f>IFERROR(U$1*SQRT($A17)*_xlfn.NORM.S.DIST((LN(U$1 / MonteCarlo!$B$5) + (MonteCarlo!$B$9 + MonteCarlo!$B$7 ^ 2 / 2) *$A17) / (MonteCarlo!$B$7 * SQRT($A17)),FALSE),"")</f>
        <v/>
      </c>
      <c r="V17" t="str">
        <f>IFERROR(V$1*SQRT($A17)*_xlfn.NORM.S.DIST((LN(V$1 / MonteCarlo!$B$5) + (MonteCarlo!$B$9 + MonteCarlo!$B$7 ^ 2 / 2) *$A17) / (MonteCarlo!$B$7 * SQRT($A17)),FALSE),"")</f>
        <v/>
      </c>
      <c r="W17" t="str">
        <f>IFERROR(W$1*SQRT($A17)*_xlfn.NORM.S.DIST((LN(W$1 / MonteCarlo!$B$5) + (MonteCarlo!$B$9 + MonteCarlo!$B$7 ^ 2 / 2) *$A17) / (MonteCarlo!$B$7 * SQRT($A17)),FALSE),"")</f>
        <v/>
      </c>
      <c r="X17" t="str">
        <f>IFERROR(X$1*SQRT($A17)*_xlfn.NORM.S.DIST((LN(X$1 / MonteCarlo!$B$5) + (MonteCarlo!$B$9 + MonteCarlo!$B$7 ^ 2 / 2) *$A17) / (MonteCarlo!$B$7 * SQRT($A17)),FALSE),"")</f>
        <v/>
      </c>
      <c r="Y17" t="str">
        <f>IFERROR(Y$1*SQRT($A17)*_xlfn.NORM.S.DIST((LN(Y$1 / MonteCarlo!$B$5) + (MonteCarlo!$B$9 + MonteCarlo!$B$7 ^ 2 / 2) *$A17) / (MonteCarlo!$B$7 * SQRT($A17)),FALSE),"")</f>
        <v/>
      </c>
      <c r="Z17" t="str">
        <f>IFERROR(Z$1*SQRT($A17)*_xlfn.NORM.S.DIST((LN(Z$1 / MonteCarlo!$B$5) + (MonteCarlo!$B$9 + MonteCarlo!$B$7 ^ 2 / 2) *$A17) / (MonteCarlo!$B$7 * SQRT($A17)),FALSE),"")</f>
        <v/>
      </c>
      <c r="AA17" t="str">
        <f>IFERROR(AA$1*SQRT($A17)*_xlfn.NORM.S.DIST((LN(AA$1 / MonteCarlo!$B$5) + (MonteCarlo!$B$9 + MonteCarlo!$B$7 ^ 2 / 2) *$A17) / (MonteCarlo!$B$7 * SQRT($A17)),FALSE),"")</f>
        <v/>
      </c>
      <c r="AB17" t="str">
        <f>IFERROR(AB$1*SQRT($A17)*_xlfn.NORM.S.DIST((LN(AB$1 / MonteCarlo!$B$5) + (MonteCarlo!$B$9 + MonteCarlo!$B$7 ^ 2 / 2) *$A17) / (MonteCarlo!$B$7 * SQRT($A17)),FALSE),"")</f>
        <v/>
      </c>
      <c r="AC17" t="str">
        <f>IFERROR(AC$1*SQRT($A17)*_xlfn.NORM.S.DIST((LN(AC$1 / MonteCarlo!$B$5) + (MonteCarlo!$B$9 + MonteCarlo!$B$7 ^ 2 / 2) *$A17) / (MonteCarlo!$B$7 * SQRT($A17)),FALSE),"")</f>
        <v/>
      </c>
      <c r="AD17" t="str">
        <f>IFERROR(AD$1*SQRT($A17)*_xlfn.NORM.S.DIST((LN(AD$1 / MonteCarlo!$B$5) + (MonteCarlo!$B$9 + MonteCarlo!$B$7 ^ 2 / 2) *$A17) / (MonteCarlo!$B$7 * SQRT($A17)),FALSE),"")</f>
        <v/>
      </c>
      <c r="AE17" t="str">
        <f>IFERROR(AE$1*SQRT($A17)*_xlfn.NORM.S.DIST((LN(AE$1 / MonteCarlo!$B$5) + (MonteCarlo!$B$9 + MonteCarlo!$B$7 ^ 2 / 2) *$A17) / (MonteCarlo!$B$7 * SQRT($A17)),FALSE),"")</f>
        <v/>
      </c>
      <c r="AF17" t="str">
        <f>IFERROR(AF$1*SQRT($A17)*_xlfn.NORM.S.DIST((LN(AF$1 / MonteCarlo!$B$5) + (MonteCarlo!$B$9 + MonteCarlo!$B$7 ^ 2 / 2) *$A17) / (MonteCarlo!$B$7 * SQRT($A17)),FALSE),"")</f>
        <v/>
      </c>
    </row>
    <row r="18" spans="2:32" x14ac:dyDescent="0.25">
      <c r="B18" t="str">
        <f>IFERROR(B$1*SQRT($A18)*_xlfn.NORM.S.DIST((LN(B$1 / MonteCarlo!$B$5) + (MonteCarlo!$B$9 + MonteCarlo!$B$7 ^ 2 / 2) *$A18) / (MonteCarlo!$B$7 * SQRT($A18)),FALSE),"")</f>
        <v/>
      </c>
      <c r="C18" t="str">
        <f>IFERROR(C$1*SQRT($A18)*_xlfn.NORM.S.DIST((LN(C$1 / MonteCarlo!$B$5) + (MonteCarlo!$B$9 + MonteCarlo!$B$7 ^ 2 / 2) *$A18) / (MonteCarlo!$B$7 * SQRT($A18)),FALSE),"")</f>
        <v/>
      </c>
      <c r="D18" t="str">
        <f>IFERROR(D$1*SQRT($A18)*_xlfn.NORM.S.DIST((LN(D$1 / MonteCarlo!$B$5) + (MonteCarlo!$B$9 + MonteCarlo!$B$7 ^ 2 / 2) *$A18) / (MonteCarlo!$B$7 * SQRT($A18)),FALSE),"")</f>
        <v/>
      </c>
      <c r="E18" t="str">
        <f>IFERROR(E$1*SQRT($A18)*_xlfn.NORM.S.DIST((LN(E$1 / MonteCarlo!$B$5) + (MonteCarlo!$B$9 + MonteCarlo!$B$7 ^ 2 / 2) *$A18) / (MonteCarlo!$B$7 * SQRT($A18)),FALSE),"")</f>
        <v/>
      </c>
      <c r="F18" t="str">
        <f>IFERROR(F$1*SQRT($A18)*_xlfn.NORM.S.DIST((LN(F$1 / MonteCarlo!$B$5) + (MonteCarlo!$B$9 + MonteCarlo!$B$7 ^ 2 / 2) *$A18) / (MonteCarlo!$B$7 * SQRT($A18)),FALSE),"")</f>
        <v/>
      </c>
      <c r="G18" t="str">
        <f>IFERROR(G$1*SQRT($A18)*_xlfn.NORM.S.DIST((LN(G$1 / MonteCarlo!$B$5) + (MonteCarlo!$B$9 + MonteCarlo!$B$7 ^ 2 / 2) *$A18) / (MonteCarlo!$B$7 * SQRT($A18)),FALSE),"")</f>
        <v/>
      </c>
      <c r="H18" t="str">
        <f>IFERROR(H$1*SQRT($A18)*_xlfn.NORM.S.DIST((LN(H$1 / MonteCarlo!$B$5) + (MonteCarlo!$B$9 + MonteCarlo!$B$7 ^ 2 / 2) *$A18) / (MonteCarlo!$B$7 * SQRT($A18)),FALSE),"")</f>
        <v/>
      </c>
      <c r="I18" t="str">
        <f>IFERROR(I$1*SQRT($A18)*_xlfn.NORM.S.DIST((LN(I$1 / MonteCarlo!$B$5) + (MonteCarlo!$B$9 + MonteCarlo!$B$7 ^ 2 / 2) *$A18) / (MonteCarlo!$B$7 * SQRT($A18)),FALSE),"")</f>
        <v/>
      </c>
      <c r="J18" t="str">
        <f>IFERROR(J$1*SQRT($A18)*_xlfn.NORM.S.DIST((LN(J$1 / MonteCarlo!$B$5) + (MonteCarlo!$B$9 + MonteCarlo!$B$7 ^ 2 / 2) *$A18) / (MonteCarlo!$B$7 * SQRT($A18)),FALSE),"")</f>
        <v/>
      </c>
      <c r="K18" t="str">
        <f>IFERROR(K$1*SQRT($A18)*_xlfn.NORM.S.DIST((LN(K$1 / MonteCarlo!$B$5) + (MonteCarlo!$B$9 + MonteCarlo!$B$7 ^ 2 / 2) *$A18) / (MonteCarlo!$B$7 * SQRT($A18)),FALSE),"")</f>
        <v/>
      </c>
      <c r="L18" t="str">
        <f>IFERROR(L$1*SQRT($A18)*_xlfn.NORM.S.DIST((LN(L$1 / MonteCarlo!$B$5) + (MonteCarlo!$B$9 + MonteCarlo!$B$7 ^ 2 / 2) *$A18) / (MonteCarlo!$B$7 * SQRT($A18)),FALSE),"")</f>
        <v/>
      </c>
      <c r="M18" t="str">
        <f>IFERROR(M$1*SQRT($A18)*_xlfn.NORM.S.DIST((LN(M$1 / MonteCarlo!$B$5) + (MonteCarlo!$B$9 + MonteCarlo!$B$7 ^ 2 / 2) *$A18) / (MonteCarlo!$B$7 * SQRT($A18)),FALSE),"")</f>
        <v/>
      </c>
      <c r="N18" t="str">
        <f>IFERROR(N$1*SQRT($A18)*_xlfn.NORM.S.DIST((LN(N$1 / MonteCarlo!$B$5) + (MonteCarlo!$B$9 + MonteCarlo!$B$7 ^ 2 / 2) *$A18) / (MonteCarlo!$B$7 * SQRT($A18)),FALSE),"")</f>
        <v/>
      </c>
      <c r="O18" t="str">
        <f>IFERROR(O$1*SQRT($A18)*_xlfn.NORM.S.DIST((LN(O$1 / MonteCarlo!$B$5) + (MonteCarlo!$B$9 + MonteCarlo!$B$7 ^ 2 / 2) *$A18) / (MonteCarlo!$B$7 * SQRT($A18)),FALSE),"")</f>
        <v/>
      </c>
      <c r="P18" t="str">
        <f>IFERROR(P$1*SQRT($A18)*_xlfn.NORM.S.DIST((LN(P$1 / MonteCarlo!$B$5) + (MonteCarlo!$B$9 + MonteCarlo!$B$7 ^ 2 / 2) *$A18) / (MonteCarlo!$B$7 * SQRT($A18)),FALSE),"")</f>
        <v/>
      </c>
      <c r="Q18" t="str">
        <f>IFERROR(Q$1*SQRT($A18)*_xlfn.NORM.S.DIST((LN(Q$1 / MonteCarlo!$B$5) + (MonteCarlo!$B$9 + MonteCarlo!$B$7 ^ 2 / 2) *$A18) / (MonteCarlo!$B$7 * SQRT($A18)),FALSE),"")</f>
        <v/>
      </c>
      <c r="R18" t="str">
        <f>IFERROR(R$1*SQRT($A18)*_xlfn.NORM.S.DIST((LN(R$1 / MonteCarlo!$B$5) + (MonteCarlo!$B$9 + MonteCarlo!$B$7 ^ 2 / 2) *$A18) / (MonteCarlo!$B$7 * SQRT($A18)),FALSE),"")</f>
        <v/>
      </c>
      <c r="S18" t="str">
        <f>IFERROR(S$1*SQRT($A18)*_xlfn.NORM.S.DIST((LN(S$1 / MonteCarlo!$B$5) + (MonteCarlo!$B$9 + MonteCarlo!$B$7 ^ 2 / 2) *$A18) / (MonteCarlo!$B$7 * SQRT($A18)),FALSE),"")</f>
        <v/>
      </c>
      <c r="T18" t="str">
        <f>IFERROR(T$1*SQRT($A18)*_xlfn.NORM.S.DIST((LN(T$1 / MonteCarlo!$B$5) + (MonteCarlo!$B$9 + MonteCarlo!$B$7 ^ 2 / 2) *$A18) / (MonteCarlo!$B$7 * SQRT($A18)),FALSE),"")</f>
        <v/>
      </c>
      <c r="U18" t="str">
        <f>IFERROR(U$1*SQRT($A18)*_xlfn.NORM.S.DIST((LN(U$1 / MonteCarlo!$B$5) + (MonteCarlo!$B$9 + MonteCarlo!$B$7 ^ 2 / 2) *$A18) / (MonteCarlo!$B$7 * SQRT($A18)),FALSE),"")</f>
        <v/>
      </c>
      <c r="V18" t="str">
        <f>IFERROR(V$1*SQRT($A18)*_xlfn.NORM.S.DIST((LN(V$1 / MonteCarlo!$B$5) + (MonteCarlo!$B$9 + MonteCarlo!$B$7 ^ 2 / 2) *$A18) / (MonteCarlo!$B$7 * SQRT($A18)),FALSE),"")</f>
        <v/>
      </c>
      <c r="W18" t="str">
        <f>IFERROR(W$1*SQRT($A18)*_xlfn.NORM.S.DIST((LN(W$1 / MonteCarlo!$B$5) + (MonteCarlo!$B$9 + MonteCarlo!$B$7 ^ 2 / 2) *$A18) / (MonteCarlo!$B$7 * SQRT($A18)),FALSE),"")</f>
        <v/>
      </c>
      <c r="X18" t="str">
        <f>IFERROR(X$1*SQRT($A18)*_xlfn.NORM.S.DIST((LN(X$1 / MonteCarlo!$B$5) + (MonteCarlo!$B$9 + MonteCarlo!$B$7 ^ 2 / 2) *$A18) / (MonteCarlo!$B$7 * SQRT($A18)),FALSE),"")</f>
        <v/>
      </c>
      <c r="Y18" t="str">
        <f>IFERROR(Y$1*SQRT($A18)*_xlfn.NORM.S.DIST((LN(Y$1 / MonteCarlo!$B$5) + (MonteCarlo!$B$9 + MonteCarlo!$B$7 ^ 2 / 2) *$A18) / (MonteCarlo!$B$7 * SQRT($A18)),FALSE),"")</f>
        <v/>
      </c>
      <c r="Z18" t="str">
        <f>IFERROR(Z$1*SQRT($A18)*_xlfn.NORM.S.DIST((LN(Z$1 / MonteCarlo!$B$5) + (MonteCarlo!$B$9 + MonteCarlo!$B$7 ^ 2 / 2) *$A18) / (MonteCarlo!$B$7 * SQRT($A18)),FALSE),"")</f>
        <v/>
      </c>
      <c r="AA18" t="str">
        <f>IFERROR(AA$1*SQRT($A18)*_xlfn.NORM.S.DIST((LN(AA$1 / MonteCarlo!$B$5) + (MonteCarlo!$B$9 + MonteCarlo!$B$7 ^ 2 / 2) *$A18) / (MonteCarlo!$B$7 * SQRT($A18)),FALSE),"")</f>
        <v/>
      </c>
      <c r="AB18" t="str">
        <f>IFERROR(AB$1*SQRT($A18)*_xlfn.NORM.S.DIST((LN(AB$1 / MonteCarlo!$B$5) + (MonteCarlo!$B$9 + MonteCarlo!$B$7 ^ 2 / 2) *$A18) / (MonteCarlo!$B$7 * SQRT($A18)),FALSE),"")</f>
        <v/>
      </c>
      <c r="AC18" t="str">
        <f>IFERROR(AC$1*SQRT($A18)*_xlfn.NORM.S.DIST((LN(AC$1 / MonteCarlo!$B$5) + (MonteCarlo!$B$9 + MonteCarlo!$B$7 ^ 2 / 2) *$A18) / (MonteCarlo!$B$7 * SQRT($A18)),FALSE),"")</f>
        <v/>
      </c>
      <c r="AD18" t="str">
        <f>IFERROR(AD$1*SQRT($A18)*_xlfn.NORM.S.DIST((LN(AD$1 / MonteCarlo!$B$5) + (MonteCarlo!$B$9 + MonteCarlo!$B$7 ^ 2 / 2) *$A18) / (MonteCarlo!$B$7 * SQRT($A18)),FALSE),"")</f>
        <v/>
      </c>
      <c r="AE18" t="str">
        <f>IFERROR(AE$1*SQRT($A18)*_xlfn.NORM.S.DIST((LN(AE$1 / MonteCarlo!$B$5) + (MonteCarlo!$B$9 + MonteCarlo!$B$7 ^ 2 / 2) *$A18) / (MonteCarlo!$B$7 * SQRT($A18)),FALSE),"")</f>
        <v/>
      </c>
      <c r="AF18" t="str">
        <f>IFERROR(AF$1*SQRT($A18)*_xlfn.NORM.S.DIST((LN(AF$1 / MonteCarlo!$B$5) + (MonteCarlo!$B$9 + MonteCarlo!$B$7 ^ 2 / 2) *$A18) / (MonteCarlo!$B$7 * SQRT($A18)),FALSE),"")</f>
        <v/>
      </c>
    </row>
    <row r="19" spans="2:32" x14ac:dyDescent="0.25">
      <c r="B19" t="str">
        <f>IFERROR(B$1*SQRT($A19)*_xlfn.NORM.S.DIST((LN(B$1 / MonteCarlo!$B$5) + (MonteCarlo!$B$9 + MonteCarlo!$B$7 ^ 2 / 2) *$A19) / (MonteCarlo!$B$7 * SQRT($A19)),FALSE),"")</f>
        <v/>
      </c>
      <c r="C19" t="str">
        <f>IFERROR(C$1*SQRT($A19)*_xlfn.NORM.S.DIST((LN(C$1 / MonteCarlo!$B$5) + (MonteCarlo!$B$9 + MonteCarlo!$B$7 ^ 2 / 2) *$A19) / (MonteCarlo!$B$7 * SQRT($A19)),FALSE),"")</f>
        <v/>
      </c>
      <c r="D19" t="str">
        <f>IFERROR(D$1*SQRT($A19)*_xlfn.NORM.S.DIST((LN(D$1 / MonteCarlo!$B$5) + (MonteCarlo!$B$9 + MonteCarlo!$B$7 ^ 2 / 2) *$A19) / (MonteCarlo!$B$7 * SQRT($A19)),FALSE),"")</f>
        <v/>
      </c>
      <c r="E19" t="str">
        <f>IFERROR(E$1*SQRT($A19)*_xlfn.NORM.S.DIST((LN(E$1 / MonteCarlo!$B$5) + (MonteCarlo!$B$9 + MonteCarlo!$B$7 ^ 2 / 2) *$A19) / (MonteCarlo!$B$7 * SQRT($A19)),FALSE),"")</f>
        <v/>
      </c>
      <c r="F19" t="str">
        <f>IFERROR(F$1*SQRT($A19)*_xlfn.NORM.S.DIST((LN(F$1 / MonteCarlo!$B$5) + (MonteCarlo!$B$9 + MonteCarlo!$B$7 ^ 2 / 2) *$A19) / (MonteCarlo!$B$7 * SQRT($A19)),FALSE),"")</f>
        <v/>
      </c>
      <c r="G19" t="str">
        <f>IFERROR(G$1*SQRT($A19)*_xlfn.NORM.S.DIST((LN(G$1 / MonteCarlo!$B$5) + (MonteCarlo!$B$9 + MonteCarlo!$B$7 ^ 2 / 2) *$A19) / (MonteCarlo!$B$7 * SQRT($A19)),FALSE),"")</f>
        <v/>
      </c>
      <c r="H19" t="str">
        <f>IFERROR(H$1*SQRT($A19)*_xlfn.NORM.S.DIST((LN(H$1 / MonteCarlo!$B$5) + (MonteCarlo!$B$9 + MonteCarlo!$B$7 ^ 2 / 2) *$A19) / (MonteCarlo!$B$7 * SQRT($A19)),FALSE),"")</f>
        <v/>
      </c>
      <c r="I19" t="str">
        <f>IFERROR(I$1*SQRT($A19)*_xlfn.NORM.S.DIST((LN(I$1 / MonteCarlo!$B$5) + (MonteCarlo!$B$9 + MonteCarlo!$B$7 ^ 2 / 2) *$A19) / (MonteCarlo!$B$7 * SQRT($A19)),FALSE),"")</f>
        <v/>
      </c>
      <c r="J19" t="str">
        <f>IFERROR(J$1*SQRT($A19)*_xlfn.NORM.S.DIST((LN(J$1 / MonteCarlo!$B$5) + (MonteCarlo!$B$9 + MonteCarlo!$B$7 ^ 2 / 2) *$A19) / (MonteCarlo!$B$7 * SQRT($A19)),FALSE),"")</f>
        <v/>
      </c>
      <c r="K19" t="str">
        <f>IFERROR(K$1*SQRT($A19)*_xlfn.NORM.S.DIST((LN(K$1 / MonteCarlo!$B$5) + (MonteCarlo!$B$9 + MonteCarlo!$B$7 ^ 2 / 2) *$A19) / (MonteCarlo!$B$7 * SQRT($A19)),FALSE),"")</f>
        <v/>
      </c>
      <c r="L19" t="str">
        <f>IFERROR(L$1*SQRT($A19)*_xlfn.NORM.S.DIST((LN(L$1 / MonteCarlo!$B$5) + (MonteCarlo!$B$9 + MonteCarlo!$B$7 ^ 2 / 2) *$A19) / (MonteCarlo!$B$7 * SQRT($A19)),FALSE),"")</f>
        <v/>
      </c>
      <c r="M19" t="str">
        <f>IFERROR(M$1*SQRT($A19)*_xlfn.NORM.S.DIST((LN(M$1 / MonteCarlo!$B$5) + (MonteCarlo!$B$9 + MonteCarlo!$B$7 ^ 2 / 2) *$A19) / (MonteCarlo!$B$7 * SQRT($A19)),FALSE),"")</f>
        <v/>
      </c>
      <c r="N19" t="str">
        <f>IFERROR(N$1*SQRT($A19)*_xlfn.NORM.S.DIST((LN(N$1 / MonteCarlo!$B$5) + (MonteCarlo!$B$9 + MonteCarlo!$B$7 ^ 2 / 2) *$A19) / (MonteCarlo!$B$7 * SQRT($A19)),FALSE),"")</f>
        <v/>
      </c>
      <c r="O19" t="str">
        <f>IFERROR(O$1*SQRT($A19)*_xlfn.NORM.S.DIST((LN(O$1 / MonteCarlo!$B$5) + (MonteCarlo!$B$9 + MonteCarlo!$B$7 ^ 2 / 2) *$A19) / (MonteCarlo!$B$7 * SQRT($A19)),FALSE),"")</f>
        <v/>
      </c>
      <c r="P19" t="str">
        <f>IFERROR(P$1*SQRT($A19)*_xlfn.NORM.S.DIST((LN(P$1 / MonteCarlo!$B$5) + (MonteCarlo!$B$9 + MonteCarlo!$B$7 ^ 2 / 2) *$A19) / (MonteCarlo!$B$7 * SQRT($A19)),FALSE),"")</f>
        <v/>
      </c>
      <c r="Q19" t="str">
        <f>IFERROR(Q$1*SQRT($A19)*_xlfn.NORM.S.DIST((LN(Q$1 / MonteCarlo!$B$5) + (MonteCarlo!$B$9 + MonteCarlo!$B$7 ^ 2 / 2) *$A19) / (MonteCarlo!$B$7 * SQRT($A19)),FALSE),"")</f>
        <v/>
      </c>
      <c r="R19" t="str">
        <f>IFERROR(R$1*SQRT($A19)*_xlfn.NORM.S.DIST((LN(R$1 / MonteCarlo!$B$5) + (MonteCarlo!$B$9 + MonteCarlo!$B$7 ^ 2 / 2) *$A19) / (MonteCarlo!$B$7 * SQRT($A19)),FALSE),"")</f>
        <v/>
      </c>
      <c r="S19" t="str">
        <f>IFERROR(S$1*SQRT($A19)*_xlfn.NORM.S.DIST((LN(S$1 / MonteCarlo!$B$5) + (MonteCarlo!$B$9 + MonteCarlo!$B$7 ^ 2 / 2) *$A19) / (MonteCarlo!$B$7 * SQRT($A19)),FALSE),"")</f>
        <v/>
      </c>
      <c r="T19" t="str">
        <f>IFERROR(T$1*SQRT($A19)*_xlfn.NORM.S.DIST((LN(T$1 / MonteCarlo!$B$5) + (MonteCarlo!$B$9 + MonteCarlo!$B$7 ^ 2 / 2) *$A19) / (MonteCarlo!$B$7 * SQRT($A19)),FALSE),"")</f>
        <v/>
      </c>
      <c r="U19" t="str">
        <f>IFERROR(U$1*SQRT($A19)*_xlfn.NORM.S.DIST((LN(U$1 / MonteCarlo!$B$5) + (MonteCarlo!$B$9 + MonteCarlo!$B$7 ^ 2 / 2) *$A19) / (MonteCarlo!$B$7 * SQRT($A19)),FALSE),"")</f>
        <v/>
      </c>
      <c r="V19" t="str">
        <f>IFERROR(V$1*SQRT($A19)*_xlfn.NORM.S.DIST((LN(V$1 / MonteCarlo!$B$5) + (MonteCarlo!$B$9 + MonteCarlo!$B$7 ^ 2 / 2) *$A19) / (MonteCarlo!$B$7 * SQRT($A19)),FALSE),"")</f>
        <v/>
      </c>
      <c r="W19" t="str">
        <f>IFERROR(W$1*SQRT($A19)*_xlfn.NORM.S.DIST((LN(W$1 / MonteCarlo!$B$5) + (MonteCarlo!$B$9 + MonteCarlo!$B$7 ^ 2 / 2) *$A19) / (MonteCarlo!$B$7 * SQRT($A19)),FALSE),"")</f>
        <v/>
      </c>
      <c r="X19" t="str">
        <f>IFERROR(X$1*SQRT($A19)*_xlfn.NORM.S.DIST((LN(X$1 / MonteCarlo!$B$5) + (MonteCarlo!$B$9 + MonteCarlo!$B$7 ^ 2 / 2) *$A19) / (MonteCarlo!$B$7 * SQRT($A19)),FALSE),"")</f>
        <v/>
      </c>
      <c r="Y19" t="str">
        <f>IFERROR(Y$1*SQRT($A19)*_xlfn.NORM.S.DIST((LN(Y$1 / MonteCarlo!$B$5) + (MonteCarlo!$B$9 + MonteCarlo!$B$7 ^ 2 / 2) *$A19) / (MonteCarlo!$B$7 * SQRT($A19)),FALSE),"")</f>
        <v/>
      </c>
      <c r="Z19" t="str">
        <f>IFERROR(Z$1*SQRT($A19)*_xlfn.NORM.S.DIST((LN(Z$1 / MonteCarlo!$B$5) + (MonteCarlo!$B$9 + MonteCarlo!$B$7 ^ 2 / 2) *$A19) / (MonteCarlo!$B$7 * SQRT($A19)),FALSE),"")</f>
        <v/>
      </c>
      <c r="AA19" t="str">
        <f>IFERROR(AA$1*SQRT($A19)*_xlfn.NORM.S.DIST((LN(AA$1 / MonteCarlo!$B$5) + (MonteCarlo!$B$9 + MonteCarlo!$B$7 ^ 2 / 2) *$A19) / (MonteCarlo!$B$7 * SQRT($A19)),FALSE),"")</f>
        <v/>
      </c>
      <c r="AB19" t="str">
        <f>IFERROR(AB$1*SQRT($A19)*_xlfn.NORM.S.DIST((LN(AB$1 / MonteCarlo!$B$5) + (MonteCarlo!$B$9 + MonteCarlo!$B$7 ^ 2 / 2) *$A19) / (MonteCarlo!$B$7 * SQRT($A19)),FALSE),"")</f>
        <v/>
      </c>
      <c r="AC19" t="str">
        <f>IFERROR(AC$1*SQRT($A19)*_xlfn.NORM.S.DIST((LN(AC$1 / MonteCarlo!$B$5) + (MonteCarlo!$B$9 + MonteCarlo!$B$7 ^ 2 / 2) *$A19) / (MonteCarlo!$B$7 * SQRT($A19)),FALSE),"")</f>
        <v/>
      </c>
      <c r="AD19" t="str">
        <f>IFERROR(AD$1*SQRT($A19)*_xlfn.NORM.S.DIST((LN(AD$1 / MonteCarlo!$B$5) + (MonteCarlo!$B$9 + MonteCarlo!$B$7 ^ 2 / 2) *$A19) / (MonteCarlo!$B$7 * SQRT($A19)),FALSE),"")</f>
        <v/>
      </c>
      <c r="AE19" t="str">
        <f>IFERROR(AE$1*SQRT($A19)*_xlfn.NORM.S.DIST((LN(AE$1 / MonteCarlo!$B$5) + (MonteCarlo!$B$9 + MonteCarlo!$B$7 ^ 2 / 2) *$A19) / (MonteCarlo!$B$7 * SQRT($A19)),FALSE),"")</f>
        <v/>
      </c>
      <c r="AF19" t="str">
        <f>IFERROR(AF$1*SQRT($A19)*_xlfn.NORM.S.DIST((LN(AF$1 / MonteCarlo!$B$5) + (MonteCarlo!$B$9 + MonteCarlo!$B$7 ^ 2 / 2) *$A19) / (MonteCarlo!$B$7 * SQRT($A19)),FALSE),"")</f>
        <v/>
      </c>
    </row>
    <row r="20" spans="2:32" x14ac:dyDescent="0.25">
      <c r="B20" t="str">
        <f>IFERROR(B$1*SQRT($A20)*_xlfn.NORM.S.DIST((LN(B$1 / MonteCarlo!$B$5) + (MonteCarlo!$B$9 + MonteCarlo!$B$7 ^ 2 / 2) *$A20) / (MonteCarlo!$B$7 * SQRT($A20)),FALSE),"")</f>
        <v/>
      </c>
      <c r="C20" t="str">
        <f>IFERROR(C$1*SQRT($A20)*_xlfn.NORM.S.DIST((LN(C$1 / MonteCarlo!$B$5) + (MonteCarlo!$B$9 + MonteCarlo!$B$7 ^ 2 / 2) *$A20) / (MonteCarlo!$B$7 * SQRT($A20)),FALSE),"")</f>
        <v/>
      </c>
      <c r="D20" t="str">
        <f>IFERROR(D$1*SQRT($A20)*_xlfn.NORM.S.DIST((LN(D$1 / MonteCarlo!$B$5) + (MonteCarlo!$B$9 + MonteCarlo!$B$7 ^ 2 / 2) *$A20) / (MonteCarlo!$B$7 * SQRT($A20)),FALSE),"")</f>
        <v/>
      </c>
      <c r="E20" t="str">
        <f>IFERROR(E$1*SQRT($A20)*_xlfn.NORM.S.DIST((LN(E$1 / MonteCarlo!$B$5) + (MonteCarlo!$B$9 + MonteCarlo!$B$7 ^ 2 / 2) *$A20) / (MonteCarlo!$B$7 * SQRT($A20)),FALSE),"")</f>
        <v/>
      </c>
      <c r="F20" t="str">
        <f>IFERROR(F$1*SQRT($A20)*_xlfn.NORM.S.DIST((LN(F$1 / MonteCarlo!$B$5) + (MonteCarlo!$B$9 + MonteCarlo!$B$7 ^ 2 / 2) *$A20) / (MonteCarlo!$B$7 * SQRT($A20)),FALSE),"")</f>
        <v/>
      </c>
      <c r="G20" t="str">
        <f>IFERROR(G$1*SQRT($A20)*_xlfn.NORM.S.DIST((LN(G$1 / MonteCarlo!$B$5) + (MonteCarlo!$B$9 + MonteCarlo!$B$7 ^ 2 / 2) *$A20) / (MonteCarlo!$B$7 * SQRT($A20)),FALSE),"")</f>
        <v/>
      </c>
      <c r="H20" t="str">
        <f>IFERROR(H$1*SQRT($A20)*_xlfn.NORM.S.DIST((LN(H$1 / MonteCarlo!$B$5) + (MonteCarlo!$B$9 + MonteCarlo!$B$7 ^ 2 / 2) *$A20) / (MonteCarlo!$B$7 * SQRT($A20)),FALSE),"")</f>
        <v/>
      </c>
      <c r="I20" t="str">
        <f>IFERROR(I$1*SQRT($A20)*_xlfn.NORM.S.DIST((LN(I$1 / MonteCarlo!$B$5) + (MonteCarlo!$B$9 + MonteCarlo!$B$7 ^ 2 / 2) *$A20) / (MonteCarlo!$B$7 * SQRT($A20)),FALSE),"")</f>
        <v/>
      </c>
      <c r="J20" t="str">
        <f>IFERROR(J$1*SQRT($A20)*_xlfn.NORM.S.DIST((LN(J$1 / MonteCarlo!$B$5) + (MonteCarlo!$B$9 + MonteCarlo!$B$7 ^ 2 / 2) *$A20) / (MonteCarlo!$B$7 * SQRT($A20)),FALSE),"")</f>
        <v/>
      </c>
      <c r="K20" t="str">
        <f>IFERROR(K$1*SQRT($A20)*_xlfn.NORM.S.DIST((LN(K$1 / MonteCarlo!$B$5) + (MonteCarlo!$B$9 + MonteCarlo!$B$7 ^ 2 / 2) *$A20) / (MonteCarlo!$B$7 * SQRT($A20)),FALSE),"")</f>
        <v/>
      </c>
      <c r="L20" t="str">
        <f>IFERROR(L$1*SQRT($A20)*_xlfn.NORM.S.DIST((LN(L$1 / MonteCarlo!$B$5) + (MonteCarlo!$B$9 + MonteCarlo!$B$7 ^ 2 / 2) *$A20) / (MonteCarlo!$B$7 * SQRT($A20)),FALSE),"")</f>
        <v/>
      </c>
      <c r="M20" t="str">
        <f>IFERROR(M$1*SQRT($A20)*_xlfn.NORM.S.DIST((LN(M$1 / MonteCarlo!$B$5) + (MonteCarlo!$B$9 + MonteCarlo!$B$7 ^ 2 / 2) *$A20) / (MonteCarlo!$B$7 * SQRT($A20)),FALSE),"")</f>
        <v/>
      </c>
      <c r="N20" t="str">
        <f>IFERROR(N$1*SQRT($A20)*_xlfn.NORM.S.DIST((LN(N$1 / MonteCarlo!$B$5) + (MonteCarlo!$B$9 + MonteCarlo!$B$7 ^ 2 / 2) *$A20) / (MonteCarlo!$B$7 * SQRT($A20)),FALSE),"")</f>
        <v/>
      </c>
      <c r="O20" t="str">
        <f>IFERROR(O$1*SQRT($A20)*_xlfn.NORM.S.DIST((LN(O$1 / MonteCarlo!$B$5) + (MonteCarlo!$B$9 + MonteCarlo!$B$7 ^ 2 / 2) *$A20) / (MonteCarlo!$B$7 * SQRT($A20)),FALSE),"")</f>
        <v/>
      </c>
      <c r="P20" t="str">
        <f>IFERROR(P$1*SQRT($A20)*_xlfn.NORM.S.DIST((LN(P$1 / MonteCarlo!$B$5) + (MonteCarlo!$B$9 + MonteCarlo!$B$7 ^ 2 / 2) *$A20) / (MonteCarlo!$B$7 * SQRT($A20)),FALSE),"")</f>
        <v/>
      </c>
      <c r="Q20" t="str">
        <f>IFERROR(Q$1*SQRT($A20)*_xlfn.NORM.S.DIST((LN(Q$1 / MonteCarlo!$B$5) + (MonteCarlo!$B$9 + MonteCarlo!$B$7 ^ 2 / 2) *$A20) / (MonteCarlo!$B$7 * SQRT($A20)),FALSE),"")</f>
        <v/>
      </c>
      <c r="R20" t="str">
        <f>IFERROR(R$1*SQRT($A20)*_xlfn.NORM.S.DIST((LN(R$1 / MonteCarlo!$B$5) + (MonteCarlo!$B$9 + MonteCarlo!$B$7 ^ 2 / 2) *$A20) / (MonteCarlo!$B$7 * SQRT($A20)),FALSE),"")</f>
        <v/>
      </c>
      <c r="S20" t="str">
        <f>IFERROR(S$1*SQRT($A20)*_xlfn.NORM.S.DIST((LN(S$1 / MonteCarlo!$B$5) + (MonteCarlo!$B$9 + MonteCarlo!$B$7 ^ 2 / 2) *$A20) / (MonteCarlo!$B$7 * SQRT($A20)),FALSE),"")</f>
        <v/>
      </c>
      <c r="T20" t="str">
        <f>IFERROR(T$1*SQRT($A20)*_xlfn.NORM.S.DIST((LN(T$1 / MonteCarlo!$B$5) + (MonteCarlo!$B$9 + MonteCarlo!$B$7 ^ 2 / 2) *$A20) / (MonteCarlo!$B$7 * SQRT($A20)),FALSE),"")</f>
        <v/>
      </c>
      <c r="U20" t="str">
        <f>IFERROR(U$1*SQRT($A20)*_xlfn.NORM.S.DIST((LN(U$1 / MonteCarlo!$B$5) + (MonteCarlo!$B$9 + MonteCarlo!$B$7 ^ 2 / 2) *$A20) / (MonteCarlo!$B$7 * SQRT($A20)),FALSE),"")</f>
        <v/>
      </c>
      <c r="V20" t="str">
        <f>IFERROR(V$1*SQRT($A20)*_xlfn.NORM.S.DIST((LN(V$1 / MonteCarlo!$B$5) + (MonteCarlo!$B$9 + MonteCarlo!$B$7 ^ 2 / 2) *$A20) / (MonteCarlo!$B$7 * SQRT($A20)),FALSE),"")</f>
        <v/>
      </c>
      <c r="W20" t="str">
        <f>IFERROR(W$1*SQRT($A20)*_xlfn.NORM.S.DIST((LN(W$1 / MonteCarlo!$B$5) + (MonteCarlo!$B$9 + MonteCarlo!$B$7 ^ 2 / 2) *$A20) / (MonteCarlo!$B$7 * SQRT($A20)),FALSE),"")</f>
        <v/>
      </c>
      <c r="X20" t="str">
        <f>IFERROR(X$1*SQRT($A20)*_xlfn.NORM.S.DIST((LN(X$1 / MonteCarlo!$B$5) + (MonteCarlo!$B$9 + MonteCarlo!$B$7 ^ 2 / 2) *$A20) / (MonteCarlo!$B$7 * SQRT($A20)),FALSE),"")</f>
        <v/>
      </c>
      <c r="Y20" t="str">
        <f>IFERROR(Y$1*SQRT($A20)*_xlfn.NORM.S.DIST((LN(Y$1 / MonteCarlo!$B$5) + (MonteCarlo!$B$9 + MonteCarlo!$B$7 ^ 2 / 2) *$A20) / (MonteCarlo!$B$7 * SQRT($A20)),FALSE),"")</f>
        <v/>
      </c>
      <c r="Z20" t="str">
        <f>IFERROR(Z$1*SQRT($A20)*_xlfn.NORM.S.DIST((LN(Z$1 / MonteCarlo!$B$5) + (MonteCarlo!$B$9 + MonteCarlo!$B$7 ^ 2 / 2) *$A20) / (MonteCarlo!$B$7 * SQRT($A20)),FALSE),"")</f>
        <v/>
      </c>
      <c r="AA20" t="str">
        <f>IFERROR(AA$1*SQRT($A20)*_xlfn.NORM.S.DIST((LN(AA$1 / MonteCarlo!$B$5) + (MonteCarlo!$B$9 + MonteCarlo!$B$7 ^ 2 / 2) *$A20) / (MonteCarlo!$B$7 * SQRT($A20)),FALSE),"")</f>
        <v/>
      </c>
      <c r="AB20" t="str">
        <f>IFERROR(AB$1*SQRT($A20)*_xlfn.NORM.S.DIST((LN(AB$1 / MonteCarlo!$B$5) + (MonteCarlo!$B$9 + MonteCarlo!$B$7 ^ 2 / 2) *$A20) / (MonteCarlo!$B$7 * SQRT($A20)),FALSE),"")</f>
        <v/>
      </c>
      <c r="AC20" t="str">
        <f>IFERROR(AC$1*SQRT($A20)*_xlfn.NORM.S.DIST((LN(AC$1 / MonteCarlo!$B$5) + (MonteCarlo!$B$9 + MonteCarlo!$B$7 ^ 2 / 2) *$A20) / (MonteCarlo!$B$7 * SQRT($A20)),FALSE),"")</f>
        <v/>
      </c>
      <c r="AD20" t="str">
        <f>IFERROR(AD$1*SQRT($A20)*_xlfn.NORM.S.DIST((LN(AD$1 / MonteCarlo!$B$5) + (MonteCarlo!$B$9 + MonteCarlo!$B$7 ^ 2 / 2) *$A20) / (MonteCarlo!$B$7 * SQRT($A20)),FALSE),"")</f>
        <v/>
      </c>
      <c r="AE20" t="str">
        <f>IFERROR(AE$1*SQRT($A20)*_xlfn.NORM.S.DIST((LN(AE$1 / MonteCarlo!$B$5) + (MonteCarlo!$B$9 + MonteCarlo!$B$7 ^ 2 / 2) *$A20) / (MonteCarlo!$B$7 * SQRT($A20)),FALSE),"")</f>
        <v/>
      </c>
      <c r="AF20" t="str">
        <f>IFERROR(AF$1*SQRT($A20)*_xlfn.NORM.S.DIST((LN(AF$1 / MonteCarlo!$B$5) + (MonteCarlo!$B$9 + MonteCarlo!$B$7 ^ 2 / 2) *$A20) / (MonteCarlo!$B$7 * SQRT($A20)),FALSE),"")</f>
        <v/>
      </c>
    </row>
    <row r="21" spans="2:32" x14ac:dyDescent="0.25">
      <c r="B21" t="str">
        <f>IFERROR(B$1*SQRT($A21)*_xlfn.NORM.S.DIST((LN(B$1 / MonteCarlo!$B$5) + (MonteCarlo!$B$9 + MonteCarlo!$B$7 ^ 2 / 2) *$A21) / (MonteCarlo!$B$7 * SQRT($A21)),FALSE),"")</f>
        <v/>
      </c>
      <c r="C21" t="str">
        <f>IFERROR(C$1*SQRT($A21)*_xlfn.NORM.S.DIST((LN(C$1 / MonteCarlo!$B$5) + (MonteCarlo!$B$9 + MonteCarlo!$B$7 ^ 2 / 2) *$A21) / (MonteCarlo!$B$7 * SQRT($A21)),FALSE),"")</f>
        <v/>
      </c>
      <c r="D21" t="str">
        <f>IFERROR(D$1*SQRT($A21)*_xlfn.NORM.S.DIST((LN(D$1 / MonteCarlo!$B$5) + (MonteCarlo!$B$9 + MonteCarlo!$B$7 ^ 2 / 2) *$A21) / (MonteCarlo!$B$7 * SQRT($A21)),FALSE),"")</f>
        <v/>
      </c>
      <c r="E21" t="str">
        <f>IFERROR(E$1*SQRT($A21)*_xlfn.NORM.S.DIST((LN(E$1 / MonteCarlo!$B$5) + (MonteCarlo!$B$9 + MonteCarlo!$B$7 ^ 2 / 2) *$A21) / (MonteCarlo!$B$7 * SQRT($A21)),FALSE),"")</f>
        <v/>
      </c>
      <c r="F21" t="str">
        <f>IFERROR(F$1*SQRT($A21)*_xlfn.NORM.S.DIST((LN(F$1 / MonteCarlo!$B$5) + (MonteCarlo!$B$9 + MonteCarlo!$B$7 ^ 2 / 2) *$A21) / (MonteCarlo!$B$7 * SQRT($A21)),FALSE),"")</f>
        <v/>
      </c>
      <c r="G21" t="str">
        <f>IFERROR(G$1*SQRT($A21)*_xlfn.NORM.S.DIST((LN(G$1 / MonteCarlo!$B$5) + (MonteCarlo!$B$9 + MonteCarlo!$B$7 ^ 2 / 2) *$A21) / (MonteCarlo!$B$7 * SQRT($A21)),FALSE),"")</f>
        <v/>
      </c>
      <c r="H21" t="str">
        <f>IFERROR(H$1*SQRT($A21)*_xlfn.NORM.S.DIST((LN(H$1 / MonteCarlo!$B$5) + (MonteCarlo!$B$9 + MonteCarlo!$B$7 ^ 2 / 2) *$A21) / (MonteCarlo!$B$7 * SQRT($A21)),FALSE),"")</f>
        <v/>
      </c>
      <c r="I21" t="str">
        <f>IFERROR(I$1*SQRT($A21)*_xlfn.NORM.S.DIST((LN(I$1 / MonteCarlo!$B$5) + (MonteCarlo!$B$9 + MonteCarlo!$B$7 ^ 2 / 2) *$A21) / (MonteCarlo!$B$7 * SQRT($A21)),FALSE),"")</f>
        <v/>
      </c>
      <c r="J21" t="str">
        <f>IFERROR(J$1*SQRT($A21)*_xlfn.NORM.S.DIST((LN(J$1 / MonteCarlo!$B$5) + (MonteCarlo!$B$9 + MonteCarlo!$B$7 ^ 2 / 2) *$A21) / (MonteCarlo!$B$7 * SQRT($A21)),FALSE),"")</f>
        <v/>
      </c>
      <c r="K21" t="str">
        <f>IFERROR(K$1*SQRT($A21)*_xlfn.NORM.S.DIST((LN(K$1 / MonteCarlo!$B$5) + (MonteCarlo!$B$9 + MonteCarlo!$B$7 ^ 2 / 2) *$A21) / (MonteCarlo!$B$7 * SQRT($A21)),FALSE),"")</f>
        <v/>
      </c>
      <c r="L21" t="str">
        <f>IFERROR(L$1*SQRT($A21)*_xlfn.NORM.S.DIST((LN(L$1 / MonteCarlo!$B$5) + (MonteCarlo!$B$9 + MonteCarlo!$B$7 ^ 2 / 2) *$A21) / (MonteCarlo!$B$7 * SQRT($A21)),FALSE),"")</f>
        <v/>
      </c>
      <c r="M21" t="str">
        <f>IFERROR(M$1*SQRT($A21)*_xlfn.NORM.S.DIST((LN(M$1 / MonteCarlo!$B$5) + (MonteCarlo!$B$9 + MonteCarlo!$B$7 ^ 2 / 2) *$A21) / (MonteCarlo!$B$7 * SQRT($A21)),FALSE),"")</f>
        <v/>
      </c>
      <c r="N21" t="str">
        <f>IFERROR(N$1*SQRT($A21)*_xlfn.NORM.S.DIST((LN(N$1 / MonteCarlo!$B$5) + (MonteCarlo!$B$9 + MonteCarlo!$B$7 ^ 2 / 2) *$A21) / (MonteCarlo!$B$7 * SQRT($A21)),FALSE),"")</f>
        <v/>
      </c>
      <c r="O21" t="str">
        <f>IFERROR(O$1*SQRT($A21)*_xlfn.NORM.S.DIST((LN(O$1 / MonteCarlo!$B$5) + (MonteCarlo!$B$9 + MonteCarlo!$B$7 ^ 2 / 2) *$A21) / (MonteCarlo!$B$7 * SQRT($A21)),FALSE),"")</f>
        <v/>
      </c>
      <c r="P21" t="str">
        <f>IFERROR(P$1*SQRT($A21)*_xlfn.NORM.S.DIST((LN(P$1 / MonteCarlo!$B$5) + (MonteCarlo!$B$9 + MonteCarlo!$B$7 ^ 2 / 2) *$A21) / (MonteCarlo!$B$7 * SQRT($A21)),FALSE),"")</f>
        <v/>
      </c>
      <c r="Q21" t="str">
        <f>IFERROR(Q$1*SQRT($A21)*_xlfn.NORM.S.DIST((LN(Q$1 / MonteCarlo!$B$5) + (MonteCarlo!$B$9 + MonteCarlo!$B$7 ^ 2 / 2) *$A21) / (MonteCarlo!$B$7 * SQRT($A21)),FALSE),"")</f>
        <v/>
      </c>
      <c r="R21" t="str">
        <f>IFERROR(R$1*SQRT($A21)*_xlfn.NORM.S.DIST((LN(R$1 / MonteCarlo!$B$5) + (MonteCarlo!$B$9 + MonteCarlo!$B$7 ^ 2 / 2) *$A21) / (MonteCarlo!$B$7 * SQRT($A21)),FALSE),"")</f>
        <v/>
      </c>
      <c r="S21" t="str">
        <f>IFERROR(S$1*SQRT($A21)*_xlfn.NORM.S.DIST((LN(S$1 / MonteCarlo!$B$5) + (MonteCarlo!$B$9 + MonteCarlo!$B$7 ^ 2 / 2) *$A21) / (MonteCarlo!$B$7 * SQRT($A21)),FALSE),"")</f>
        <v/>
      </c>
      <c r="T21" t="str">
        <f>IFERROR(T$1*SQRT($A21)*_xlfn.NORM.S.DIST((LN(T$1 / MonteCarlo!$B$5) + (MonteCarlo!$B$9 + MonteCarlo!$B$7 ^ 2 / 2) *$A21) / (MonteCarlo!$B$7 * SQRT($A21)),FALSE),"")</f>
        <v/>
      </c>
      <c r="U21" t="str">
        <f>IFERROR(U$1*SQRT($A21)*_xlfn.NORM.S.DIST((LN(U$1 / MonteCarlo!$B$5) + (MonteCarlo!$B$9 + MonteCarlo!$B$7 ^ 2 / 2) *$A21) / (MonteCarlo!$B$7 * SQRT($A21)),FALSE),"")</f>
        <v/>
      </c>
      <c r="V21" t="str">
        <f>IFERROR(V$1*SQRT($A21)*_xlfn.NORM.S.DIST((LN(V$1 / MonteCarlo!$B$5) + (MonteCarlo!$B$9 + MonteCarlo!$B$7 ^ 2 / 2) *$A21) / (MonteCarlo!$B$7 * SQRT($A21)),FALSE),"")</f>
        <v/>
      </c>
      <c r="W21" t="str">
        <f>IFERROR(W$1*SQRT($A21)*_xlfn.NORM.S.DIST((LN(W$1 / MonteCarlo!$B$5) + (MonteCarlo!$B$9 + MonteCarlo!$B$7 ^ 2 / 2) *$A21) / (MonteCarlo!$B$7 * SQRT($A21)),FALSE),"")</f>
        <v/>
      </c>
      <c r="X21" t="str">
        <f>IFERROR(X$1*SQRT($A21)*_xlfn.NORM.S.DIST((LN(X$1 / MonteCarlo!$B$5) + (MonteCarlo!$B$9 + MonteCarlo!$B$7 ^ 2 / 2) *$A21) / (MonteCarlo!$B$7 * SQRT($A21)),FALSE),"")</f>
        <v/>
      </c>
      <c r="Y21" t="str">
        <f>IFERROR(Y$1*SQRT($A21)*_xlfn.NORM.S.DIST((LN(Y$1 / MonteCarlo!$B$5) + (MonteCarlo!$B$9 + MonteCarlo!$B$7 ^ 2 / 2) *$A21) / (MonteCarlo!$B$7 * SQRT($A21)),FALSE),"")</f>
        <v/>
      </c>
      <c r="Z21" t="str">
        <f>IFERROR(Z$1*SQRT($A21)*_xlfn.NORM.S.DIST((LN(Z$1 / MonteCarlo!$B$5) + (MonteCarlo!$B$9 + MonteCarlo!$B$7 ^ 2 / 2) *$A21) / (MonteCarlo!$B$7 * SQRT($A21)),FALSE),"")</f>
        <v/>
      </c>
      <c r="AA21" t="str">
        <f>IFERROR(AA$1*SQRT($A21)*_xlfn.NORM.S.DIST((LN(AA$1 / MonteCarlo!$B$5) + (MonteCarlo!$B$9 + MonteCarlo!$B$7 ^ 2 / 2) *$A21) / (MonteCarlo!$B$7 * SQRT($A21)),FALSE),"")</f>
        <v/>
      </c>
      <c r="AB21" t="str">
        <f>IFERROR(AB$1*SQRT($A21)*_xlfn.NORM.S.DIST((LN(AB$1 / MonteCarlo!$B$5) + (MonteCarlo!$B$9 + MonteCarlo!$B$7 ^ 2 / 2) *$A21) / (MonteCarlo!$B$7 * SQRT($A21)),FALSE),"")</f>
        <v/>
      </c>
      <c r="AC21" t="str">
        <f>IFERROR(AC$1*SQRT($A21)*_xlfn.NORM.S.DIST((LN(AC$1 / MonteCarlo!$B$5) + (MonteCarlo!$B$9 + MonteCarlo!$B$7 ^ 2 / 2) *$A21) / (MonteCarlo!$B$7 * SQRT($A21)),FALSE),"")</f>
        <v/>
      </c>
      <c r="AD21" t="str">
        <f>IFERROR(AD$1*SQRT($A21)*_xlfn.NORM.S.DIST((LN(AD$1 / MonteCarlo!$B$5) + (MonteCarlo!$B$9 + MonteCarlo!$B$7 ^ 2 / 2) *$A21) / (MonteCarlo!$B$7 * SQRT($A21)),FALSE),"")</f>
        <v/>
      </c>
      <c r="AE21" t="str">
        <f>IFERROR(AE$1*SQRT($A21)*_xlfn.NORM.S.DIST((LN(AE$1 / MonteCarlo!$B$5) + (MonteCarlo!$B$9 + MonteCarlo!$B$7 ^ 2 / 2) *$A21) / (MonteCarlo!$B$7 * SQRT($A21)),FALSE),"")</f>
        <v/>
      </c>
      <c r="AF21" t="str">
        <f>IFERROR(AF$1*SQRT($A21)*_xlfn.NORM.S.DIST((LN(AF$1 / MonteCarlo!$B$5) + (MonteCarlo!$B$9 + MonteCarlo!$B$7 ^ 2 / 2) *$A21) / (MonteCarlo!$B$7 * SQRT($A21)),FALSE),"")</f>
        <v/>
      </c>
    </row>
    <row r="22" spans="2:32" x14ac:dyDescent="0.25">
      <c r="B22" t="str">
        <f>IFERROR(B$1*SQRT($A22)*_xlfn.NORM.S.DIST((LN(B$1 / MonteCarlo!$B$5) + (MonteCarlo!$B$9 + MonteCarlo!$B$7 ^ 2 / 2) *$A22) / (MonteCarlo!$B$7 * SQRT($A22)),FALSE),"")</f>
        <v/>
      </c>
      <c r="C22" t="str">
        <f>IFERROR(C$1*SQRT($A22)*_xlfn.NORM.S.DIST((LN(C$1 / MonteCarlo!$B$5) + (MonteCarlo!$B$9 + MonteCarlo!$B$7 ^ 2 / 2) *$A22) / (MonteCarlo!$B$7 * SQRT($A22)),FALSE),"")</f>
        <v/>
      </c>
      <c r="D22" t="str">
        <f>IFERROR(D$1*SQRT($A22)*_xlfn.NORM.S.DIST((LN(D$1 / MonteCarlo!$B$5) + (MonteCarlo!$B$9 + MonteCarlo!$B$7 ^ 2 / 2) *$A22) / (MonteCarlo!$B$7 * SQRT($A22)),FALSE),"")</f>
        <v/>
      </c>
      <c r="E22" t="str">
        <f>IFERROR(E$1*SQRT($A22)*_xlfn.NORM.S.DIST((LN(E$1 / MonteCarlo!$B$5) + (MonteCarlo!$B$9 + MonteCarlo!$B$7 ^ 2 / 2) *$A22) / (MonteCarlo!$B$7 * SQRT($A22)),FALSE),"")</f>
        <v/>
      </c>
      <c r="F22" t="str">
        <f>IFERROR(F$1*SQRT($A22)*_xlfn.NORM.S.DIST((LN(F$1 / MonteCarlo!$B$5) + (MonteCarlo!$B$9 + MonteCarlo!$B$7 ^ 2 / 2) *$A22) / (MonteCarlo!$B$7 * SQRT($A22)),FALSE),"")</f>
        <v/>
      </c>
      <c r="G22" t="str">
        <f>IFERROR(G$1*SQRT($A22)*_xlfn.NORM.S.DIST((LN(G$1 / MonteCarlo!$B$5) + (MonteCarlo!$B$9 + MonteCarlo!$B$7 ^ 2 / 2) *$A22) / (MonteCarlo!$B$7 * SQRT($A22)),FALSE),"")</f>
        <v/>
      </c>
      <c r="H22" t="str">
        <f>IFERROR(H$1*SQRT($A22)*_xlfn.NORM.S.DIST((LN(H$1 / MonteCarlo!$B$5) + (MonteCarlo!$B$9 + MonteCarlo!$B$7 ^ 2 / 2) *$A22) / (MonteCarlo!$B$7 * SQRT($A22)),FALSE),"")</f>
        <v/>
      </c>
      <c r="I22" t="str">
        <f>IFERROR(I$1*SQRT($A22)*_xlfn.NORM.S.DIST((LN(I$1 / MonteCarlo!$B$5) + (MonteCarlo!$B$9 + MonteCarlo!$B$7 ^ 2 / 2) *$A22) / (MonteCarlo!$B$7 * SQRT($A22)),FALSE),"")</f>
        <v/>
      </c>
      <c r="J22" t="str">
        <f>IFERROR(J$1*SQRT($A22)*_xlfn.NORM.S.DIST((LN(J$1 / MonteCarlo!$B$5) + (MonteCarlo!$B$9 + MonteCarlo!$B$7 ^ 2 / 2) *$A22) / (MonteCarlo!$B$7 * SQRT($A22)),FALSE),"")</f>
        <v/>
      </c>
      <c r="K22" t="str">
        <f>IFERROR(K$1*SQRT($A22)*_xlfn.NORM.S.DIST((LN(K$1 / MonteCarlo!$B$5) + (MonteCarlo!$B$9 + MonteCarlo!$B$7 ^ 2 / 2) *$A22) / (MonteCarlo!$B$7 * SQRT($A22)),FALSE),"")</f>
        <v/>
      </c>
      <c r="L22" t="str">
        <f>IFERROR(L$1*SQRT($A22)*_xlfn.NORM.S.DIST((LN(L$1 / MonteCarlo!$B$5) + (MonteCarlo!$B$9 + MonteCarlo!$B$7 ^ 2 / 2) *$A22) / (MonteCarlo!$B$7 * SQRT($A22)),FALSE),"")</f>
        <v/>
      </c>
      <c r="M22" t="str">
        <f>IFERROR(M$1*SQRT($A22)*_xlfn.NORM.S.DIST((LN(M$1 / MonteCarlo!$B$5) + (MonteCarlo!$B$9 + MonteCarlo!$B$7 ^ 2 / 2) *$A22) / (MonteCarlo!$B$7 * SQRT($A22)),FALSE),"")</f>
        <v/>
      </c>
      <c r="N22" t="str">
        <f>IFERROR(N$1*SQRT($A22)*_xlfn.NORM.S.DIST((LN(N$1 / MonteCarlo!$B$5) + (MonteCarlo!$B$9 + MonteCarlo!$B$7 ^ 2 / 2) *$A22) / (MonteCarlo!$B$7 * SQRT($A22)),FALSE),"")</f>
        <v/>
      </c>
      <c r="O22" t="str">
        <f>IFERROR(O$1*SQRT($A22)*_xlfn.NORM.S.DIST((LN(O$1 / MonteCarlo!$B$5) + (MonteCarlo!$B$9 + MonteCarlo!$B$7 ^ 2 / 2) *$A22) / (MonteCarlo!$B$7 * SQRT($A22)),FALSE),"")</f>
        <v/>
      </c>
      <c r="P22" t="str">
        <f>IFERROR(P$1*SQRT($A22)*_xlfn.NORM.S.DIST((LN(P$1 / MonteCarlo!$B$5) + (MonteCarlo!$B$9 + MonteCarlo!$B$7 ^ 2 / 2) *$A22) / (MonteCarlo!$B$7 * SQRT($A22)),FALSE),"")</f>
        <v/>
      </c>
      <c r="Q22" t="str">
        <f>IFERROR(Q$1*SQRT($A22)*_xlfn.NORM.S.DIST((LN(Q$1 / MonteCarlo!$B$5) + (MonteCarlo!$B$9 + MonteCarlo!$B$7 ^ 2 / 2) *$A22) / (MonteCarlo!$B$7 * SQRT($A22)),FALSE),"")</f>
        <v/>
      </c>
      <c r="R22" t="str">
        <f>IFERROR(R$1*SQRT($A22)*_xlfn.NORM.S.DIST((LN(R$1 / MonteCarlo!$B$5) + (MonteCarlo!$B$9 + MonteCarlo!$B$7 ^ 2 / 2) *$A22) / (MonteCarlo!$B$7 * SQRT($A22)),FALSE),"")</f>
        <v/>
      </c>
      <c r="S22" t="str">
        <f>IFERROR(S$1*SQRT($A22)*_xlfn.NORM.S.DIST((LN(S$1 / MonteCarlo!$B$5) + (MonteCarlo!$B$9 + MonteCarlo!$B$7 ^ 2 / 2) *$A22) / (MonteCarlo!$B$7 * SQRT($A22)),FALSE),"")</f>
        <v/>
      </c>
      <c r="T22" t="str">
        <f>IFERROR(T$1*SQRT($A22)*_xlfn.NORM.S.DIST((LN(T$1 / MonteCarlo!$B$5) + (MonteCarlo!$B$9 + MonteCarlo!$B$7 ^ 2 / 2) *$A22) / (MonteCarlo!$B$7 * SQRT($A22)),FALSE),"")</f>
        <v/>
      </c>
      <c r="U22" t="str">
        <f>IFERROR(U$1*SQRT($A22)*_xlfn.NORM.S.DIST((LN(U$1 / MonteCarlo!$B$5) + (MonteCarlo!$B$9 + MonteCarlo!$B$7 ^ 2 / 2) *$A22) / (MonteCarlo!$B$7 * SQRT($A22)),FALSE),"")</f>
        <v/>
      </c>
      <c r="V22" t="str">
        <f>IFERROR(V$1*SQRT($A22)*_xlfn.NORM.S.DIST((LN(V$1 / MonteCarlo!$B$5) + (MonteCarlo!$B$9 + MonteCarlo!$B$7 ^ 2 / 2) *$A22) / (MonteCarlo!$B$7 * SQRT($A22)),FALSE),"")</f>
        <v/>
      </c>
      <c r="W22" t="str">
        <f>IFERROR(W$1*SQRT($A22)*_xlfn.NORM.S.DIST((LN(W$1 / MonteCarlo!$B$5) + (MonteCarlo!$B$9 + MonteCarlo!$B$7 ^ 2 / 2) *$A22) / (MonteCarlo!$B$7 * SQRT($A22)),FALSE),"")</f>
        <v/>
      </c>
      <c r="X22" t="str">
        <f>IFERROR(X$1*SQRT($A22)*_xlfn.NORM.S.DIST((LN(X$1 / MonteCarlo!$B$5) + (MonteCarlo!$B$9 + MonteCarlo!$B$7 ^ 2 / 2) *$A22) / (MonteCarlo!$B$7 * SQRT($A22)),FALSE),"")</f>
        <v/>
      </c>
      <c r="Y22" t="str">
        <f>IFERROR(Y$1*SQRT($A22)*_xlfn.NORM.S.DIST((LN(Y$1 / MonteCarlo!$B$5) + (MonteCarlo!$B$9 + MonteCarlo!$B$7 ^ 2 / 2) *$A22) / (MonteCarlo!$B$7 * SQRT($A22)),FALSE),"")</f>
        <v/>
      </c>
      <c r="Z22" t="str">
        <f>IFERROR(Z$1*SQRT($A22)*_xlfn.NORM.S.DIST((LN(Z$1 / MonteCarlo!$B$5) + (MonteCarlo!$B$9 + MonteCarlo!$B$7 ^ 2 / 2) *$A22) / (MonteCarlo!$B$7 * SQRT($A22)),FALSE),"")</f>
        <v/>
      </c>
      <c r="AA22" t="str">
        <f>IFERROR(AA$1*SQRT($A22)*_xlfn.NORM.S.DIST((LN(AA$1 / MonteCarlo!$B$5) + (MonteCarlo!$B$9 + MonteCarlo!$B$7 ^ 2 / 2) *$A22) / (MonteCarlo!$B$7 * SQRT($A22)),FALSE),"")</f>
        <v/>
      </c>
      <c r="AB22" t="str">
        <f>IFERROR(AB$1*SQRT($A22)*_xlfn.NORM.S.DIST((LN(AB$1 / MonteCarlo!$B$5) + (MonteCarlo!$B$9 + MonteCarlo!$B$7 ^ 2 / 2) *$A22) / (MonteCarlo!$B$7 * SQRT($A22)),FALSE),"")</f>
        <v/>
      </c>
      <c r="AC22" t="str">
        <f>IFERROR(AC$1*SQRT($A22)*_xlfn.NORM.S.DIST((LN(AC$1 / MonteCarlo!$B$5) + (MonteCarlo!$B$9 + MonteCarlo!$B$7 ^ 2 / 2) *$A22) / (MonteCarlo!$B$7 * SQRT($A22)),FALSE),"")</f>
        <v/>
      </c>
      <c r="AD22" t="str">
        <f>IFERROR(AD$1*SQRT($A22)*_xlfn.NORM.S.DIST((LN(AD$1 / MonteCarlo!$B$5) + (MonteCarlo!$B$9 + MonteCarlo!$B$7 ^ 2 / 2) *$A22) / (MonteCarlo!$B$7 * SQRT($A22)),FALSE),"")</f>
        <v/>
      </c>
      <c r="AE22" t="str">
        <f>IFERROR(AE$1*SQRT($A22)*_xlfn.NORM.S.DIST((LN(AE$1 / MonteCarlo!$B$5) + (MonteCarlo!$B$9 + MonteCarlo!$B$7 ^ 2 / 2) *$A22) / (MonteCarlo!$B$7 * SQRT($A22)),FALSE),"")</f>
        <v/>
      </c>
      <c r="AF22" t="str">
        <f>IFERROR(AF$1*SQRT($A22)*_xlfn.NORM.S.DIST((LN(AF$1 / MonteCarlo!$B$5) + (MonteCarlo!$B$9 + MonteCarlo!$B$7 ^ 2 / 2) *$A22) / (MonteCarlo!$B$7 * SQRT($A22)),FALSE),"")</f>
        <v/>
      </c>
    </row>
    <row r="23" spans="2:32" x14ac:dyDescent="0.25">
      <c r="B23" t="str">
        <f>IFERROR(B$1*SQRT($A23)*_xlfn.NORM.S.DIST((LN(B$1 / MonteCarlo!$B$5) + (MonteCarlo!$B$9 + MonteCarlo!$B$7 ^ 2 / 2) *$A23) / (MonteCarlo!$B$7 * SQRT($A23)),FALSE),"")</f>
        <v/>
      </c>
      <c r="C23" t="str">
        <f>IFERROR(C$1*SQRT($A23)*_xlfn.NORM.S.DIST((LN(C$1 / MonteCarlo!$B$5) + (MonteCarlo!$B$9 + MonteCarlo!$B$7 ^ 2 / 2) *$A23) / (MonteCarlo!$B$7 * SQRT($A23)),FALSE),"")</f>
        <v/>
      </c>
      <c r="D23" t="str">
        <f>IFERROR(D$1*SQRT($A23)*_xlfn.NORM.S.DIST((LN(D$1 / MonteCarlo!$B$5) + (MonteCarlo!$B$9 + MonteCarlo!$B$7 ^ 2 / 2) *$A23) / (MonteCarlo!$B$7 * SQRT($A23)),FALSE),"")</f>
        <v/>
      </c>
      <c r="E23" t="str">
        <f>IFERROR(E$1*SQRT($A23)*_xlfn.NORM.S.DIST((LN(E$1 / MonteCarlo!$B$5) + (MonteCarlo!$B$9 + MonteCarlo!$B$7 ^ 2 / 2) *$A23) / (MonteCarlo!$B$7 * SQRT($A23)),FALSE),"")</f>
        <v/>
      </c>
      <c r="F23" t="str">
        <f>IFERROR(F$1*SQRT($A23)*_xlfn.NORM.S.DIST((LN(F$1 / MonteCarlo!$B$5) + (MonteCarlo!$B$9 + MonteCarlo!$B$7 ^ 2 / 2) *$A23) / (MonteCarlo!$B$7 * SQRT($A23)),FALSE),"")</f>
        <v/>
      </c>
      <c r="G23" t="str">
        <f>IFERROR(G$1*SQRT($A23)*_xlfn.NORM.S.DIST((LN(G$1 / MonteCarlo!$B$5) + (MonteCarlo!$B$9 + MonteCarlo!$B$7 ^ 2 / 2) *$A23) / (MonteCarlo!$B$7 * SQRT($A23)),FALSE),"")</f>
        <v/>
      </c>
      <c r="H23" t="str">
        <f>IFERROR(H$1*SQRT($A23)*_xlfn.NORM.S.DIST((LN(H$1 / MonteCarlo!$B$5) + (MonteCarlo!$B$9 + MonteCarlo!$B$7 ^ 2 / 2) *$A23) / (MonteCarlo!$B$7 * SQRT($A23)),FALSE),"")</f>
        <v/>
      </c>
      <c r="I23" t="str">
        <f>IFERROR(I$1*SQRT($A23)*_xlfn.NORM.S.DIST((LN(I$1 / MonteCarlo!$B$5) + (MonteCarlo!$B$9 + MonteCarlo!$B$7 ^ 2 / 2) *$A23) / (MonteCarlo!$B$7 * SQRT($A23)),FALSE),"")</f>
        <v/>
      </c>
      <c r="J23" t="str">
        <f>IFERROR(J$1*SQRT($A23)*_xlfn.NORM.S.DIST((LN(J$1 / MonteCarlo!$B$5) + (MonteCarlo!$B$9 + MonteCarlo!$B$7 ^ 2 / 2) *$A23) / (MonteCarlo!$B$7 * SQRT($A23)),FALSE),"")</f>
        <v/>
      </c>
      <c r="K23" t="str">
        <f>IFERROR(K$1*SQRT($A23)*_xlfn.NORM.S.DIST((LN(K$1 / MonteCarlo!$B$5) + (MonteCarlo!$B$9 + MonteCarlo!$B$7 ^ 2 / 2) *$A23) / (MonteCarlo!$B$7 * SQRT($A23)),FALSE),"")</f>
        <v/>
      </c>
      <c r="L23" t="str">
        <f>IFERROR(L$1*SQRT($A23)*_xlfn.NORM.S.DIST((LN(L$1 / MonteCarlo!$B$5) + (MonteCarlo!$B$9 + MonteCarlo!$B$7 ^ 2 / 2) *$A23) / (MonteCarlo!$B$7 * SQRT($A23)),FALSE),"")</f>
        <v/>
      </c>
      <c r="M23" t="str">
        <f>IFERROR(M$1*SQRT($A23)*_xlfn.NORM.S.DIST((LN(M$1 / MonteCarlo!$B$5) + (MonteCarlo!$B$9 + MonteCarlo!$B$7 ^ 2 / 2) *$A23) / (MonteCarlo!$B$7 * SQRT($A23)),FALSE),"")</f>
        <v/>
      </c>
      <c r="N23" t="str">
        <f>IFERROR(N$1*SQRT($A23)*_xlfn.NORM.S.DIST((LN(N$1 / MonteCarlo!$B$5) + (MonteCarlo!$B$9 + MonteCarlo!$B$7 ^ 2 / 2) *$A23) / (MonteCarlo!$B$7 * SQRT($A23)),FALSE),"")</f>
        <v/>
      </c>
      <c r="O23" t="str">
        <f>IFERROR(O$1*SQRT($A23)*_xlfn.NORM.S.DIST((LN(O$1 / MonteCarlo!$B$5) + (MonteCarlo!$B$9 + MonteCarlo!$B$7 ^ 2 / 2) *$A23) / (MonteCarlo!$B$7 * SQRT($A23)),FALSE),"")</f>
        <v/>
      </c>
      <c r="P23" t="str">
        <f>IFERROR(P$1*SQRT($A23)*_xlfn.NORM.S.DIST((LN(P$1 / MonteCarlo!$B$5) + (MonteCarlo!$B$9 + MonteCarlo!$B$7 ^ 2 / 2) *$A23) / (MonteCarlo!$B$7 * SQRT($A23)),FALSE),"")</f>
        <v/>
      </c>
      <c r="Q23" t="str">
        <f>IFERROR(Q$1*SQRT($A23)*_xlfn.NORM.S.DIST((LN(Q$1 / MonteCarlo!$B$5) + (MonteCarlo!$B$9 + MonteCarlo!$B$7 ^ 2 / 2) *$A23) / (MonteCarlo!$B$7 * SQRT($A23)),FALSE),"")</f>
        <v/>
      </c>
      <c r="R23" t="str">
        <f>IFERROR(R$1*SQRT($A23)*_xlfn.NORM.S.DIST((LN(R$1 / MonteCarlo!$B$5) + (MonteCarlo!$B$9 + MonteCarlo!$B$7 ^ 2 / 2) *$A23) / (MonteCarlo!$B$7 * SQRT($A23)),FALSE),"")</f>
        <v/>
      </c>
      <c r="S23" t="str">
        <f>IFERROR(S$1*SQRT($A23)*_xlfn.NORM.S.DIST((LN(S$1 / MonteCarlo!$B$5) + (MonteCarlo!$B$9 + MonteCarlo!$B$7 ^ 2 / 2) *$A23) / (MonteCarlo!$B$7 * SQRT($A23)),FALSE),"")</f>
        <v/>
      </c>
      <c r="T23" t="str">
        <f>IFERROR(T$1*SQRT($A23)*_xlfn.NORM.S.DIST((LN(T$1 / MonteCarlo!$B$5) + (MonteCarlo!$B$9 + MonteCarlo!$B$7 ^ 2 / 2) *$A23) / (MonteCarlo!$B$7 * SQRT($A23)),FALSE),"")</f>
        <v/>
      </c>
      <c r="U23" t="str">
        <f>IFERROR(U$1*SQRT($A23)*_xlfn.NORM.S.DIST((LN(U$1 / MonteCarlo!$B$5) + (MonteCarlo!$B$9 + MonteCarlo!$B$7 ^ 2 / 2) *$A23) / (MonteCarlo!$B$7 * SQRT($A23)),FALSE),"")</f>
        <v/>
      </c>
      <c r="V23" t="str">
        <f>IFERROR(V$1*SQRT($A23)*_xlfn.NORM.S.DIST((LN(V$1 / MonteCarlo!$B$5) + (MonteCarlo!$B$9 + MonteCarlo!$B$7 ^ 2 / 2) *$A23) / (MonteCarlo!$B$7 * SQRT($A23)),FALSE),"")</f>
        <v/>
      </c>
      <c r="W23" t="str">
        <f>IFERROR(W$1*SQRT($A23)*_xlfn.NORM.S.DIST((LN(W$1 / MonteCarlo!$B$5) + (MonteCarlo!$B$9 + MonteCarlo!$B$7 ^ 2 / 2) *$A23) / (MonteCarlo!$B$7 * SQRT($A23)),FALSE),"")</f>
        <v/>
      </c>
      <c r="X23" t="str">
        <f>IFERROR(X$1*SQRT($A23)*_xlfn.NORM.S.DIST((LN(X$1 / MonteCarlo!$B$5) + (MonteCarlo!$B$9 + MonteCarlo!$B$7 ^ 2 / 2) *$A23) / (MonteCarlo!$B$7 * SQRT($A23)),FALSE),"")</f>
        <v/>
      </c>
      <c r="Y23" t="str">
        <f>IFERROR(Y$1*SQRT($A23)*_xlfn.NORM.S.DIST((LN(Y$1 / MonteCarlo!$B$5) + (MonteCarlo!$B$9 + MonteCarlo!$B$7 ^ 2 / 2) *$A23) / (MonteCarlo!$B$7 * SQRT($A23)),FALSE),"")</f>
        <v/>
      </c>
      <c r="Z23" t="str">
        <f>IFERROR(Z$1*SQRT($A23)*_xlfn.NORM.S.DIST((LN(Z$1 / MonteCarlo!$B$5) + (MonteCarlo!$B$9 + MonteCarlo!$B$7 ^ 2 / 2) *$A23) / (MonteCarlo!$B$7 * SQRT($A23)),FALSE),"")</f>
        <v/>
      </c>
      <c r="AA23" t="str">
        <f>IFERROR(AA$1*SQRT($A23)*_xlfn.NORM.S.DIST((LN(AA$1 / MonteCarlo!$B$5) + (MonteCarlo!$B$9 + MonteCarlo!$B$7 ^ 2 / 2) *$A23) / (MonteCarlo!$B$7 * SQRT($A23)),FALSE),"")</f>
        <v/>
      </c>
      <c r="AB23" t="str">
        <f>IFERROR(AB$1*SQRT($A23)*_xlfn.NORM.S.DIST((LN(AB$1 / MonteCarlo!$B$5) + (MonteCarlo!$B$9 + MonteCarlo!$B$7 ^ 2 / 2) *$A23) / (MonteCarlo!$B$7 * SQRT($A23)),FALSE),"")</f>
        <v/>
      </c>
      <c r="AC23" t="str">
        <f>IFERROR(AC$1*SQRT($A23)*_xlfn.NORM.S.DIST((LN(AC$1 / MonteCarlo!$B$5) + (MonteCarlo!$B$9 + MonteCarlo!$B$7 ^ 2 / 2) *$A23) / (MonteCarlo!$B$7 * SQRT($A23)),FALSE),"")</f>
        <v/>
      </c>
      <c r="AD23" t="str">
        <f>IFERROR(AD$1*SQRT($A23)*_xlfn.NORM.S.DIST((LN(AD$1 / MonteCarlo!$B$5) + (MonteCarlo!$B$9 + MonteCarlo!$B$7 ^ 2 / 2) *$A23) / (MonteCarlo!$B$7 * SQRT($A23)),FALSE),"")</f>
        <v/>
      </c>
      <c r="AE23" t="str">
        <f>IFERROR(AE$1*SQRT($A23)*_xlfn.NORM.S.DIST((LN(AE$1 / MonteCarlo!$B$5) + (MonteCarlo!$B$9 + MonteCarlo!$B$7 ^ 2 / 2) *$A23) / (MonteCarlo!$B$7 * SQRT($A23)),FALSE),"")</f>
        <v/>
      </c>
      <c r="AF23" t="str">
        <f>IFERROR(AF$1*SQRT($A23)*_xlfn.NORM.S.DIST((LN(AF$1 / MonteCarlo!$B$5) + (MonteCarlo!$B$9 + MonteCarlo!$B$7 ^ 2 / 2) *$A23) / (MonteCarlo!$B$7 * SQRT($A23)),FALSE),"")</f>
        <v/>
      </c>
    </row>
    <row r="24" spans="2:32" x14ac:dyDescent="0.25">
      <c r="B24" t="str">
        <f>IFERROR(B$1*SQRT($A24)*_xlfn.NORM.S.DIST((LN(B$1 / MonteCarlo!$B$5) + (MonteCarlo!$B$9 + MonteCarlo!$B$7 ^ 2 / 2) *$A24) / (MonteCarlo!$B$7 * SQRT($A24)),FALSE),"")</f>
        <v/>
      </c>
      <c r="C24" t="str">
        <f>IFERROR(C$1*SQRT($A24)*_xlfn.NORM.S.DIST((LN(C$1 / MonteCarlo!$B$5) + (MonteCarlo!$B$9 + MonteCarlo!$B$7 ^ 2 / 2) *$A24) / (MonteCarlo!$B$7 * SQRT($A24)),FALSE),"")</f>
        <v/>
      </c>
      <c r="D24" t="str">
        <f>IFERROR(D$1*SQRT($A24)*_xlfn.NORM.S.DIST((LN(D$1 / MonteCarlo!$B$5) + (MonteCarlo!$B$9 + MonteCarlo!$B$7 ^ 2 / 2) *$A24) / (MonteCarlo!$B$7 * SQRT($A24)),FALSE),"")</f>
        <v/>
      </c>
      <c r="E24" t="str">
        <f>IFERROR(E$1*SQRT($A24)*_xlfn.NORM.S.DIST((LN(E$1 / MonteCarlo!$B$5) + (MonteCarlo!$B$9 + MonteCarlo!$B$7 ^ 2 / 2) *$A24) / (MonteCarlo!$B$7 * SQRT($A24)),FALSE),"")</f>
        <v/>
      </c>
      <c r="F24" t="str">
        <f>IFERROR(F$1*SQRT($A24)*_xlfn.NORM.S.DIST((LN(F$1 / MonteCarlo!$B$5) + (MonteCarlo!$B$9 + MonteCarlo!$B$7 ^ 2 / 2) *$A24) / (MonteCarlo!$B$7 * SQRT($A24)),FALSE),"")</f>
        <v/>
      </c>
      <c r="G24" t="str">
        <f>IFERROR(G$1*SQRT($A24)*_xlfn.NORM.S.DIST((LN(G$1 / MonteCarlo!$B$5) + (MonteCarlo!$B$9 + MonteCarlo!$B$7 ^ 2 / 2) *$A24) / (MonteCarlo!$B$7 * SQRT($A24)),FALSE),"")</f>
        <v/>
      </c>
      <c r="H24" t="str">
        <f>IFERROR(H$1*SQRT($A24)*_xlfn.NORM.S.DIST((LN(H$1 / MonteCarlo!$B$5) + (MonteCarlo!$B$9 + MonteCarlo!$B$7 ^ 2 / 2) *$A24) / (MonteCarlo!$B$7 * SQRT($A24)),FALSE),"")</f>
        <v/>
      </c>
      <c r="I24" t="str">
        <f>IFERROR(I$1*SQRT($A24)*_xlfn.NORM.S.DIST((LN(I$1 / MonteCarlo!$B$5) + (MonteCarlo!$B$9 + MonteCarlo!$B$7 ^ 2 / 2) *$A24) / (MonteCarlo!$B$7 * SQRT($A24)),FALSE),"")</f>
        <v/>
      </c>
      <c r="J24" t="str">
        <f>IFERROR(J$1*SQRT($A24)*_xlfn.NORM.S.DIST((LN(J$1 / MonteCarlo!$B$5) + (MonteCarlo!$B$9 + MonteCarlo!$B$7 ^ 2 / 2) *$A24) / (MonteCarlo!$B$7 * SQRT($A24)),FALSE),"")</f>
        <v/>
      </c>
      <c r="K24" t="str">
        <f>IFERROR(K$1*SQRT($A24)*_xlfn.NORM.S.DIST((LN(K$1 / MonteCarlo!$B$5) + (MonteCarlo!$B$9 + MonteCarlo!$B$7 ^ 2 / 2) *$A24) / (MonteCarlo!$B$7 * SQRT($A24)),FALSE),"")</f>
        <v/>
      </c>
      <c r="L24" t="str">
        <f>IFERROR(L$1*SQRT($A24)*_xlfn.NORM.S.DIST((LN(L$1 / MonteCarlo!$B$5) + (MonteCarlo!$B$9 + MonteCarlo!$B$7 ^ 2 / 2) *$A24) / (MonteCarlo!$B$7 * SQRT($A24)),FALSE),"")</f>
        <v/>
      </c>
      <c r="M24" t="str">
        <f>IFERROR(M$1*SQRT($A24)*_xlfn.NORM.S.DIST((LN(M$1 / MonteCarlo!$B$5) + (MonteCarlo!$B$9 + MonteCarlo!$B$7 ^ 2 / 2) *$A24) / (MonteCarlo!$B$7 * SQRT($A24)),FALSE),"")</f>
        <v/>
      </c>
      <c r="N24" t="str">
        <f>IFERROR(N$1*SQRT($A24)*_xlfn.NORM.S.DIST((LN(N$1 / MonteCarlo!$B$5) + (MonteCarlo!$B$9 + MonteCarlo!$B$7 ^ 2 / 2) *$A24) / (MonteCarlo!$B$7 * SQRT($A24)),FALSE),"")</f>
        <v/>
      </c>
      <c r="O24" t="str">
        <f>IFERROR(O$1*SQRT($A24)*_xlfn.NORM.S.DIST((LN(O$1 / MonteCarlo!$B$5) + (MonteCarlo!$B$9 + MonteCarlo!$B$7 ^ 2 / 2) *$A24) / (MonteCarlo!$B$7 * SQRT($A24)),FALSE),"")</f>
        <v/>
      </c>
      <c r="P24" t="str">
        <f>IFERROR(P$1*SQRT($A24)*_xlfn.NORM.S.DIST((LN(P$1 / MonteCarlo!$B$5) + (MonteCarlo!$B$9 + MonteCarlo!$B$7 ^ 2 / 2) *$A24) / (MonteCarlo!$B$7 * SQRT($A24)),FALSE),"")</f>
        <v/>
      </c>
      <c r="Q24" t="str">
        <f>IFERROR(Q$1*SQRT($A24)*_xlfn.NORM.S.DIST((LN(Q$1 / MonteCarlo!$B$5) + (MonteCarlo!$B$9 + MonteCarlo!$B$7 ^ 2 / 2) *$A24) / (MonteCarlo!$B$7 * SQRT($A24)),FALSE),"")</f>
        <v/>
      </c>
      <c r="R24" t="str">
        <f>IFERROR(R$1*SQRT($A24)*_xlfn.NORM.S.DIST((LN(R$1 / MonteCarlo!$B$5) + (MonteCarlo!$B$9 + MonteCarlo!$B$7 ^ 2 / 2) *$A24) / (MonteCarlo!$B$7 * SQRT($A24)),FALSE),"")</f>
        <v/>
      </c>
      <c r="S24" t="str">
        <f>IFERROR(S$1*SQRT($A24)*_xlfn.NORM.S.DIST((LN(S$1 / MonteCarlo!$B$5) + (MonteCarlo!$B$9 + MonteCarlo!$B$7 ^ 2 / 2) *$A24) / (MonteCarlo!$B$7 * SQRT($A24)),FALSE),"")</f>
        <v/>
      </c>
      <c r="T24" t="str">
        <f>IFERROR(T$1*SQRT($A24)*_xlfn.NORM.S.DIST((LN(T$1 / MonteCarlo!$B$5) + (MonteCarlo!$B$9 + MonteCarlo!$B$7 ^ 2 / 2) *$A24) / (MonteCarlo!$B$7 * SQRT($A24)),FALSE),"")</f>
        <v/>
      </c>
      <c r="U24" t="str">
        <f>IFERROR(U$1*SQRT($A24)*_xlfn.NORM.S.DIST((LN(U$1 / MonteCarlo!$B$5) + (MonteCarlo!$B$9 + MonteCarlo!$B$7 ^ 2 / 2) *$A24) / (MonteCarlo!$B$7 * SQRT($A24)),FALSE),"")</f>
        <v/>
      </c>
      <c r="V24" t="str">
        <f>IFERROR(V$1*SQRT($A24)*_xlfn.NORM.S.DIST((LN(V$1 / MonteCarlo!$B$5) + (MonteCarlo!$B$9 + MonteCarlo!$B$7 ^ 2 / 2) *$A24) / (MonteCarlo!$B$7 * SQRT($A24)),FALSE),"")</f>
        <v/>
      </c>
      <c r="W24" t="str">
        <f>IFERROR(W$1*SQRT($A24)*_xlfn.NORM.S.DIST((LN(W$1 / MonteCarlo!$B$5) + (MonteCarlo!$B$9 + MonteCarlo!$B$7 ^ 2 / 2) *$A24) / (MonteCarlo!$B$7 * SQRT($A24)),FALSE),"")</f>
        <v/>
      </c>
      <c r="X24" t="str">
        <f>IFERROR(X$1*SQRT($A24)*_xlfn.NORM.S.DIST((LN(X$1 / MonteCarlo!$B$5) + (MonteCarlo!$B$9 + MonteCarlo!$B$7 ^ 2 / 2) *$A24) / (MonteCarlo!$B$7 * SQRT($A24)),FALSE),"")</f>
        <v/>
      </c>
      <c r="Y24" t="str">
        <f>IFERROR(Y$1*SQRT($A24)*_xlfn.NORM.S.DIST((LN(Y$1 / MonteCarlo!$B$5) + (MonteCarlo!$B$9 + MonteCarlo!$B$7 ^ 2 / 2) *$A24) / (MonteCarlo!$B$7 * SQRT($A24)),FALSE),"")</f>
        <v/>
      </c>
      <c r="Z24" t="str">
        <f>IFERROR(Z$1*SQRT($A24)*_xlfn.NORM.S.DIST((LN(Z$1 / MonteCarlo!$B$5) + (MonteCarlo!$B$9 + MonteCarlo!$B$7 ^ 2 / 2) *$A24) / (MonteCarlo!$B$7 * SQRT($A24)),FALSE),"")</f>
        <v/>
      </c>
      <c r="AA24" t="str">
        <f>IFERROR(AA$1*SQRT($A24)*_xlfn.NORM.S.DIST((LN(AA$1 / MonteCarlo!$B$5) + (MonteCarlo!$B$9 + MonteCarlo!$B$7 ^ 2 / 2) *$A24) / (MonteCarlo!$B$7 * SQRT($A24)),FALSE),"")</f>
        <v/>
      </c>
      <c r="AB24" t="str">
        <f>IFERROR(AB$1*SQRT($A24)*_xlfn.NORM.S.DIST((LN(AB$1 / MonteCarlo!$B$5) + (MonteCarlo!$B$9 + MonteCarlo!$B$7 ^ 2 / 2) *$A24) / (MonteCarlo!$B$7 * SQRT($A24)),FALSE),"")</f>
        <v/>
      </c>
      <c r="AC24" t="str">
        <f>IFERROR(AC$1*SQRT($A24)*_xlfn.NORM.S.DIST((LN(AC$1 / MonteCarlo!$B$5) + (MonteCarlo!$B$9 + MonteCarlo!$B$7 ^ 2 / 2) *$A24) / (MonteCarlo!$B$7 * SQRT($A24)),FALSE),"")</f>
        <v/>
      </c>
      <c r="AD24" t="str">
        <f>IFERROR(AD$1*SQRT($A24)*_xlfn.NORM.S.DIST((LN(AD$1 / MonteCarlo!$B$5) + (MonteCarlo!$B$9 + MonteCarlo!$B$7 ^ 2 / 2) *$A24) / (MonteCarlo!$B$7 * SQRT($A24)),FALSE),"")</f>
        <v/>
      </c>
      <c r="AE24" t="str">
        <f>IFERROR(AE$1*SQRT($A24)*_xlfn.NORM.S.DIST((LN(AE$1 / MonteCarlo!$B$5) + (MonteCarlo!$B$9 + MonteCarlo!$B$7 ^ 2 / 2) *$A24) / (MonteCarlo!$B$7 * SQRT($A24)),FALSE),"")</f>
        <v/>
      </c>
      <c r="AF24" t="str">
        <f>IFERROR(AF$1*SQRT($A24)*_xlfn.NORM.S.DIST((LN(AF$1 / MonteCarlo!$B$5) + (MonteCarlo!$B$9 + MonteCarlo!$B$7 ^ 2 / 2) *$A24) / (MonteCarlo!$B$7 * SQRT($A24)),FALSE),"")</f>
        <v/>
      </c>
    </row>
    <row r="25" spans="2:32" x14ac:dyDescent="0.25">
      <c r="B25" t="str">
        <f>IFERROR(B$1*SQRT($A25)*_xlfn.NORM.S.DIST((LN(B$1 / MonteCarlo!$B$5) + (MonteCarlo!$B$9 + MonteCarlo!$B$7 ^ 2 / 2) *$A25) / (MonteCarlo!$B$7 * SQRT($A25)),FALSE),"")</f>
        <v/>
      </c>
      <c r="C25" t="str">
        <f>IFERROR(C$1*SQRT($A25)*_xlfn.NORM.S.DIST((LN(C$1 / MonteCarlo!$B$5) + (MonteCarlo!$B$9 + MonteCarlo!$B$7 ^ 2 / 2) *$A25) / (MonteCarlo!$B$7 * SQRT($A25)),FALSE),"")</f>
        <v/>
      </c>
      <c r="D25" t="str">
        <f>IFERROR(D$1*SQRT($A25)*_xlfn.NORM.S.DIST((LN(D$1 / MonteCarlo!$B$5) + (MonteCarlo!$B$9 + MonteCarlo!$B$7 ^ 2 / 2) *$A25) / (MonteCarlo!$B$7 * SQRT($A25)),FALSE),"")</f>
        <v/>
      </c>
      <c r="E25" t="str">
        <f>IFERROR(E$1*SQRT($A25)*_xlfn.NORM.S.DIST((LN(E$1 / MonteCarlo!$B$5) + (MonteCarlo!$B$9 + MonteCarlo!$B$7 ^ 2 / 2) *$A25) / (MonteCarlo!$B$7 * SQRT($A25)),FALSE),"")</f>
        <v/>
      </c>
      <c r="F25" t="str">
        <f>IFERROR(F$1*SQRT($A25)*_xlfn.NORM.S.DIST((LN(F$1 / MonteCarlo!$B$5) + (MonteCarlo!$B$9 + MonteCarlo!$B$7 ^ 2 / 2) *$A25) / (MonteCarlo!$B$7 * SQRT($A25)),FALSE),"")</f>
        <v/>
      </c>
      <c r="G25" t="str">
        <f>IFERROR(G$1*SQRT($A25)*_xlfn.NORM.S.DIST((LN(G$1 / MonteCarlo!$B$5) + (MonteCarlo!$B$9 + MonteCarlo!$B$7 ^ 2 / 2) *$A25) / (MonteCarlo!$B$7 * SQRT($A25)),FALSE),"")</f>
        <v/>
      </c>
      <c r="H25" t="str">
        <f>IFERROR(H$1*SQRT($A25)*_xlfn.NORM.S.DIST((LN(H$1 / MonteCarlo!$B$5) + (MonteCarlo!$B$9 + MonteCarlo!$B$7 ^ 2 / 2) *$A25) / (MonteCarlo!$B$7 * SQRT($A25)),FALSE),"")</f>
        <v/>
      </c>
      <c r="I25" t="str">
        <f>IFERROR(I$1*SQRT($A25)*_xlfn.NORM.S.DIST((LN(I$1 / MonteCarlo!$B$5) + (MonteCarlo!$B$9 + MonteCarlo!$B$7 ^ 2 / 2) *$A25) / (MonteCarlo!$B$7 * SQRT($A25)),FALSE),"")</f>
        <v/>
      </c>
      <c r="J25" t="str">
        <f>IFERROR(J$1*SQRT($A25)*_xlfn.NORM.S.DIST((LN(J$1 / MonteCarlo!$B$5) + (MonteCarlo!$B$9 + MonteCarlo!$B$7 ^ 2 / 2) *$A25) / (MonteCarlo!$B$7 * SQRT($A25)),FALSE),"")</f>
        <v/>
      </c>
      <c r="K25" t="str">
        <f>IFERROR(K$1*SQRT($A25)*_xlfn.NORM.S.DIST((LN(K$1 / MonteCarlo!$B$5) + (MonteCarlo!$B$9 + MonteCarlo!$B$7 ^ 2 / 2) *$A25) / (MonteCarlo!$B$7 * SQRT($A25)),FALSE),"")</f>
        <v/>
      </c>
      <c r="L25" t="str">
        <f>IFERROR(L$1*SQRT($A25)*_xlfn.NORM.S.DIST((LN(L$1 / MonteCarlo!$B$5) + (MonteCarlo!$B$9 + MonteCarlo!$B$7 ^ 2 / 2) *$A25) / (MonteCarlo!$B$7 * SQRT($A25)),FALSE),"")</f>
        <v/>
      </c>
      <c r="M25" t="str">
        <f>IFERROR(M$1*SQRT($A25)*_xlfn.NORM.S.DIST((LN(M$1 / MonteCarlo!$B$5) + (MonteCarlo!$B$9 + MonteCarlo!$B$7 ^ 2 / 2) *$A25) / (MonteCarlo!$B$7 * SQRT($A25)),FALSE),"")</f>
        <v/>
      </c>
      <c r="N25" t="str">
        <f>IFERROR(N$1*SQRT($A25)*_xlfn.NORM.S.DIST((LN(N$1 / MonteCarlo!$B$5) + (MonteCarlo!$B$9 + MonteCarlo!$B$7 ^ 2 / 2) *$A25) / (MonteCarlo!$B$7 * SQRT($A25)),FALSE),"")</f>
        <v/>
      </c>
      <c r="O25" t="str">
        <f>IFERROR(O$1*SQRT($A25)*_xlfn.NORM.S.DIST((LN(O$1 / MonteCarlo!$B$5) + (MonteCarlo!$B$9 + MonteCarlo!$B$7 ^ 2 / 2) *$A25) / (MonteCarlo!$B$7 * SQRT($A25)),FALSE),"")</f>
        <v/>
      </c>
      <c r="P25" t="str">
        <f>IFERROR(P$1*SQRT($A25)*_xlfn.NORM.S.DIST((LN(P$1 / MonteCarlo!$B$5) + (MonteCarlo!$B$9 + MonteCarlo!$B$7 ^ 2 / 2) *$A25) / (MonteCarlo!$B$7 * SQRT($A25)),FALSE),"")</f>
        <v/>
      </c>
      <c r="Q25" t="str">
        <f>IFERROR(Q$1*SQRT($A25)*_xlfn.NORM.S.DIST((LN(Q$1 / MonteCarlo!$B$5) + (MonteCarlo!$B$9 + MonteCarlo!$B$7 ^ 2 / 2) *$A25) / (MonteCarlo!$B$7 * SQRT($A25)),FALSE),"")</f>
        <v/>
      </c>
      <c r="R25" t="str">
        <f>IFERROR(R$1*SQRT($A25)*_xlfn.NORM.S.DIST((LN(R$1 / MonteCarlo!$B$5) + (MonteCarlo!$B$9 + MonteCarlo!$B$7 ^ 2 / 2) *$A25) / (MonteCarlo!$B$7 * SQRT($A25)),FALSE),"")</f>
        <v/>
      </c>
      <c r="S25" t="str">
        <f>IFERROR(S$1*SQRT($A25)*_xlfn.NORM.S.DIST((LN(S$1 / MonteCarlo!$B$5) + (MonteCarlo!$B$9 + MonteCarlo!$B$7 ^ 2 / 2) *$A25) / (MonteCarlo!$B$7 * SQRT($A25)),FALSE),"")</f>
        <v/>
      </c>
      <c r="T25" t="str">
        <f>IFERROR(T$1*SQRT($A25)*_xlfn.NORM.S.DIST((LN(T$1 / MonteCarlo!$B$5) + (MonteCarlo!$B$9 + MonteCarlo!$B$7 ^ 2 / 2) *$A25) / (MonteCarlo!$B$7 * SQRT($A25)),FALSE),"")</f>
        <v/>
      </c>
      <c r="U25" t="str">
        <f>IFERROR(U$1*SQRT($A25)*_xlfn.NORM.S.DIST((LN(U$1 / MonteCarlo!$B$5) + (MonteCarlo!$B$9 + MonteCarlo!$B$7 ^ 2 / 2) *$A25) / (MonteCarlo!$B$7 * SQRT($A25)),FALSE),"")</f>
        <v/>
      </c>
      <c r="V25" t="str">
        <f>IFERROR(V$1*SQRT($A25)*_xlfn.NORM.S.DIST((LN(V$1 / MonteCarlo!$B$5) + (MonteCarlo!$B$9 + MonteCarlo!$B$7 ^ 2 / 2) *$A25) / (MonteCarlo!$B$7 * SQRT($A25)),FALSE),"")</f>
        <v/>
      </c>
      <c r="W25" t="str">
        <f>IFERROR(W$1*SQRT($A25)*_xlfn.NORM.S.DIST((LN(W$1 / MonteCarlo!$B$5) + (MonteCarlo!$B$9 + MonteCarlo!$B$7 ^ 2 / 2) *$A25) / (MonteCarlo!$B$7 * SQRT($A25)),FALSE),"")</f>
        <v/>
      </c>
      <c r="X25" t="str">
        <f>IFERROR(X$1*SQRT($A25)*_xlfn.NORM.S.DIST((LN(X$1 / MonteCarlo!$B$5) + (MonteCarlo!$B$9 + MonteCarlo!$B$7 ^ 2 / 2) *$A25) / (MonteCarlo!$B$7 * SQRT($A25)),FALSE),"")</f>
        <v/>
      </c>
      <c r="Y25" t="str">
        <f>IFERROR(Y$1*SQRT($A25)*_xlfn.NORM.S.DIST((LN(Y$1 / MonteCarlo!$B$5) + (MonteCarlo!$B$9 + MonteCarlo!$B$7 ^ 2 / 2) *$A25) / (MonteCarlo!$B$7 * SQRT($A25)),FALSE),"")</f>
        <v/>
      </c>
      <c r="Z25" t="str">
        <f>IFERROR(Z$1*SQRT($A25)*_xlfn.NORM.S.DIST((LN(Z$1 / MonteCarlo!$B$5) + (MonteCarlo!$B$9 + MonteCarlo!$B$7 ^ 2 / 2) *$A25) / (MonteCarlo!$B$7 * SQRT($A25)),FALSE),"")</f>
        <v/>
      </c>
      <c r="AA25" t="str">
        <f>IFERROR(AA$1*SQRT($A25)*_xlfn.NORM.S.DIST((LN(AA$1 / MonteCarlo!$B$5) + (MonteCarlo!$B$9 + MonteCarlo!$B$7 ^ 2 / 2) *$A25) / (MonteCarlo!$B$7 * SQRT($A25)),FALSE),"")</f>
        <v/>
      </c>
      <c r="AB25" t="str">
        <f>IFERROR(AB$1*SQRT($A25)*_xlfn.NORM.S.DIST((LN(AB$1 / MonteCarlo!$B$5) + (MonteCarlo!$B$9 + MonteCarlo!$B$7 ^ 2 / 2) *$A25) / (MonteCarlo!$B$7 * SQRT($A25)),FALSE),"")</f>
        <v/>
      </c>
      <c r="AC25" t="str">
        <f>IFERROR(AC$1*SQRT($A25)*_xlfn.NORM.S.DIST((LN(AC$1 / MonteCarlo!$B$5) + (MonteCarlo!$B$9 + MonteCarlo!$B$7 ^ 2 / 2) *$A25) / (MonteCarlo!$B$7 * SQRT($A25)),FALSE),"")</f>
        <v/>
      </c>
      <c r="AD25" t="str">
        <f>IFERROR(AD$1*SQRT($A25)*_xlfn.NORM.S.DIST((LN(AD$1 / MonteCarlo!$B$5) + (MonteCarlo!$B$9 + MonteCarlo!$B$7 ^ 2 / 2) *$A25) / (MonteCarlo!$B$7 * SQRT($A25)),FALSE),"")</f>
        <v/>
      </c>
      <c r="AE25" t="str">
        <f>IFERROR(AE$1*SQRT($A25)*_xlfn.NORM.S.DIST((LN(AE$1 / MonteCarlo!$B$5) + (MonteCarlo!$B$9 + MonteCarlo!$B$7 ^ 2 / 2) *$A25) / (MonteCarlo!$B$7 * SQRT($A25)),FALSE),"")</f>
        <v/>
      </c>
      <c r="AF25" t="str">
        <f>IFERROR(AF$1*SQRT($A25)*_xlfn.NORM.S.DIST((LN(AF$1 / MonteCarlo!$B$5) + (MonteCarlo!$B$9 + MonteCarlo!$B$7 ^ 2 / 2) *$A25) / (MonteCarlo!$B$7 * SQRT($A25)),FALSE),"")</f>
        <v/>
      </c>
    </row>
    <row r="26" spans="2:32" x14ac:dyDescent="0.25">
      <c r="B26" t="str">
        <f>IFERROR(B$1*SQRT($A26)*_xlfn.NORM.S.DIST((LN(B$1 / MonteCarlo!$B$5) + (MonteCarlo!$B$9 + MonteCarlo!$B$7 ^ 2 / 2) *$A26) / (MonteCarlo!$B$7 * SQRT($A26)),FALSE),"")</f>
        <v/>
      </c>
      <c r="C26" t="str">
        <f>IFERROR(C$1*SQRT($A26)*_xlfn.NORM.S.DIST((LN(C$1 / MonteCarlo!$B$5) + (MonteCarlo!$B$9 + MonteCarlo!$B$7 ^ 2 / 2) *$A26) / (MonteCarlo!$B$7 * SQRT($A26)),FALSE),"")</f>
        <v/>
      </c>
      <c r="D26" t="str">
        <f>IFERROR(D$1*SQRT($A26)*_xlfn.NORM.S.DIST((LN(D$1 / MonteCarlo!$B$5) + (MonteCarlo!$B$9 + MonteCarlo!$B$7 ^ 2 / 2) *$A26) / (MonteCarlo!$B$7 * SQRT($A26)),FALSE),"")</f>
        <v/>
      </c>
      <c r="E26" t="str">
        <f>IFERROR(E$1*SQRT($A26)*_xlfn.NORM.S.DIST((LN(E$1 / MonteCarlo!$B$5) + (MonteCarlo!$B$9 + MonteCarlo!$B$7 ^ 2 / 2) *$A26) / (MonteCarlo!$B$7 * SQRT($A26)),FALSE),"")</f>
        <v/>
      </c>
      <c r="F26" t="str">
        <f>IFERROR(F$1*SQRT($A26)*_xlfn.NORM.S.DIST((LN(F$1 / MonteCarlo!$B$5) + (MonteCarlo!$B$9 + MonteCarlo!$B$7 ^ 2 / 2) *$A26) / (MonteCarlo!$B$7 * SQRT($A26)),FALSE),"")</f>
        <v/>
      </c>
      <c r="G26" t="str">
        <f>IFERROR(G$1*SQRT($A26)*_xlfn.NORM.S.DIST((LN(G$1 / MonteCarlo!$B$5) + (MonteCarlo!$B$9 + MonteCarlo!$B$7 ^ 2 / 2) *$A26) / (MonteCarlo!$B$7 * SQRT($A26)),FALSE),"")</f>
        <v/>
      </c>
      <c r="H26" t="str">
        <f>IFERROR(H$1*SQRT($A26)*_xlfn.NORM.S.DIST((LN(H$1 / MonteCarlo!$B$5) + (MonteCarlo!$B$9 + MonteCarlo!$B$7 ^ 2 / 2) *$A26) / (MonteCarlo!$B$7 * SQRT($A26)),FALSE),"")</f>
        <v/>
      </c>
      <c r="I26" t="str">
        <f>IFERROR(I$1*SQRT($A26)*_xlfn.NORM.S.DIST((LN(I$1 / MonteCarlo!$B$5) + (MonteCarlo!$B$9 + MonteCarlo!$B$7 ^ 2 / 2) *$A26) / (MonteCarlo!$B$7 * SQRT($A26)),FALSE),"")</f>
        <v/>
      </c>
      <c r="J26" t="str">
        <f>IFERROR(J$1*SQRT($A26)*_xlfn.NORM.S.DIST((LN(J$1 / MonteCarlo!$B$5) + (MonteCarlo!$B$9 + MonteCarlo!$B$7 ^ 2 / 2) *$A26) / (MonteCarlo!$B$7 * SQRT($A26)),FALSE),"")</f>
        <v/>
      </c>
      <c r="K26" t="str">
        <f>IFERROR(K$1*SQRT($A26)*_xlfn.NORM.S.DIST((LN(K$1 / MonteCarlo!$B$5) + (MonteCarlo!$B$9 + MonteCarlo!$B$7 ^ 2 / 2) *$A26) / (MonteCarlo!$B$7 * SQRT($A26)),FALSE),"")</f>
        <v/>
      </c>
      <c r="L26" t="str">
        <f>IFERROR(L$1*SQRT($A26)*_xlfn.NORM.S.DIST((LN(L$1 / MonteCarlo!$B$5) + (MonteCarlo!$B$9 + MonteCarlo!$B$7 ^ 2 / 2) *$A26) / (MonteCarlo!$B$7 * SQRT($A26)),FALSE),"")</f>
        <v/>
      </c>
      <c r="M26" t="str">
        <f>IFERROR(M$1*SQRT($A26)*_xlfn.NORM.S.DIST((LN(M$1 / MonteCarlo!$B$5) + (MonteCarlo!$B$9 + MonteCarlo!$B$7 ^ 2 / 2) *$A26) / (MonteCarlo!$B$7 * SQRT($A26)),FALSE),"")</f>
        <v/>
      </c>
      <c r="N26" t="str">
        <f>IFERROR(N$1*SQRT($A26)*_xlfn.NORM.S.DIST((LN(N$1 / MonteCarlo!$B$5) + (MonteCarlo!$B$9 + MonteCarlo!$B$7 ^ 2 / 2) *$A26) / (MonteCarlo!$B$7 * SQRT($A26)),FALSE),"")</f>
        <v/>
      </c>
      <c r="O26" t="str">
        <f>IFERROR(O$1*SQRT($A26)*_xlfn.NORM.S.DIST((LN(O$1 / MonteCarlo!$B$5) + (MonteCarlo!$B$9 + MonteCarlo!$B$7 ^ 2 / 2) *$A26) / (MonteCarlo!$B$7 * SQRT($A26)),FALSE),"")</f>
        <v/>
      </c>
      <c r="P26" t="str">
        <f>IFERROR(P$1*SQRT($A26)*_xlfn.NORM.S.DIST((LN(P$1 / MonteCarlo!$B$5) + (MonteCarlo!$B$9 + MonteCarlo!$B$7 ^ 2 / 2) *$A26) / (MonteCarlo!$B$7 * SQRT($A26)),FALSE),"")</f>
        <v/>
      </c>
      <c r="Q26" t="str">
        <f>IFERROR(Q$1*SQRT($A26)*_xlfn.NORM.S.DIST((LN(Q$1 / MonteCarlo!$B$5) + (MonteCarlo!$B$9 + MonteCarlo!$B$7 ^ 2 / 2) *$A26) / (MonteCarlo!$B$7 * SQRT($A26)),FALSE),"")</f>
        <v/>
      </c>
      <c r="R26" t="str">
        <f>IFERROR(R$1*SQRT($A26)*_xlfn.NORM.S.DIST((LN(R$1 / MonteCarlo!$B$5) + (MonteCarlo!$B$9 + MonteCarlo!$B$7 ^ 2 / 2) *$A26) / (MonteCarlo!$B$7 * SQRT($A26)),FALSE),"")</f>
        <v/>
      </c>
      <c r="S26" t="str">
        <f>IFERROR(S$1*SQRT($A26)*_xlfn.NORM.S.DIST((LN(S$1 / MonteCarlo!$B$5) + (MonteCarlo!$B$9 + MonteCarlo!$B$7 ^ 2 / 2) *$A26) / (MonteCarlo!$B$7 * SQRT($A26)),FALSE),"")</f>
        <v/>
      </c>
      <c r="T26" t="str">
        <f>IFERROR(T$1*SQRT($A26)*_xlfn.NORM.S.DIST((LN(T$1 / MonteCarlo!$B$5) + (MonteCarlo!$B$9 + MonteCarlo!$B$7 ^ 2 / 2) *$A26) / (MonteCarlo!$B$7 * SQRT($A26)),FALSE),"")</f>
        <v/>
      </c>
      <c r="U26" t="str">
        <f>IFERROR(U$1*SQRT($A26)*_xlfn.NORM.S.DIST((LN(U$1 / MonteCarlo!$B$5) + (MonteCarlo!$B$9 + MonteCarlo!$B$7 ^ 2 / 2) *$A26) / (MonteCarlo!$B$7 * SQRT($A26)),FALSE),"")</f>
        <v/>
      </c>
      <c r="V26" t="str">
        <f>IFERROR(V$1*SQRT($A26)*_xlfn.NORM.S.DIST((LN(V$1 / MonteCarlo!$B$5) + (MonteCarlo!$B$9 + MonteCarlo!$B$7 ^ 2 / 2) *$A26) / (MonteCarlo!$B$7 * SQRT($A26)),FALSE),"")</f>
        <v/>
      </c>
      <c r="W26" t="str">
        <f>IFERROR(W$1*SQRT($A26)*_xlfn.NORM.S.DIST((LN(W$1 / MonteCarlo!$B$5) + (MonteCarlo!$B$9 + MonteCarlo!$B$7 ^ 2 / 2) *$A26) / (MonteCarlo!$B$7 * SQRT($A26)),FALSE),"")</f>
        <v/>
      </c>
      <c r="X26" t="str">
        <f>IFERROR(X$1*SQRT($A26)*_xlfn.NORM.S.DIST((LN(X$1 / MonteCarlo!$B$5) + (MonteCarlo!$B$9 + MonteCarlo!$B$7 ^ 2 / 2) *$A26) / (MonteCarlo!$B$7 * SQRT($A26)),FALSE),"")</f>
        <v/>
      </c>
      <c r="Y26" t="str">
        <f>IFERROR(Y$1*SQRT($A26)*_xlfn.NORM.S.DIST((LN(Y$1 / MonteCarlo!$B$5) + (MonteCarlo!$B$9 + MonteCarlo!$B$7 ^ 2 / 2) *$A26) / (MonteCarlo!$B$7 * SQRT($A26)),FALSE),"")</f>
        <v/>
      </c>
      <c r="Z26" t="str">
        <f>IFERROR(Z$1*SQRT($A26)*_xlfn.NORM.S.DIST((LN(Z$1 / MonteCarlo!$B$5) + (MonteCarlo!$B$9 + MonteCarlo!$B$7 ^ 2 / 2) *$A26) / (MonteCarlo!$B$7 * SQRT($A26)),FALSE),"")</f>
        <v/>
      </c>
      <c r="AA26" t="str">
        <f>IFERROR(AA$1*SQRT($A26)*_xlfn.NORM.S.DIST((LN(AA$1 / MonteCarlo!$B$5) + (MonteCarlo!$B$9 + MonteCarlo!$B$7 ^ 2 / 2) *$A26) / (MonteCarlo!$B$7 * SQRT($A26)),FALSE),"")</f>
        <v/>
      </c>
      <c r="AB26" t="str">
        <f>IFERROR(AB$1*SQRT($A26)*_xlfn.NORM.S.DIST((LN(AB$1 / MonteCarlo!$B$5) + (MonteCarlo!$B$9 + MonteCarlo!$B$7 ^ 2 / 2) *$A26) / (MonteCarlo!$B$7 * SQRT($A26)),FALSE),"")</f>
        <v/>
      </c>
      <c r="AC26" t="str">
        <f>IFERROR(AC$1*SQRT($A26)*_xlfn.NORM.S.DIST((LN(AC$1 / MonteCarlo!$B$5) + (MonteCarlo!$B$9 + MonteCarlo!$B$7 ^ 2 / 2) *$A26) / (MonteCarlo!$B$7 * SQRT($A26)),FALSE),"")</f>
        <v/>
      </c>
      <c r="AD26" t="str">
        <f>IFERROR(AD$1*SQRT($A26)*_xlfn.NORM.S.DIST((LN(AD$1 / MonteCarlo!$B$5) + (MonteCarlo!$B$9 + MonteCarlo!$B$7 ^ 2 / 2) *$A26) / (MonteCarlo!$B$7 * SQRT($A26)),FALSE),"")</f>
        <v/>
      </c>
      <c r="AE26" t="str">
        <f>IFERROR(AE$1*SQRT($A26)*_xlfn.NORM.S.DIST((LN(AE$1 / MonteCarlo!$B$5) + (MonteCarlo!$B$9 + MonteCarlo!$B$7 ^ 2 / 2) *$A26) / (MonteCarlo!$B$7 * SQRT($A26)),FALSE),"")</f>
        <v/>
      </c>
      <c r="AF26" t="str">
        <f>IFERROR(AF$1*SQRT($A26)*_xlfn.NORM.S.DIST((LN(AF$1 / MonteCarlo!$B$5) + (MonteCarlo!$B$9 + MonteCarlo!$B$7 ^ 2 / 2) *$A26) / (MonteCarlo!$B$7 * SQRT($A26)),FALSE),"")</f>
        <v/>
      </c>
    </row>
    <row r="27" spans="2:32" x14ac:dyDescent="0.25">
      <c r="B27" t="str">
        <f>IFERROR(B$1*SQRT($A27)*_xlfn.NORM.S.DIST((LN(B$1 / MonteCarlo!$B$5) + (MonteCarlo!$B$9 + MonteCarlo!$B$7 ^ 2 / 2) *$A27) / (MonteCarlo!$B$7 * SQRT($A27)),FALSE),"")</f>
        <v/>
      </c>
      <c r="C27" t="str">
        <f>IFERROR(C$1*SQRT($A27)*_xlfn.NORM.S.DIST((LN(C$1 / MonteCarlo!$B$5) + (MonteCarlo!$B$9 + MonteCarlo!$B$7 ^ 2 / 2) *$A27) / (MonteCarlo!$B$7 * SQRT($A27)),FALSE),"")</f>
        <v/>
      </c>
      <c r="D27" t="str">
        <f>IFERROR(D$1*SQRT($A27)*_xlfn.NORM.S.DIST((LN(D$1 / MonteCarlo!$B$5) + (MonteCarlo!$B$9 + MonteCarlo!$B$7 ^ 2 / 2) *$A27) / (MonteCarlo!$B$7 * SQRT($A27)),FALSE),"")</f>
        <v/>
      </c>
      <c r="E27" t="str">
        <f>IFERROR(E$1*SQRT($A27)*_xlfn.NORM.S.DIST((LN(E$1 / MonteCarlo!$B$5) + (MonteCarlo!$B$9 + MonteCarlo!$B$7 ^ 2 / 2) *$A27) / (MonteCarlo!$B$7 * SQRT($A27)),FALSE),"")</f>
        <v/>
      </c>
      <c r="F27" t="str">
        <f>IFERROR(F$1*SQRT($A27)*_xlfn.NORM.S.DIST((LN(F$1 / MonteCarlo!$B$5) + (MonteCarlo!$B$9 + MonteCarlo!$B$7 ^ 2 / 2) *$A27) / (MonteCarlo!$B$7 * SQRT($A27)),FALSE),"")</f>
        <v/>
      </c>
      <c r="G27" t="str">
        <f>IFERROR(G$1*SQRT($A27)*_xlfn.NORM.S.DIST((LN(G$1 / MonteCarlo!$B$5) + (MonteCarlo!$B$9 + MonteCarlo!$B$7 ^ 2 / 2) *$A27) / (MonteCarlo!$B$7 * SQRT($A27)),FALSE),"")</f>
        <v/>
      </c>
      <c r="H27" t="str">
        <f>IFERROR(H$1*SQRT($A27)*_xlfn.NORM.S.DIST((LN(H$1 / MonteCarlo!$B$5) + (MonteCarlo!$B$9 + MonteCarlo!$B$7 ^ 2 / 2) *$A27) / (MonteCarlo!$B$7 * SQRT($A27)),FALSE),"")</f>
        <v/>
      </c>
      <c r="I27" t="str">
        <f>IFERROR(I$1*SQRT($A27)*_xlfn.NORM.S.DIST((LN(I$1 / MonteCarlo!$B$5) + (MonteCarlo!$B$9 + MonteCarlo!$B$7 ^ 2 / 2) *$A27) / (MonteCarlo!$B$7 * SQRT($A27)),FALSE),"")</f>
        <v/>
      </c>
      <c r="J27" t="str">
        <f>IFERROR(J$1*SQRT($A27)*_xlfn.NORM.S.DIST((LN(J$1 / MonteCarlo!$B$5) + (MonteCarlo!$B$9 + MonteCarlo!$B$7 ^ 2 / 2) *$A27) / (MonteCarlo!$B$7 * SQRT($A27)),FALSE),"")</f>
        <v/>
      </c>
      <c r="K27" t="str">
        <f>IFERROR(K$1*SQRT($A27)*_xlfn.NORM.S.DIST((LN(K$1 / MonteCarlo!$B$5) + (MonteCarlo!$B$9 + MonteCarlo!$B$7 ^ 2 / 2) *$A27) / (MonteCarlo!$B$7 * SQRT($A27)),FALSE),"")</f>
        <v/>
      </c>
      <c r="L27" t="str">
        <f>IFERROR(L$1*SQRT($A27)*_xlfn.NORM.S.DIST((LN(L$1 / MonteCarlo!$B$5) + (MonteCarlo!$B$9 + MonteCarlo!$B$7 ^ 2 / 2) *$A27) / (MonteCarlo!$B$7 * SQRT($A27)),FALSE),"")</f>
        <v/>
      </c>
      <c r="M27" t="str">
        <f>IFERROR(M$1*SQRT($A27)*_xlfn.NORM.S.DIST((LN(M$1 / MonteCarlo!$B$5) + (MonteCarlo!$B$9 + MonteCarlo!$B$7 ^ 2 / 2) *$A27) / (MonteCarlo!$B$7 * SQRT($A27)),FALSE),"")</f>
        <v/>
      </c>
      <c r="N27" t="str">
        <f>IFERROR(N$1*SQRT($A27)*_xlfn.NORM.S.DIST((LN(N$1 / MonteCarlo!$B$5) + (MonteCarlo!$B$9 + MonteCarlo!$B$7 ^ 2 / 2) *$A27) / (MonteCarlo!$B$7 * SQRT($A27)),FALSE),"")</f>
        <v/>
      </c>
      <c r="O27" t="str">
        <f>IFERROR(O$1*SQRT($A27)*_xlfn.NORM.S.DIST((LN(O$1 / MonteCarlo!$B$5) + (MonteCarlo!$B$9 + MonteCarlo!$B$7 ^ 2 / 2) *$A27) / (MonteCarlo!$B$7 * SQRT($A27)),FALSE),"")</f>
        <v/>
      </c>
      <c r="P27" t="str">
        <f>IFERROR(P$1*SQRT($A27)*_xlfn.NORM.S.DIST((LN(P$1 / MonteCarlo!$B$5) + (MonteCarlo!$B$9 + MonteCarlo!$B$7 ^ 2 / 2) *$A27) / (MonteCarlo!$B$7 * SQRT($A27)),FALSE),"")</f>
        <v/>
      </c>
      <c r="Q27" t="str">
        <f>IFERROR(Q$1*SQRT($A27)*_xlfn.NORM.S.DIST((LN(Q$1 / MonteCarlo!$B$5) + (MonteCarlo!$B$9 + MonteCarlo!$B$7 ^ 2 / 2) *$A27) / (MonteCarlo!$B$7 * SQRT($A27)),FALSE),"")</f>
        <v/>
      </c>
      <c r="R27" t="str">
        <f>IFERROR(R$1*SQRT($A27)*_xlfn.NORM.S.DIST((LN(R$1 / MonteCarlo!$B$5) + (MonteCarlo!$B$9 + MonteCarlo!$B$7 ^ 2 / 2) *$A27) / (MonteCarlo!$B$7 * SQRT($A27)),FALSE),"")</f>
        <v/>
      </c>
      <c r="S27" t="str">
        <f>IFERROR(S$1*SQRT($A27)*_xlfn.NORM.S.DIST((LN(S$1 / MonteCarlo!$B$5) + (MonteCarlo!$B$9 + MonteCarlo!$B$7 ^ 2 / 2) *$A27) / (MonteCarlo!$B$7 * SQRT($A27)),FALSE),"")</f>
        <v/>
      </c>
      <c r="T27" t="str">
        <f>IFERROR(T$1*SQRT($A27)*_xlfn.NORM.S.DIST((LN(T$1 / MonteCarlo!$B$5) + (MonteCarlo!$B$9 + MonteCarlo!$B$7 ^ 2 / 2) *$A27) / (MonteCarlo!$B$7 * SQRT($A27)),FALSE),"")</f>
        <v/>
      </c>
      <c r="U27" t="str">
        <f>IFERROR(U$1*SQRT($A27)*_xlfn.NORM.S.DIST((LN(U$1 / MonteCarlo!$B$5) + (MonteCarlo!$B$9 + MonteCarlo!$B$7 ^ 2 / 2) *$A27) / (MonteCarlo!$B$7 * SQRT($A27)),FALSE),"")</f>
        <v/>
      </c>
      <c r="V27" t="str">
        <f>IFERROR(V$1*SQRT($A27)*_xlfn.NORM.S.DIST((LN(V$1 / MonteCarlo!$B$5) + (MonteCarlo!$B$9 + MonteCarlo!$B$7 ^ 2 / 2) *$A27) / (MonteCarlo!$B$7 * SQRT($A27)),FALSE),"")</f>
        <v/>
      </c>
      <c r="W27" t="str">
        <f>IFERROR(W$1*SQRT($A27)*_xlfn.NORM.S.DIST((LN(W$1 / MonteCarlo!$B$5) + (MonteCarlo!$B$9 + MonteCarlo!$B$7 ^ 2 / 2) *$A27) / (MonteCarlo!$B$7 * SQRT($A27)),FALSE),"")</f>
        <v/>
      </c>
      <c r="X27" t="str">
        <f>IFERROR(X$1*SQRT($A27)*_xlfn.NORM.S.DIST((LN(X$1 / MonteCarlo!$B$5) + (MonteCarlo!$B$9 + MonteCarlo!$B$7 ^ 2 / 2) *$A27) / (MonteCarlo!$B$7 * SQRT($A27)),FALSE),"")</f>
        <v/>
      </c>
      <c r="Y27" t="str">
        <f>IFERROR(Y$1*SQRT($A27)*_xlfn.NORM.S.DIST((LN(Y$1 / MonteCarlo!$B$5) + (MonteCarlo!$B$9 + MonteCarlo!$B$7 ^ 2 / 2) *$A27) / (MonteCarlo!$B$7 * SQRT($A27)),FALSE),"")</f>
        <v/>
      </c>
      <c r="Z27" t="str">
        <f>IFERROR(Z$1*SQRT($A27)*_xlfn.NORM.S.DIST((LN(Z$1 / MonteCarlo!$B$5) + (MonteCarlo!$B$9 + MonteCarlo!$B$7 ^ 2 / 2) *$A27) / (MonteCarlo!$B$7 * SQRT($A27)),FALSE),"")</f>
        <v/>
      </c>
      <c r="AA27" t="str">
        <f>IFERROR(AA$1*SQRT($A27)*_xlfn.NORM.S.DIST((LN(AA$1 / MonteCarlo!$B$5) + (MonteCarlo!$B$9 + MonteCarlo!$B$7 ^ 2 / 2) *$A27) / (MonteCarlo!$B$7 * SQRT($A27)),FALSE),"")</f>
        <v/>
      </c>
      <c r="AB27" t="str">
        <f>IFERROR(AB$1*SQRT($A27)*_xlfn.NORM.S.DIST((LN(AB$1 / MonteCarlo!$B$5) + (MonteCarlo!$B$9 + MonteCarlo!$B$7 ^ 2 / 2) *$A27) / (MonteCarlo!$B$7 * SQRT($A27)),FALSE),"")</f>
        <v/>
      </c>
      <c r="AC27" t="str">
        <f>IFERROR(AC$1*SQRT($A27)*_xlfn.NORM.S.DIST((LN(AC$1 / MonteCarlo!$B$5) + (MonteCarlo!$B$9 + MonteCarlo!$B$7 ^ 2 / 2) *$A27) / (MonteCarlo!$B$7 * SQRT($A27)),FALSE),"")</f>
        <v/>
      </c>
      <c r="AD27" t="str">
        <f>IFERROR(AD$1*SQRT($A27)*_xlfn.NORM.S.DIST((LN(AD$1 / MonteCarlo!$B$5) + (MonteCarlo!$B$9 + MonteCarlo!$B$7 ^ 2 / 2) *$A27) / (MonteCarlo!$B$7 * SQRT($A27)),FALSE),"")</f>
        <v/>
      </c>
      <c r="AE27" t="str">
        <f>IFERROR(AE$1*SQRT($A27)*_xlfn.NORM.S.DIST((LN(AE$1 / MonteCarlo!$B$5) + (MonteCarlo!$B$9 + MonteCarlo!$B$7 ^ 2 / 2) *$A27) / (MonteCarlo!$B$7 * SQRT($A27)),FALSE),"")</f>
        <v/>
      </c>
      <c r="AF27" t="str">
        <f>IFERROR(AF$1*SQRT($A27)*_xlfn.NORM.S.DIST((LN(AF$1 / MonteCarlo!$B$5) + (MonteCarlo!$B$9 + MonteCarlo!$B$7 ^ 2 / 2) *$A27) / (MonteCarlo!$B$7 * SQRT($A27)),FALSE),"")</f>
        <v/>
      </c>
    </row>
    <row r="28" spans="2:32" x14ac:dyDescent="0.25">
      <c r="B28" t="str">
        <f>IFERROR(B$1*SQRT($A28)*_xlfn.NORM.S.DIST((LN(B$1 / MonteCarlo!$B$5) + (MonteCarlo!$B$9 + MonteCarlo!$B$7 ^ 2 / 2) *$A28) / (MonteCarlo!$B$7 * SQRT($A28)),FALSE),"")</f>
        <v/>
      </c>
      <c r="C28" t="str">
        <f>IFERROR(C$1*SQRT($A28)*_xlfn.NORM.S.DIST((LN(C$1 / MonteCarlo!$B$5) + (MonteCarlo!$B$9 + MonteCarlo!$B$7 ^ 2 / 2) *$A28) / (MonteCarlo!$B$7 * SQRT($A28)),FALSE),"")</f>
        <v/>
      </c>
      <c r="D28" t="str">
        <f>IFERROR(D$1*SQRT($A28)*_xlfn.NORM.S.DIST((LN(D$1 / MonteCarlo!$B$5) + (MonteCarlo!$B$9 + MonteCarlo!$B$7 ^ 2 / 2) *$A28) / (MonteCarlo!$B$7 * SQRT($A28)),FALSE),"")</f>
        <v/>
      </c>
      <c r="E28" t="str">
        <f>IFERROR(E$1*SQRT($A28)*_xlfn.NORM.S.DIST((LN(E$1 / MonteCarlo!$B$5) + (MonteCarlo!$B$9 + MonteCarlo!$B$7 ^ 2 / 2) *$A28) / (MonteCarlo!$B$7 * SQRT($A28)),FALSE),"")</f>
        <v/>
      </c>
      <c r="F28" t="str">
        <f>IFERROR(F$1*SQRT($A28)*_xlfn.NORM.S.DIST((LN(F$1 / MonteCarlo!$B$5) + (MonteCarlo!$B$9 + MonteCarlo!$B$7 ^ 2 / 2) *$A28) / (MonteCarlo!$B$7 * SQRT($A28)),FALSE),"")</f>
        <v/>
      </c>
      <c r="G28" t="str">
        <f>IFERROR(G$1*SQRT($A28)*_xlfn.NORM.S.DIST((LN(G$1 / MonteCarlo!$B$5) + (MonteCarlo!$B$9 + MonteCarlo!$B$7 ^ 2 / 2) *$A28) / (MonteCarlo!$B$7 * SQRT($A28)),FALSE),"")</f>
        <v/>
      </c>
      <c r="H28" t="str">
        <f>IFERROR(H$1*SQRT($A28)*_xlfn.NORM.S.DIST((LN(H$1 / MonteCarlo!$B$5) + (MonteCarlo!$B$9 + MonteCarlo!$B$7 ^ 2 / 2) *$A28) / (MonteCarlo!$B$7 * SQRT($A28)),FALSE),"")</f>
        <v/>
      </c>
      <c r="I28" t="str">
        <f>IFERROR(I$1*SQRT($A28)*_xlfn.NORM.S.DIST((LN(I$1 / MonteCarlo!$B$5) + (MonteCarlo!$B$9 + MonteCarlo!$B$7 ^ 2 / 2) *$A28) / (MonteCarlo!$B$7 * SQRT($A28)),FALSE),"")</f>
        <v/>
      </c>
      <c r="J28" t="str">
        <f>IFERROR(J$1*SQRT($A28)*_xlfn.NORM.S.DIST((LN(J$1 / MonteCarlo!$B$5) + (MonteCarlo!$B$9 + MonteCarlo!$B$7 ^ 2 / 2) *$A28) / (MonteCarlo!$B$7 * SQRT($A28)),FALSE),"")</f>
        <v/>
      </c>
      <c r="K28" t="str">
        <f>IFERROR(K$1*SQRT($A28)*_xlfn.NORM.S.DIST((LN(K$1 / MonteCarlo!$B$5) + (MonteCarlo!$B$9 + MonteCarlo!$B$7 ^ 2 / 2) *$A28) / (MonteCarlo!$B$7 * SQRT($A28)),FALSE),"")</f>
        <v/>
      </c>
      <c r="L28" t="str">
        <f>IFERROR(L$1*SQRT($A28)*_xlfn.NORM.S.DIST((LN(L$1 / MonteCarlo!$B$5) + (MonteCarlo!$B$9 + MonteCarlo!$B$7 ^ 2 / 2) *$A28) / (MonteCarlo!$B$7 * SQRT($A28)),FALSE),"")</f>
        <v/>
      </c>
      <c r="M28" t="str">
        <f>IFERROR(M$1*SQRT($A28)*_xlfn.NORM.S.DIST((LN(M$1 / MonteCarlo!$B$5) + (MonteCarlo!$B$9 + MonteCarlo!$B$7 ^ 2 / 2) *$A28) / (MonteCarlo!$B$7 * SQRT($A28)),FALSE),"")</f>
        <v/>
      </c>
      <c r="N28" t="str">
        <f>IFERROR(N$1*SQRT($A28)*_xlfn.NORM.S.DIST((LN(N$1 / MonteCarlo!$B$5) + (MonteCarlo!$B$9 + MonteCarlo!$B$7 ^ 2 / 2) *$A28) / (MonteCarlo!$B$7 * SQRT($A28)),FALSE),"")</f>
        <v/>
      </c>
      <c r="O28" t="str">
        <f>IFERROR(O$1*SQRT($A28)*_xlfn.NORM.S.DIST((LN(O$1 / MonteCarlo!$B$5) + (MonteCarlo!$B$9 + MonteCarlo!$B$7 ^ 2 / 2) *$A28) / (MonteCarlo!$B$7 * SQRT($A28)),FALSE),"")</f>
        <v/>
      </c>
      <c r="P28" t="str">
        <f>IFERROR(P$1*SQRT($A28)*_xlfn.NORM.S.DIST((LN(P$1 / MonteCarlo!$B$5) + (MonteCarlo!$B$9 + MonteCarlo!$B$7 ^ 2 / 2) *$A28) / (MonteCarlo!$B$7 * SQRT($A28)),FALSE),"")</f>
        <v/>
      </c>
      <c r="Q28" t="str">
        <f>IFERROR(Q$1*SQRT($A28)*_xlfn.NORM.S.DIST((LN(Q$1 / MonteCarlo!$B$5) + (MonteCarlo!$B$9 + MonteCarlo!$B$7 ^ 2 / 2) *$A28) / (MonteCarlo!$B$7 * SQRT($A28)),FALSE),"")</f>
        <v/>
      </c>
      <c r="R28" t="str">
        <f>IFERROR(R$1*SQRT($A28)*_xlfn.NORM.S.DIST((LN(R$1 / MonteCarlo!$B$5) + (MonteCarlo!$B$9 + MonteCarlo!$B$7 ^ 2 / 2) *$A28) / (MonteCarlo!$B$7 * SQRT($A28)),FALSE),"")</f>
        <v/>
      </c>
      <c r="S28" t="str">
        <f>IFERROR(S$1*SQRT($A28)*_xlfn.NORM.S.DIST((LN(S$1 / MonteCarlo!$B$5) + (MonteCarlo!$B$9 + MonteCarlo!$B$7 ^ 2 / 2) *$A28) / (MonteCarlo!$B$7 * SQRT($A28)),FALSE),"")</f>
        <v/>
      </c>
      <c r="T28" t="str">
        <f>IFERROR(T$1*SQRT($A28)*_xlfn.NORM.S.DIST((LN(T$1 / MonteCarlo!$B$5) + (MonteCarlo!$B$9 + MonteCarlo!$B$7 ^ 2 / 2) *$A28) / (MonteCarlo!$B$7 * SQRT($A28)),FALSE),"")</f>
        <v/>
      </c>
      <c r="U28" t="str">
        <f>IFERROR(U$1*SQRT($A28)*_xlfn.NORM.S.DIST((LN(U$1 / MonteCarlo!$B$5) + (MonteCarlo!$B$9 + MonteCarlo!$B$7 ^ 2 / 2) *$A28) / (MonteCarlo!$B$7 * SQRT($A28)),FALSE),"")</f>
        <v/>
      </c>
      <c r="V28" t="str">
        <f>IFERROR(V$1*SQRT($A28)*_xlfn.NORM.S.DIST((LN(V$1 / MonteCarlo!$B$5) + (MonteCarlo!$B$9 + MonteCarlo!$B$7 ^ 2 / 2) *$A28) / (MonteCarlo!$B$7 * SQRT($A28)),FALSE),"")</f>
        <v/>
      </c>
      <c r="W28" t="str">
        <f>IFERROR(W$1*SQRT($A28)*_xlfn.NORM.S.DIST((LN(W$1 / MonteCarlo!$B$5) + (MonteCarlo!$B$9 + MonteCarlo!$B$7 ^ 2 / 2) *$A28) / (MonteCarlo!$B$7 * SQRT($A28)),FALSE),"")</f>
        <v/>
      </c>
      <c r="X28" t="str">
        <f>IFERROR(X$1*SQRT($A28)*_xlfn.NORM.S.DIST((LN(X$1 / MonteCarlo!$B$5) + (MonteCarlo!$B$9 + MonteCarlo!$B$7 ^ 2 / 2) *$A28) / (MonteCarlo!$B$7 * SQRT($A28)),FALSE),"")</f>
        <v/>
      </c>
      <c r="Y28" t="str">
        <f>IFERROR(Y$1*SQRT($A28)*_xlfn.NORM.S.DIST((LN(Y$1 / MonteCarlo!$B$5) + (MonteCarlo!$B$9 + MonteCarlo!$B$7 ^ 2 / 2) *$A28) / (MonteCarlo!$B$7 * SQRT($A28)),FALSE),"")</f>
        <v/>
      </c>
      <c r="Z28" t="str">
        <f>IFERROR(Z$1*SQRT($A28)*_xlfn.NORM.S.DIST((LN(Z$1 / MonteCarlo!$B$5) + (MonteCarlo!$B$9 + MonteCarlo!$B$7 ^ 2 / 2) *$A28) / (MonteCarlo!$B$7 * SQRT($A28)),FALSE),"")</f>
        <v/>
      </c>
      <c r="AA28" t="str">
        <f>IFERROR(AA$1*SQRT($A28)*_xlfn.NORM.S.DIST((LN(AA$1 / MonteCarlo!$B$5) + (MonteCarlo!$B$9 + MonteCarlo!$B$7 ^ 2 / 2) *$A28) / (MonteCarlo!$B$7 * SQRT($A28)),FALSE),"")</f>
        <v/>
      </c>
      <c r="AB28" t="str">
        <f>IFERROR(AB$1*SQRT($A28)*_xlfn.NORM.S.DIST((LN(AB$1 / MonteCarlo!$B$5) + (MonteCarlo!$B$9 + MonteCarlo!$B$7 ^ 2 / 2) *$A28) / (MonteCarlo!$B$7 * SQRT($A28)),FALSE),"")</f>
        <v/>
      </c>
      <c r="AC28" t="str">
        <f>IFERROR(AC$1*SQRT($A28)*_xlfn.NORM.S.DIST((LN(AC$1 / MonteCarlo!$B$5) + (MonteCarlo!$B$9 + MonteCarlo!$B$7 ^ 2 / 2) *$A28) / (MonteCarlo!$B$7 * SQRT($A28)),FALSE),"")</f>
        <v/>
      </c>
      <c r="AD28" t="str">
        <f>IFERROR(AD$1*SQRT($A28)*_xlfn.NORM.S.DIST((LN(AD$1 / MonteCarlo!$B$5) + (MonteCarlo!$B$9 + MonteCarlo!$B$7 ^ 2 / 2) *$A28) / (MonteCarlo!$B$7 * SQRT($A28)),FALSE),"")</f>
        <v/>
      </c>
      <c r="AE28" t="str">
        <f>IFERROR(AE$1*SQRT($A28)*_xlfn.NORM.S.DIST((LN(AE$1 / MonteCarlo!$B$5) + (MonteCarlo!$B$9 + MonteCarlo!$B$7 ^ 2 / 2) *$A28) / (MonteCarlo!$B$7 * SQRT($A28)),FALSE),"")</f>
        <v/>
      </c>
      <c r="AF28" t="str">
        <f>IFERROR(AF$1*SQRT($A28)*_xlfn.NORM.S.DIST((LN(AF$1 / MonteCarlo!$B$5) + (MonteCarlo!$B$9 + MonteCarlo!$B$7 ^ 2 / 2) *$A28) / (MonteCarlo!$B$7 * SQRT($A28)),FALSE),"")</f>
        <v/>
      </c>
    </row>
    <row r="29" spans="2:32" x14ac:dyDescent="0.25">
      <c r="B29" t="str">
        <f>IFERROR(B$1*SQRT($A29)*_xlfn.NORM.S.DIST((LN(B$1 / MonteCarlo!$B$5) + (MonteCarlo!$B$9 + MonteCarlo!$B$7 ^ 2 / 2) *$A29) / (MonteCarlo!$B$7 * SQRT($A29)),FALSE),"")</f>
        <v/>
      </c>
      <c r="C29" t="str">
        <f>IFERROR(C$1*SQRT($A29)*_xlfn.NORM.S.DIST((LN(C$1 / MonteCarlo!$B$5) + (MonteCarlo!$B$9 + MonteCarlo!$B$7 ^ 2 / 2) *$A29) / (MonteCarlo!$B$7 * SQRT($A29)),FALSE),"")</f>
        <v/>
      </c>
      <c r="D29" t="str">
        <f>IFERROR(D$1*SQRT($A29)*_xlfn.NORM.S.DIST((LN(D$1 / MonteCarlo!$B$5) + (MonteCarlo!$B$9 + MonteCarlo!$B$7 ^ 2 / 2) *$A29) / (MonteCarlo!$B$7 * SQRT($A29)),FALSE),"")</f>
        <v/>
      </c>
      <c r="E29" t="str">
        <f>IFERROR(E$1*SQRT($A29)*_xlfn.NORM.S.DIST((LN(E$1 / MonteCarlo!$B$5) + (MonteCarlo!$B$9 + MonteCarlo!$B$7 ^ 2 / 2) *$A29) / (MonteCarlo!$B$7 * SQRT($A29)),FALSE),"")</f>
        <v/>
      </c>
      <c r="F29" t="str">
        <f>IFERROR(F$1*SQRT($A29)*_xlfn.NORM.S.DIST((LN(F$1 / MonteCarlo!$B$5) + (MonteCarlo!$B$9 + MonteCarlo!$B$7 ^ 2 / 2) *$A29) / (MonteCarlo!$B$7 * SQRT($A29)),FALSE),"")</f>
        <v/>
      </c>
      <c r="G29" t="str">
        <f>IFERROR(G$1*SQRT($A29)*_xlfn.NORM.S.DIST((LN(G$1 / MonteCarlo!$B$5) + (MonteCarlo!$B$9 + MonteCarlo!$B$7 ^ 2 / 2) *$A29) / (MonteCarlo!$B$7 * SQRT($A29)),FALSE),"")</f>
        <v/>
      </c>
      <c r="H29" t="str">
        <f>IFERROR(H$1*SQRT($A29)*_xlfn.NORM.S.DIST((LN(H$1 / MonteCarlo!$B$5) + (MonteCarlo!$B$9 + MonteCarlo!$B$7 ^ 2 / 2) *$A29) / (MonteCarlo!$B$7 * SQRT($A29)),FALSE),"")</f>
        <v/>
      </c>
      <c r="I29" t="str">
        <f>IFERROR(I$1*SQRT($A29)*_xlfn.NORM.S.DIST((LN(I$1 / MonteCarlo!$B$5) + (MonteCarlo!$B$9 + MonteCarlo!$B$7 ^ 2 / 2) *$A29) / (MonteCarlo!$B$7 * SQRT($A29)),FALSE),"")</f>
        <v/>
      </c>
      <c r="J29" t="str">
        <f>IFERROR(J$1*SQRT($A29)*_xlfn.NORM.S.DIST((LN(J$1 / MonteCarlo!$B$5) + (MonteCarlo!$B$9 + MonteCarlo!$B$7 ^ 2 / 2) *$A29) / (MonteCarlo!$B$7 * SQRT($A29)),FALSE),"")</f>
        <v/>
      </c>
      <c r="K29" t="str">
        <f>IFERROR(K$1*SQRT($A29)*_xlfn.NORM.S.DIST((LN(K$1 / MonteCarlo!$B$5) + (MonteCarlo!$B$9 + MonteCarlo!$B$7 ^ 2 / 2) *$A29) / (MonteCarlo!$B$7 * SQRT($A29)),FALSE),"")</f>
        <v/>
      </c>
      <c r="L29" t="str">
        <f>IFERROR(L$1*SQRT($A29)*_xlfn.NORM.S.DIST((LN(L$1 / MonteCarlo!$B$5) + (MonteCarlo!$B$9 + MonteCarlo!$B$7 ^ 2 / 2) *$A29) / (MonteCarlo!$B$7 * SQRT($A29)),FALSE),"")</f>
        <v/>
      </c>
      <c r="M29" t="str">
        <f>IFERROR(M$1*SQRT($A29)*_xlfn.NORM.S.DIST((LN(M$1 / MonteCarlo!$B$5) + (MonteCarlo!$B$9 + MonteCarlo!$B$7 ^ 2 / 2) *$A29) / (MonteCarlo!$B$7 * SQRT($A29)),FALSE),"")</f>
        <v/>
      </c>
      <c r="N29" t="str">
        <f>IFERROR(N$1*SQRT($A29)*_xlfn.NORM.S.DIST((LN(N$1 / MonteCarlo!$B$5) + (MonteCarlo!$B$9 + MonteCarlo!$B$7 ^ 2 / 2) *$A29) / (MonteCarlo!$B$7 * SQRT($A29)),FALSE),"")</f>
        <v/>
      </c>
      <c r="O29" t="str">
        <f>IFERROR(O$1*SQRT($A29)*_xlfn.NORM.S.DIST((LN(O$1 / MonteCarlo!$B$5) + (MonteCarlo!$B$9 + MonteCarlo!$B$7 ^ 2 / 2) *$A29) / (MonteCarlo!$B$7 * SQRT($A29)),FALSE),"")</f>
        <v/>
      </c>
      <c r="P29" t="str">
        <f>IFERROR(P$1*SQRT($A29)*_xlfn.NORM.S.DIST((LN(P$1 / MonteCarlo!$B$5) + (MonteCarlo!$B$9 + MonteCarlo!$B$7 ^ 2 / 2) *$A29) / (MonteCarlo!$B$7 * SQRT($A29)),FALSE),"")</f>
        <v/>
      </c>
      <c r="Q29" t="str">
        <f>IFERROR(Q$1*SQRT($A29)*_xlfn.NORM.S.DIST((LN(Q$1 / MonteCarlo!$B$5) + (MonteCarlo!$B$9 + MonteCarlo!$B$7 ^ 2 / 2) *$A29) / (MonteCarlo!$B$7 * SQRT($A29)),FALSE),"")</f>
        <v/>
      </c>
      <c r="R29" t="str">
        <f>IFERROR(R$1*SQRT($A29)*_xlfn.NORM.S.DIST((LN(R$1 / MonteCarlo!$B$5) + (MonteCarlo!$B$9 + MonteCarlo!$B$7 ^ 2 / 2) *$A29) / (MonteCarlo!$B$7 * SQRT($A29)),FALSE),"")</f>
        <v/>
      </c>
      <c r="S29" t="str">
        <f>IFERROR(S$1*SQRT($A29)*_xlfn.NORM.S.DIST((LN(S$1 / MonteCarlo!$B$5) + (MonteCarlo!$B$9 + MonteCarlo!$B$7 ^ 2 / 2) *$A29) / (MonteCarlo!$B$7 * SQRT($A29)),FALSE),"")</f>
        <v/>
      </c>
      <c r="T29" t="str">
        <f>IFERROR(T$1*SQRT($A29)*_xlfn.NORM.S.DIST((LN(T$1 / MonteCarlo!$B$5) + (MonteCarlo!$B$9 + MonteCarlo!$B$7 ^ 2 / 2) *$A29) / (MonteCarlo!$B$7 * SQRT($A29)),FALSE),"")</f>
        <v/>
      </c>
      <c r="U29" t="str">
        <f>IFERROR(U$1*SQRT($A29)*_xlfn.NORM.S.DIST((LN(U$1 / MonteCarlo!$B$5) + (MonteCarlo!$B$9 + MonteCarlo!$B$7 ^ 2 / 2) *$A29) / (MonteCarlo!$B$7 * SQRT($A29)),FALSE),"")</f>
        <v/>
      </c>
      <c r="V29" t="str">
        <f>IFERROR(V$1*SQRT($A29)*_xlfn.NORM.S.DIST((LN(V$1 / MonteCarlo!$B$5) + (MonteCarlo!$B$9 + MonteCarlo!$B$7 ^ 2 / 2) *$A29) / (MonteCarlo!$B$7 * SQRT($A29)),FALSE),"")</f>
        <v/>
      </c>
      <c r="W29" t="str">
        <f>IFERROR(W$1*SQRT($A29)*_xlfn.NORM.S.DIST((LN(W$1 / MonteCarlo!$B$5) + (MonteCarlo!$B$9 + MonteCarlo!$B$7 ^ 2 / 2) *$A29) / (MonteCarlo!$B$7 * SQRT($A29)),FALSE),"")</f>
        <v/>
      </c>
      <c r="X29" t="str">
        <f>IFERROR(X$1*SQRT($A29)*_xlfn.NORM.S.DIST((LN(X$1 / MonteCarlo!$B$5) + (MonteCarlo!$B$9 + MonteCarlo!$B$7 ^ 2 / 2) *$A29) / (MonteCarlo!$B$7 * SQRT($A29)),FALSE),"")</f>
        <v/>
      </c>
      <c r="Y29" t="str">
        <f>IFERROR(Y$1*SQRT($A29)*_xlfn.NORM.S.DIST((LN(Y$1 / MonteCarlo!$B$5) + (MonteCarlo!$B$9 + MonteCarlo!$B$7 ^ 2 / 2) *$A29) / (MonteCarlo!$B$7 * SQRT($A29)),FALSE),"")</f>
        <v/>
      </c>
      <c r="Z29" t="str">
        <f>IFERROR(Z$1*SQRT($A29)*_xlfn.NORM.S.DIST((LN(Z$1 / MonteCarlo!$B$5) + (MonteCarlo!$B$9 + MonteCarlo!$B$7 ^ 2 / 2) *$A29) / (MonteCarlo!$B$7 * SQRT($A29)),FALSE),"")</f>
        <v/>
      </c>
      <c r="AA29" t="str">
        <f>IFERROR(AA$1*SQRT($A29)*_xlfn.NORM.S.DIST((LN(AA$1 / MonteCarlo!$B$5) + (MonteCarlo!$B$9 + MonteCarlo!$B$7 ^ 2 / 2) *$A29) / (MonteCarlo!$B$7 * SQRT($A29)),FALSE),"")</f>
        <v/>
      </c>
      <c r="AB29" t="str">
        <f>IFERROR(AB$1*SQRT($A29)*_xlfn.NORM.S.DIST((LN(AB$1 / MonteCarlo!$B$5) + (MonteCarlo!$B$9 + MonteCarlo!$B$7 ^ 2 / 2) *$A29) / (MonteCarlo!$B$7 * SQRT($A29)),FALSE),"")</f>
        <v/>
      </c>
      <c r="AC29" t="str">
        <f>IFERROR(AC$1*SQRT($A29)*_xlfn.NORM.S.DIST((LN(AC$1 / MonteCarlo!$B$5) + (MonteCarlo!$B$9 + MonteCarlo!$B$7 ^ 2 / 2) *$A29) / (MonteCarlo!$B$7 * SQRT($A29)),FALSE),"")</f>
        <v/>
      </c>
      <c r="AD29" t="str">
        <f>IFERROR(AD$1*SQRT($A29)*_xlfn.NORM.S.DIST((LN(AD$1 / MonteCarlo!$B$5) + (MonteCarlo!$B$9 + MonteCarlo!$B$7 ^ 2 / 2) *$A29) / (MonteCarlo!$B$7 * SQRT($A29)),FALSE),"")</f>
        <v/>
      </c>
      <c r="AE29" t="str">
        <f>IFERROR(AE$1*SQRT($A29)*_xlfn.NORM.S.DIST((LN(AE$1 / MonteCarlo!$B$5) + (MonteCarlo!$B$9 + MonteCarlo!$B$7 ^ 2 / 2) *$A29) / (MonteCarlo!$B$7 * SQRT($A29)),FALSE),"")</f>
        <v/>
      </c>
      <c r="AF29" t="str">
        <f>IFERROR(AF$1*SQRT($A29)*_xlfn.NORM.S.DIST((LN(AF$1 / MonteCarlo!$B$5) + (MonteCarlo!$B$9 + MonteCarlo!$B$7 ^ 2 / 2) *$A29) / (MonteCarlo!$B$7 * SQRT($A29)),FALSE),"")</f>
        <v/>
      </c>
    </row>
    <row r="30" spans="2:32" x14ac:dyDescent="0.25">
      <c r="B30" t="str">
        <f>IFERROR(B$1*SQRT($A30)*_xlfn.NORM.S.DIST((LN(B$1 / MonteCarlo!$B$5) + (MonteCarlo!$B$9 + MonteCarlo!$B$7 ^ 2 / 2) *$A30) / (MonteCarlo!$B$7 * SQRT($A30)),FALSE),"")</f>
        <v/>
      </c>
      <c r="C30" t="str">
        <f>IFERROR(C$1*SQRT($A30)*_xlfn.NORM.S.DIST((LN(C$1 / MonteCarlo!$B$5) + (MonteCarlo!$B$9 + MonteCarlo!$B$7 ^ 2 / 2) *$A30) / (MonteCarlo!$B$7 * SQRT($A30)),FALSE),"")</f>
        <v/>
      </c>
      <c r="D30" t="str">
        <f>IFERROR(D$1*SQRT($A30)*_xlfn.NORM.S.DIST((LN(D$1 / MonteCarlo!$B$5) + (MonteCarlo!$B$9 + MonteCarlo!$B$7 ^ 2 / 2) *$A30) / (MonteCarlo!$B$7 * SQRT($A30)),FALSE),"")</f>
        <v/>
      </c>
      <c r="E30" t="str">
        <f>IFERROR(E$1*SQRT($A30)*_xlfn.NORM.S.DIST((LN(E$1 / MonteCarlo!$B$5) + (MonteCarlo!$B$9 + MonteCarlo!$B$7 ^ 2 / 2) *$A30) / (MonteCarlo!$B$7 * SQRT($A30)),FALSE),"")</f>
        <v/>
      </c>
      <c r="F30" t="str">
        <f>IFERROR(F$1*SQRT($A30)*_xlfn.NORM.S.DIST((LN(F$1 / MonteCarlo!$B$5) + (MonteCarlo!$B$9 + MonteCarlo!$B$7 ^ 2 / 2) *$A30) / (MonteCarlo!$B$7 * SQRT($A30)),FALSE),"")</f>
        <v/>
      </c>
      <c r="G30" t="str">
        <f>IFERROR(G$1*SQRT($A30)*_xlfn.NORM.S.DIST((LN(G$1 / MonteCarlo!$B$5) + (MonteCarlo!$B$9 + MonteCarlo!$B$7 ^ 2 / 2) *$A30) / (MonteCarlo!$B$7 * SQRT($A30)),FALSE),"")</f>
        <v/>
      </c>
      <c r="H30" t="str">
        <f>IFERROR(H$1*SQRT($A30)*_xlfn.NORM.S.DIST((LN(H$1 / MonteCarlo!$B$5) + (MonteCarlo!$B$9 + MonteCarlo!$B$7 ^ 2 / 2) *$A30) / (MonteCarlo!$B$7 * SQRT($A30)),FALSE),"")</f>
        <v/>
      </c>
      <c r="I30" t="str">
        <f>IFERROR(I$1*SQRT($A30)*_xlfn.NORM.S.DIST((LN(I$1 / MonteCarlo!$B$5) + (MonteCarlo!$B$9 + MonteCarlo!$B$7 ^ 2 / 2) *$A30) / (MonteCarlo!$B$7 * SQRT($A30)),FALSE),"")</f>
        <v/>
      </c>
      <c r="J30" t="str">
        <f>IFERROR(J$1*SQRT($A30)*_xlfn.NORM.S.DIST((LN(J$1 / MonteCarlo!$B$5) + (MonteCarlo!$B$9 + MonteCarlo!$B$7 ^ 2 / 2) *$A30) / (MonteCarlo!$B$7 * SQRT($A30)),FALSE),"")</f>
        <v/>
      </c>
      <c r="K30" t="str">
        <f>IFERROR(K$1*SQRT($A30)*_xlfn.NORM.S.DIST((LN(K$1 / MonteCarlo!$B$5) + (MonteCarlo!$B$9 + MonteCarlo!$B$7 ^ 2 / 2) *$A30) / (MonteCarlo!$B$7 * SQRT($A30)),FALSE),"")</f>
        <v/>
      </c>
      <c r="L30" t="str">
        <f>IFERROR(L$1*SQRT($A30)*_xlfn.NORM.S.DIST((LN(L$1 / MonteCarlo!$B$5) + (MonteCarlo!$B$9 + MonteCarlo!$B$7 ^ 2 / 2) *$A30) / (MonteCarlo!$B$7 * SQRT($A30)),FALSE),"")</f>
        <v/>
      </c>
      <c r="M30" t="str">
        <f>IFERROR(M$1*SQRT($A30)*_xlfn.NORM.S.DIST((LN(M$1 / MonteCarlo!$B$5) + (MonteCarlo!$B$9 + MonteCarlo!$B$7 ^ 2 / 2) *$A30) / (MonteCarlo!$B$7 * SQRT($A30)),FALSE),"")</f>
        <v/>
      </c>
      <c r="N30" t="str">
        <f>IFERROR(N$1*SQRT($A30)*_xlfn.NORM.S.DIST((LN(N$1 / MonteCarlo!$B$5) + (MonteCarlo!$B$9 + MonteCarlo!$B$7 ^ 2 / 2) *$A30) / (MonteCarlo!$B$7 * SQRT($A30)),FALSE),"")</f>
        <v/>
      </c>
      <c r="O30" t="str">
        <f>IFERROR(O$1*SQRT($A30)*_xlfn.NORM.S.DIST((LN(O$1 / MonteCarlo!$B$5) + (MonteCarlo!$B$9 + MonteCarlo!$B$7 ^ 2 / 2) *$A30) / (MonteCarlo!$B$7 * SQRT($A30)),FALSE),"")</f>
        <v/>
      </c>
      <c r="P30" t="str">
        <f>IFERROR(P$1*SQRT($A30)*_xlfn.NORM.S.DIST((LN(P$1 / MonteCarlo!$B$5) + (MonteCarlo!$B$9 + MonteCarlo!$B$7 ^ 2 / 2) *$A30) / (MonteCarlo!$B$7 * SQRT($A30)),FALSE),"")</f>
        <v/>
      </c>
      <c r="Q30" t="str">
        <f>IFERROR(Q$1*SQRT($A30)*_xlfn.NORM.S.DIST((LN(Q$1 / MonteCarlo!$B$5) + (MonteCarlo!$B$9 + MonteCarlo!$B$7 ^ 2 / 2) *$A30) / (MonteCarlo!$B$7 * SQRT($A30)),FALSE),"")</f>
        <v/>
      </c>
      <c r="R30" t="str">
        <f>IFERROR(R$1*SQRT($A30)*_xlfn.NORM.S.DIST((LN(R$1 / MonteCarlo!$B$5) + (MonteCarlo!$B$9 + MonteCarlo!$B$7 ^ 2 / 2) *$A30) / (MonteCarlo!$B$7 * SQRT($A30)),FALSE),"")</f>
        <v/>
      </c>
      <c r="S30" t="str">
        <f>IFERROR(S$1*SQRT($A30)*_xlfn.NORM.S.DIST((LN(S$1 / MonteCarlo!$B$5) + (MonteCarlo!$B$9 + MonteCarlo!$B$7 ^ 2 / 2) *$A30) / (MonteCarlo!$B$7 * SQRT($A30)),FALSE),"")</f>
        <v/>
      </c>
      <c r="T30" t="str">
        <f>IFERROR(T$1*SQRT($A30)*_xlfn.NORM.S.DIST((LN(T$1 / MonteCarlo!$B$5) + (MonteCarlo!$B$9 + MonteCarlo!$B$7 ^ 2 / 2) *$A30) / (MonteCarlo!$B$7 * SQRT($A30)),FALSE),"")</f>
        <v/>
      </c>
      <c r="U30" t="str">
        <f>IFERROR(U$1*SQRT($A30)*_xlfn.NORM.S.DIST((LN(U$1 / MonteCarlo!$B$5) + (MonteCarlo!$B$9 + MonteCarlo!$B$7 ^ 2 / 2) *$A30) / (MonteCarlo!$B$7 * SQRT($A30)),FALSE),"")</f>
        <v/>
      </c>
      <c r="V30" t="str">
        <f>IFERROR(V$1*SQRT($A30)*_xlfn.NORM.S.DIST((LN(V$1 / MonteCarlo!$B$5) + (MonteCarlo!$B$9 + MonteCarlo!$B$7 ^ 2 / 2) *$A30) / (MonteCarlo!$B$7 * SQRT($A30)),FALSE),"")</f>
        <v/>
      </c>
      <c r="W30" t="str">
        <f>IFERROR(W$1*SQRT($A30)*_xlfn.NORM.S.DIST((LN(W$1 / MonteCarlo!$B$5) + (MonteCarlo!$B$9 + MonteCarlo!$B$7 ^ 2 / 2) *$A30) / (MonteCarlo!$B$7 * SQRT($A30)),FALSE),"")</f>
        <v/>
      </c>
      <c r="X30" t="str">
        <f>IFERROR(X$1*SQRT($A30)*_xlfn.NORM.S.DIST((LN(X$1 / MonteCarlo!$B$5) + (MonteCarlo!$B$9 + MonteCarlo!$B$7 ^ 2 / 2) *$A30) / (MonteCarlo!$B$7 * SQRT($A30)),FALSE),"")</f>
        <v/>
      </c>
      <c r="Y30" t="str">
        <f>IFERROR(Y$1*SQRT($A30)*_xlfn.NORM.S.DIST((LN(Y$1 / MonteCarlo!$B$5) + (MonteCarlo!$B$9 + MonteCarlo!$B$7 ^ 2 / 2) *$A30) / (MonteCarlo!$B$7 * SQRT($A30)),FALSE),"")</f>
        <v/>
      </c>
      <c r="Z30" t="str">
        <f>IFERROR(Z$1*SQRT($A30)*_xlfn.NORM.S.DIST((LN(Z$1 / MonteCarlo!$B$5) + (MonteCarlo!$B$9 + MonteCarlo!$B$7 ^ 2 / 2) *$A30) / (MonteCarlo!$B$7 * SQRT($A30)),FALSE),"")</f>
        <v/>
      </c>
      <c r="AA30" t="str">
        <f>IFERROR(AA$1*SQRT($A30)*_xlfn.NORM.S.DIST((LN(AA$1 / MonteCarlo!$B$5) + (MonteCarlo!$B$9 + MonteCarlo!$B$7 ^ 2 / 2) *$A30) / (MonteCarlo!$B$7 * SQRT($A30)),FALSE),"")</f>
        <v/>
      </c>
      <c r="AB30" t="str">
        <f>IFERROR(AB$1*SQRT($A30)*_xlfn.NORM.S.DIST((LN(AB$1 / MonteCarlo!$B$5) + (MonteCarlo!$B$9 + MonteCarlo!$B$7 ^ 2 / 2) *$A30) / (MonteCarlo!$B$7 * SQRT($A30)),FALSE),"")</f>
        <v/>
      </c>
      <c r="AC30" t="str">
        <f>IFERROR(AC$1*SQRT($A30)*_xlfn.NORM.S.DIST((LN(AC$1 / MonteCarlo!$B$5) + (MonteCarlo!$B$9 + MonteCarlo!$B$7 ^ 2 / 2) *$A30) / (MonteCarlo!$B$7 * SQRT($A30)),FALSE),"")</f>
        <v/>
      </c>
      <c r="AD30" t="str">
        <f>IFERROR(AD$1*SQRT($A30)*_xlfn.NORM.S.DIST((LN(AD$1 / MonteCarlo!$B$5) + (MonteCarlo!$B$9 + MonteCarlo!$B$7 ^ 2 / 2) *$A30) / (MonteCarlo!$B$7 * SQRT($A30)),FALSE),"")</f>
        <v/>
      </c>
      <c r="AE30" t="str">
        <f>IFERROR(AE$1*SQRT($A30)*_xlfn.NORM.S.DIST((LN(AE$1 / MonteCarlo!$B$5) + (MonteCarlo!$B$9 + MonteCarlo!$B$7 ^ 2 / 2) *$A30) / (MonteCarlo!$B$7 * SQRT($A30)),FALSE),"")</f>
        <v/>
      </c>
      <c r="AF30" t="str">
        <f>IFERROR(AF$1*SQRT($A30)*_xlfn.NORM.S.DIST((LN(AF$1 / MonteCarlo!$B$5) + (MonteCarlo!$B$9 + MonteCarlo!$B$7 ^ 2 / 2) *$A30) / (MonteCarlo!$B$7 * SQRT($A30)),FALSE),"")</f>
        <v/>
      </c>
    </row>
    <row r="31" spans="2:32" x14ac:dyDescent="0.25">
      <c r="B31" t="str">
        <f>IFERROR(B$1*SQRT($A31)*_xlfn.NORM.S.DIST((LN(B$1 / MonteCarlo!$B$5) + (MonteCarlo!$B$9 + MonteCarlo!$B$7 ^ 2 / 2) *$A31) / (MonteCarlo!$B$7 * SQRT($A31)),FALSE),"")</f>
        <v/>
      </c>
      <c r="C31" t="str">
        <f>IFERROR(C$1*SQRT($A31)*_xlfn.NORM.S.DIST((LN(C$1 / MonteCarlo!$B$5) + (MonteCarlo!$B$9 + MonteCarlo!$B$7 ^ 2 / 2) *$A31) / (MonteCarlo!$B$7 * SQRT($A31)),FALSE),"")</f>
        <v/>
      </c>
      <c r="D31" t="str">
        <f>IFERROR(D$1*SQRT($A31)*_xlfn.NORM.S.DIST((LN(D$1 / MonteCarlo!$B$5) + (MonteCarlo!$B$9 + MonteCarlo!$B$7 ^ 2 / 2) *$A31) / (MonteCarlo!$B$7 * SQRT($A31)),FALSE),"")</f>
        <v/>
      </c>
      <c r="E31" t="str">
        <f>IFERROR(E$1*SQRT($A31)*_xlfn.NORM.S.DIST((LN(E$1 / MonteCarlo!$B$5) + (MonteCarlo!$B$9 + MonteCarlo!$B$7 ^ 2 / 2) *$A31) / (MonteCarlo!$B$7 * SQRT($A31)),FALSE),"")</f>
        <v/>
      </c>
      <c r="F31" t="str">
        <f>IFERROR(F$1*SQRT($A31)*_xlfn.NORM.S.DIST((LN(F$1 / MonteCarlo!$B$5) + (MonteCarlo!$B$9 + MonteCarlo!$B$7 ^ 2 / 2) *$A31) / (MonteCarlo!$B$7 * SQRT($A31)),FALSE),"")</f>
        <v/>
      </c>
      <c r="G31" t="str">
        <f>IFERROR(G$1*SQRT($A31)*_xlfn.NORM.S.DIST((LN(G$1 / MonteCarlo!$B$5) + (MonteCarlo!$B$9 + MonteCarlo!$B$7 ^ 2 / 2) *$A31) / (MonteCarlo!$B$7 * SQRT($A31)),FALSE),"")</f>
        <v/>
      </c>
      <c r="H31" t="str">
        <f>IFERROR(H$1*SQRT($A31)*_xlfn.NORM.S.DIST((LN(H$1 / MonteCarlo!$B$5) + (MonteCarlo!$B$9 + MonteCarlo!$B$7 ^ 2 / 2) *$A31) / (MonteCarlo!$B$7 * SQRT($A31)),FALSE),"")</f>
        <v/>
      </c>
      <c r="I31" t="str">
        <f>IFERROR(I$1*SQRT($A31)*_xlfn.NORM.S.DIST((LN(I$1 / MonteCarlo!$B$5) + (MonteCarlo!$B$9 + MonteCarlo!$B$7 ^ 2 / 2) *$A31) / (MonteCarlo!$B$7 * SQRT($A31)),FALSE),"")</f>
        <v/>
      </c>
      <c r="J31" t="str">
        <f>IFERROR(J$1*SQRT($A31)*_xlfn.NORM.S.DIST((LN(J$1 / MonteCarlo!$B$5) + (MonteCarlo!$B$9 + MonteCarlo!$B$7 ^ 2 / 2) *$A31) / (MonteCarlo!$B$7 * SQRT($A31)),FALSE),"")</f>
        <v/>
      </c>
      <c r="K31" t="str">
        <f>IFERROR(K$1*SQRT($A31)*_xlfn.NORM.S.DIST((LN(K$1 / MonteCarlo!$B$5) + (MonteCarlo!$B$9 + MonteCarlo!$B$7 ^ 2 / 2) *$A31) / (MonteCarlo!$B$7 * SQRT($A31)),FALSE),"")</f>
        <v/>
      </c>
      <c r="L31" t="str">
        <f>IFERROR(L$1*SQRT($A31)*_xlfn.NORM.S.DIST((LN(L$1 / MonteCarlo!$B$5) + (MonteCarlo!$B$9 + MonteCarlo!$B$7 ^ 2 / 2) *$A31) / (MonteCarlo!$B$7 * SQRT($A31)),FALSE),"")</f>
        <v/>
      </c>
      <c r="M31" t="str">
        <f>IFERROR(M$1*SQRT($A31)*_xlfn.NORM.S.DIST((LN(M$1 / MonteCarlo!$B$5) + (MonteCarlo!$B$9 + MonteCarlo!$B$7 ^ 2 / 2) *$A31) / (MonteCarlo!$B$7 * SQRT($A31)),FALSE),"")</f>
        <v/>
      </c>
      <c r="N31" t="str">
        <f>IFERROR(N$1*SQRT($A31)*_xlfn.NORM.S.DIST((LN(N$1 / MonteCarlo!$B$5) + (MonteCarlo!$B$9 + MonteCarlo!$B$7 ^ 2 / 2) *$A31) / (MonteCarlo!$B$7 * SQRT($A31)),FALSE),"")</f>
        <v/>
      </c>
      <c r="O31" t="str">
        <f>IFERROR(O$1*SQRT($A31)*_xlfn.NORM.S.DIST((LN(O$1 / MonteCarlo!$B$5) + (MonteCarlo!$B$9 + MonteCarlo!$B$7 ^ 2 / 2) *$A31) / (MonteCarlo!$B$7 * SQRT($A31)),FALSE),"")</f>
        <v/>
      </c>
      <c r="P31" t="str">
        <f>IFERROR(P$1*SQRT($A31)*_xlfn.NORM.S.DIST((LN(P$1 / MonteCarlo!$B$5) + (MonteCarlo!$B$9 + MonteCarlo!$B$7 ^ 2 / 2) *$A31) / (MonteCarlo!$B$7 * SQRT($A31)),FALSE),"")</f>
        <v/>
      </c>
      <c r="Q31" t="str">
        <f>IFERROR(Q$1*SQRT($A31)*_xlfn.NORM.S.DIST((LN(Q$1 / MonteCarlo!$B$5) + (MonteCarlo!$B$9 + MonteCarlo!$B$7 ^ 2 / 2) *$A31) / (MonteCarlo!$B$7 * SQRT($A31)),FALSE),"")</f>
        <v/>
      </c>
      <c r="R31" t="str">
        <f>IFERROR(R$1*SQRT($A31)*_xlfn.NORM.S.DIST((LN(R$1 / MonteCarlo!$B$5) + (MonteCarlo!$B$9 + MonteCarlo!$B$7 ^ 2 / 2) *$A31) / (MonteCarlo!$B$7 * SQRT($A31)),FALSE),"")</f>
        <v/>
      </c>
      <c r="S31" t="str">
        <f>IFERROR(S$1*SQRT($A31)*_xlfn.NORM.S.DIST((LN(S$1 / MonteCarlo!$B$5) + (MonteCarlo!$B$9 + MonteCarlo!$B$7 ^ 2 / 2) *$A31) / (MonteCarlo!$B$7 * SQRT($A31)),FALSE),"")</f>
        <v/>
      </c>
      <c r="T31" t="str">
        <f>IFERROR(T$1*SQRT($A31)*_xlfn.NORM.S.DIST((LN(T$1 / MonteCarlo!$B$5) + (MonteCarlo!$B$9 + MonteCarlo!$B$7 ^ 2 / 2) *$A31) / (MonteCarlo!$B$7 * SQRT($A31)),FALSE),"")</f>
        <v/>
      </c>
      <c r="U31" t="str">
        <f>IFERROR(U$1*SQRT($A31)*_xlfn.NORM.S.DIST((LN(U$1 / MonteCarlo!$B$5) + (MonteCarlo!$B$9 + MonteCarlo!$B$7 ^ 2 / 2) *$A31) / (MonteCarlo!$B$7 * SQRT($A31)),FALSE),"")</f>
        <v/>
      </c>
      <c r="V31" t="str">
        <f>IFERROR(V$1*SQRT($A31)*_xlfn.NORM.S.DIST((LN(V$1 / MonteCarlo!$B$5) + (MonteCarlo!$B$9 + MonteCarlo!$B$7 ^ 2 / 2) *$A31) / (MonteCarlo!$B$7 * SQRT($A31)),FALSE),"")</f>
        <v/>
      </c>
      <c r="W31" t="str">
        <f>IFERROR(W$1*SQRT($A31)*_xlfn.NORM.S.DIST((LN(W$1 / MonteCarlo!$B$5) + (MonteCarlo!$B$9 + MonteCarlo!$B$7 ^ 2 / 2) *$A31) / (MonteCarlo!$B$7 * SQRT($A31)),FALSE),"")</f>
        <v/>
      </c>
      <c r="X31" t="str">
        <f>IFERROR(X$1*SQRT($A31)*_xlfn.NORM.S.DIST((LN(X$1 / MonteCarlo!$B$5) + (MonteCarlo!$B$9 + MonteCarlo!$B$7 ^ 2 / 2) *$A31) / (MonteCarlo!$B$7 * SQRT($A31)),FALSE),"")</f>
        <v/>
      </c>
      <c r="Y31" t="str">
        <f>IFERROR(Y$1*SQRT($A31)*_xlfn.NORM.S.DIST((LN(Y$1 / MonteCarlo!$B$5) + (MonteCarlo!$B$9 + MonteCarlo!$B$7 ^ 2 / 2) *$A31) / (MonteCarlo!$B$7 * SQRT($A31)),FALSE),"")</f>
        <v/>
      </c>
      <c r="Z31" t="str">
        <f>IFERROR(Z$1*SQRT($A31)*_xlfn.NORM.S.DIST((LN(Z$1 / MonteCarlo!$B$5) + (MonteCarlo!$B$9 + MonteCarlo!$B$7 ^ 2 / 2) *$A31) / (MonteCarlo!$B$7 * SQRT($A31)),FALSE),"")</f>
        <v/>
      </c>
      <c r="AA31" t="str">
        <f>IFERROR(AA$1*SQRT($A31)*_xlfn.NORM.S.DIST((LN(AA$1 / MonteCarlo!$B$5) + (MonteCarlo!$B$9 + MonteCarlo!$B$7 ^ 2 / 2) *$A31) / (MonteCarlo!$B$7 * SQRT($A31)),FALSE),"")</f>
        <v/>
      </c>
      <c r="AB31" t="str">
        <f>IFERROR(AB$1*SQRT($A31)*_xlfn.NORM.S.DIST((LN(AB$1 / MonteCarlo!$B$5) + (MonteCarlo!$B$9 + MonteCarlo!$B$7 ^ 2 / 2) *$A31) / (MonteCarlo!$B$7 * SQRT($A31)),FALSE),"")</f>
        <v/>
      </c>
      <c r="AC31" t="str">
        <f>IFERROR(AC$1*SQRT($A31)*_xlfn.NORM.S.DIST((LN(AC$1 / MonteCarlo!$B$5) + (MonteCarlo!$B$9 + MonteCarlo!$B$7 ^ 2 / 2) *$A31) / (MonteCarlo!$B$7 * SQRT($A31)),FALSE),"")</f>
        <v/>
      </c>
      <c r="AD31" t="str">
        <f>IFERROR(AD$1*SQRT($A31)*_xlfn.NORM.S.DIST((LN(AD$1 / MonteCarlo!$B$5) + (MonteCarlo!$B$9 + MonteCarlo!$B$7 ^ 2 / 2) *$A31) / (MonteCarlo!$B$7 * SQRT($A31)),FALSE),"")</f>
        <v/>
      </c>
      <c r="AE31" t="str">
        <f>IFERROR(AE$1*SQRT($A31)*_xlfn.NORM.S.DIST((LN(AE$1 / MonteCarlo!$B$5) + (MonteCarlo!$B$9 + MonteCarlo!$B$7 ^ 2 / 2) *$A31) / (MonteCarlo!$B$7 * SQRT($A31)),FALSE),"")</f>
        <v/>
      </c>
      <c r="AF31" t="str">
        <f>IFERROR(AF$1*SQRT($A31)*_xlfn.NORM.S.DIST((LN(AF$1 / MonteCarlo!$B$5) + (MonteCarlo!$B$9 + MonteCarlo!$B$7 ^ 2 / 2) *$A31) / (MonteCarlo!$B$7 * SQRT($A31)),FALSE),"")</f>
        <v/>
      </c>
    </row>
    <row r="32" spans="2:32" x14ac:dyDescent="0.25">
      <c r="B32" t="str">
        <f>IFERROR(B$1*SQRT($A32)*_xlfn.NORM.S.DIST((LN(B$1 / MonteCarlo!$B$5) + (MonteCarlo!$B$9 + MonteCarlo!$B$7 ^ 2 / 2) *$A32) / (MonteCarlo!$B$7 * SQRT($A32)),FALSE),"")</f>
        <v/>
      </c>
      <c r="C32" t="str">
        <f>IFERROR(C$1*SQRT($A32)*_xlfn.NORM.S.DIST((LN(C$1 / MonteCarlo!$B$5) + (MonteCarlo!$B$9 + MonteCarlo!$B$7 ^ 2 / 2) *$A32) / (MonteCarlo!$B$7 * SQRT($A32)),FALSE),"")</f>
        <v/>
      </c>
      <c r="D32" t="str">
        <f>IFERROR(D$1*SQRT($A32)*_xlfn.NORM.S.DIST((LN(D$1 / MonteCarlo!$B$5) + (MonteCarlo!$B$9 + MonteCarlo!$B$7 ^ 2 / 2) *$A32) / (MonteCarlo!$B$7 * SQRT($A32)),FALSE),"")</f>
        <v/>
      </c>
      <c r="E32" t="str">
        <f>IFERROR(E$1*SQRT($A32)*_xlfn.NORM.S.DIST((LN(E$1 / MonteCarlo!$B$5) + (MonteCarlo!$B$9 + MonteCarlo!$B$7 ^ 2 / 2) *$A32) / (MonteCarlo!$B$7 * SQRT($A32)),FALSE),"")</f>
        <v/>
      </c>
      <c r="F32" t="str">
        <f>IFERROR(F$1*SQRT($A32)*_xlfn.NORM.S.DIST((LN(F$1 / MonteCarlo!$B$5) + (MonteCarlo!$B$9 + MonteCarlo!$B$7 ^ 2 / 2) *$A32) / (MonteCarlo!$B$7 * SQRT($A32)),FALSE),"")</f>
        <v/>
      </c>
      <c r="G32" t="str">
        <f>IFERROR(G$1*SQRT($A32)*_xlfn.NORM.S.DIST((LN(G$1 / MonteCarlo!$B$5) + (MonteCarlo!$B$9 + MonteCarlo!$B$7 ^ 2 / 2) *$A32) / (MonteCarlo!$B$7 * SQRT($A32)),FALSE),"")</f>
        <v/>
      </c>
      <c r="H32" t="str">
        <f>IFERROR(H$1*SQRT($A32)*_xlfn.NORM.S.DIST((LN(H$1 / MonteCarlo!$B$5) + (MonteCarlo!$B$9 + MonteCarlo!$B$7 ^ 2 / 2) *$A32) / (MonteCarlo!$B$7 * SQRT($A32)),FALSE),"")</f>
        <v/>
      </c>
      <c r="I32" t="str">
        <f>IFERROR(I$1*SQRT($A32)*_xlfn.NORM.S.DIST((LN(I$1 / MonteCarlo!$B$5) + (MonteCarlo!$B$9 + MonteCarlo!$B$7 ^ 2 / 2) *$A32) / (MonteCarlo!$B$7 * SQRT($A32)),FALSE),"")</f>
        <v/>
      </c>
      <c r="J32" t="str">
        <f>IFERROR(J$1*SQRT($A32)*_xlfn.NORM.S.DIST((LN(J$1 / MonteCarlo!$B$5) + (MonteCarlo!$B$9 + MonteCarlo!$B$7 ^ 2 / 2) *$A32) / (MonteCarlo!$B$7 * SQRT($A32)),FALSE),"")</f>
        <v/>
      </c>
      <c r="K32" t="str">
        <f>IFERROR(K$1*SQRT($A32)*_xlfn.NORM.S.DIST((LN(K$1 / MonteCarlo!$B$5) + (MonteCarlo!$B$9 + MonteCarlo!$B$7 ^ 2 / 2) *$A32) / (MonteCarlo!$B$7 * SQRT($A32)),FALSE),"")</f>
        <v/>
      </c>
      <c r="L32" t="str">
        <f>IFERROR(L$1*SQRT($A32)*_xlfn.NORM.S.DIST((LN(L$1 / MonteCarlo!$B$5) + (MonteCarlo!$B$9 + MonteCarlo!$B$7 ^ 2 / 2) *$A32) / (MonteCarlo!$B$7 * SQRT($A32)),FALSE),"")</f>
        <v/>
      </c>
      <c r="M32" t="str">
        <f>IFERROR(M$1*SQRT($A32)*_xlfn.NORM.S.DIST((LN(M$1 / MonteCarlo!$B$5) + (MonteCarlo!$B$9 + MonteCarlo!$B$7 ^ 2 / 2) *$A32) / (MonteCarlo!$B$7 * SQRT($A32)),FALSE),"")</f>
        <v/>
      </c>
      <c r="N32" t="str">
        <f>IFERROR(N$1*SQRT($A32)*_xlfn.NORM.S.DIST((LN(N$1 / MonteCarlo!$B$5) + (MonteCarlo!$B$9 + MonteCarlo!$B$7 ^ 2 / 2) *$A32) / (MonteCarlo!$B$7 * SQRT($A32)),FALSE),"")</f>
        <v/>
      </c>
      <c r="O32" t="str">
        <f>IFERROR(O$1*SQRT($A32)*_xlfn.NORM.S.DIST((LN(O$1 / MonteCarlo!$B$5) + (MonteCarlo!$B$9 + MonteCarlo!$B$7 ^ 2 / 2) *$A32) / (MonteCarlo!$B$7 * SQRT($A32)),FALSE),"")</f>
        <v/>
      </c>
      <c r="P32" t="str">
        <f>IFERROR(P$1*SQRT($A32)*_xlfn.NORM.S.DIST((LN(P$1 / MonteCarlo!$B$5) + (MonteCarlo!$B$9 + MonteCarlo!$B$7 ^ 2 / 2) *$A32) / (MonteCarlo!$B$7 * SQRT($A32)),FALSE),"")</f>
        <v/>
      </c>
      <c r="Q32" t="str">
        <f>IFERROR(Q$1*SQRT($A32)*_xlfn.NORM.S.DIST((LN(Q$1 / MonteCarlo!$B$5) + (MonteCarlo!$B$9 + MonteCarlo!$B$7 ^ 2 / 2) *$A32) / (MonteCarlo!$B$7 * SQRT($A32)),FALSE),"")</f>
        <v/>
      </c>
      <c r="R32" t="str">
        <f>IFERROR(R$1*SQRT($A32)*_xlfn.NORM.S.DIST((LN(R$1 / MonteCarlo!$B$5) + (MonteCarlo!$B$9 + MonteCarlo!$B$7 ^ 2 / 2) *$A32) / (MonteCarlo!$B$7 * SQRT($A32)),FALSE),"")</f>
        <v/>
      </c>
      <c r="S32" t="str">
        <f>IFERROR(S$1*SQRT($A32)*_xlfn.NORM.S.DIST((LN(S$1 / MonteCarlo!$B$5) + (MonteCarlo!$B$9 + MonteCarlo!$B$7 ^ 2 / 2) *$A32) / (MonteCarlo!$B$7 * SQRT($A32)),FALSE),"")</f>
        <v/>
      </c>
      <c r="T32" t="str">
        <f>IFERROR(T$1*SQRT($A32)*_xlfn.NORM.S.DIST((LN(T$1 / MonteCarlo!$B$5) + (MonteCarlo!$B$9 + MonteCarlo!$B$7 ^ 2 / 2) *$A32) / (MonteCarlo!$B$7 * SQRT($A32)),FALSE),"")</f>
        <v/>
      </c>
      <c r="U32" t="str">
        <f>IFERROR(U$1*SQRT($A32)*_xlfn.NORM.S.DIST((LN(U$1 / MonteCarlo!$B$5) + (MonteCarlo!$B$9 + MonteCarlo!$B$7 ^ 2 / 2) *$A32) / (MonteCarlo!$B$7 * SQRT($A32)),FALSE),"")</f>
        <v/>
      </c>
      <c r="V32" t="str">
        <f>IFERROR(V$1*SQRT($A32)*_xlfn.NORM.S.DIST((LN(V$1 / MonteCarlo!$B$5) + (MonteCarlo!$B$9 + MonteCarlo!$B$7 ^ 2 / 2) *$A32) / (MonteCarlo!$B$7 * SQRT($A32)),FALSE),"")</f>
        <v/>
      </c>
      <c r="W32" t="str">
        <f>IFERROR(W$1*SQRT($A32)*_xlfn.NORM.S.DIST((LN(W$1 / MonteCarlo!$B$5) + (MonteCarlo!$B$9 + MonteCarlo!$B$7 ^ 2 / 2) *$A32) / (MonteCarlo!$B$7 * SQRT($A32)),FALSE),"")</f>
        <v/>
      </c>
      <c r="X32" t="str">
        <f>IFERROR(X$1*SQRT($A32)*_xlfn.NORM.S.DIST((LN(X$1 / MonteCarlo!$B$5) + (MonteCarlo!$B$9 + MonteCarlo!$B$7 ^ 2 / 2) *$A32) / (MonteCarlo!$B$7 * SQRT($A32)),FALSE),"")</f>
        <v/>
      </c>
      <c r="Y32" t="str">
        <f>IFERROR(Y$1*SQRT($A32)*_xlfn.NORM.S.DIST((LN(Y$1 / MonteCarlo!$B$5) + (MonteCarlo!$B$9 + MonteCarlo!$B$7 ^ 2 / 2) *$A32) / (MonteCarlo!$B$7 * SQRT($A32)),FALSE),"")</f>
        <v/>
      </c>
      <c r="Z32" t="str">
        <f>IFERROR(Z$1*SQRT($A32)*_xlfn.NORM.S.DIST((LN(Z$1 / MonteCarlo!$B$5) + (MonteCarlo!$B$9 + MonteCarlo!$B$7 ^ 2 / 2) *$A32) / (MonteCarlo!$B$7 * SQRT($A32)),FALSE),"")</f>
        <v/>
      </c>
      <c r="AA32" t="str">
        <f>IFERROR(AA$1*SQRT($A32)*_xlfn.NORM.S.DIST((LN(AA$1 / MonteCarlo!$B$5) + (MonteCarlo!$B$9 + MonteCarlo!$B$7 ^ 2 / 2) *$A32) / (MonteCarlo!$B$7 * SQRT($A32)),FALSE),"")</f>
        <v/>
      </c>
      <c r="AB32" t="str">
        <f>IFERROR(AB$1*SQRT($A32)*_xlfn.NORM.S.DIST((LN(AB$1 / MonteCarlo!$B$5) + (MonteCarlo!$B$9 + MonteCarlo!$B$7 ^ 2 / 2) *$A32) / (MonteCarlo!$B$7 * SQRT($A32)),FALSE),"")</f>
        <v/>
      </c>
      <c r="AC32" t="str">
        <f>IFERROR(AC$1*SQRT($A32)*_xlfn.NORM.S.DIST((LN(AC$1 / MonteCarlo!$B$5) + (MonteCarlo!$B$9 + MonteCarlo!$B$7 ^ 2 / 2) *$A32) / (MonteCarlo!$B$7 * SQRT($A32)),FALSE),"")</f>
        <v/>
      </c>
      <c r="AD32" t="str">
        <f>IFERROR(AD$1*SQRT($A32)*_xlfn.NORM.S.DIST((LN(AD$1 / MonteCarlo!$B$5) + (MonteCarlo!$B$9 + MonteCarlo!$B$7 ^ 2 / 2) *$A32) / (MonteCarlo!$B$7 * SQRT($A32)),FALSE),"")</f>
        <v/>
      </c>
      <c r="AE32" t="str">
        <f>IFERROR(AE$1*SQRT($A32)*_xlfn.NORM.S.DIST((LN(AE$1 / MonteCarlo!$B$5) + (MonteCarlo!$B$9 + MonteCarlo!$B$7 ^ 2 / 2) *$A32) / (MonteCarlo!$B$7 * SQRT($A32)),FALSE),"")</f>
        <v/>
      </c>
      <c r="AF32" t="str">
        <f>IFERROR(AF$1*SQRT($A32)*_xlfn.NORM.S.DIST((LN(AF$1 / MonteCarlo!$B$5) + (MonteCarlo!$B$9 + MonteCarlo!$B$7 ^ 2 / 2) *$A32) / (MonteCarlo!$B$7 * SQRT($A32)),FALSE),"")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sqref="A1:B1"/>
    </sheetView>
  </sheetViews>
  <sheetFormatPr defaultRowHeight="15" x14ac:dyDescent="0.25"/>
  <cols>
    <col min="2" max="2" width="193.42578125" customWidth="1"/>
  </cols>
  <sheetData>
    <row r="1" spans="1:2" s="74" customFormat="1" ht="28.5" x14ac:dyDescent="0.45">
      <c r="A1" s="83" t="s">
        <v>1019</v>
      </c>
      <c r="B1" s="84"/>
    </row>
    <row r="2" spans="1:2" x14ac:dyDescent="0.25">
      <c r="A2" s="34"/>
      <c r="B2" s="30"/>
    </row>
    <row r="3" spans="1:2" s="73" customFormat="1" ht="28.5" customHeight="1" x14ac:dyDescent="0.25">
      <c r="A3" s="75">
        <v>1</v>
      </c>
      <c r="B3" s="76" t="s">
        <v>1020</v>
      </c>
    </row>
    <row r="4" spans="1:2" s="73" customFormat="1" ht="30.75" customHeight="1" x14ac:dyDescent="0.25">
      <c r="A4" s="75">
        <v>2</v>
      </c>
      <c r="B4" s="76" t="s">
        <v>1021</v>
      </c>
    </row>
    <row r="5" spans="1:2" s="73" customFormat="1" ht="42" x14ac:dyDescent="0.25">
      <c r="A5" s="75">
        <v>3</v>
      </c>
      <c r="B5" s="77" t="s">
        <v>1022</v>
      </c>
    </row>
    <row r="6" spans="1:2" ht="15.75" thickBot="1" x14ac:dyDescent="0.3">
      <c r="A6" s="37"/>
      <c r="B6" s="39"/>
    </row>
  </sheetData>
  <mergeCells count="1">
    <mergeCell ref="A1: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2"/>
  <sheetViews>
    <sheetView workbookViewId="0">
      <selection sqref="A1:XFD1048576"/>
    </sheetView>
  </sheetViews>
  <sheetFormatPr defaultRowHeight="15" x14ac:dyDescent="0.25"/>
  <cols>
    <col min="1" max="1" width="14.140625" bestFit="1" customWidth="1"/>
  </cols>
  <sheetData>
    <row r="1" spans="1:1" x14ac:dyDescent="0.25">
      <c r="A1" t="s">
        <v>34</v>
      </c>
    </row>
    <row r="2" spans="1:1" x14ac:dyDescent="0.25">
      <c r="A2" s="19">
        <v>2.4680000000000001E-2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Options</vt:lpstr>
      <vt:lpstr>StockPrices</vt:lpstr>
      <vt:lpstr>MonteCarlo</vt:lpstr>
      <vt:lpstr>STD GBM MC</vt:lpstr>
      <vt:lpstr>JD MC</vt:lpstr>
      <vt:lpstr>LB MC</vt:lpstr>
      <vt:lpstr>Plots</vt:lpstr>
      <vt:lpstr>OptionPrice1</vt:lpstr>
      <vt:lpstr>OptionPrice2</vt:lpstr>
      <vt:lpstr>DeltaChart</vt:lpstr>
      <vt:lpstr>VegaChart</vt:lpstr>
      <vt:lpstr>Instructions</vt:lpstr>
      <vt:lpstr>risk_free_rate</vt:lpstr>
      <vt:lpstr>StockPrices!ExternalData_1</vt:lpstr>
      <vt:lpstr>Options!ExternalData_10</vt:lpstr>
      <vt:lpstr>StockPrices!ExternalData_2</vt:lpstr>
      <vt:lpstr>StockPrices!ExternalData_3</vt:lpstr>
      <vt:lpstr>StockPrices!ExternalData_4</vt:lpstr>
      <vt:lpstr>Options!ExternalData_5</vt:lpstr>
      <vt:lpstr>StockPrices!ExternalData_5</vt:lpstr>
      <vt:lpstr>StockPrices!ExternalData_6</vt:lpstr>
      <vt:lpstr>risk_free_rate!ExternalData_8</vt:lpstr>
      <vt:lpstr>Options!ExternalData_9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Donno</dc:creator>
  <cp:lastModifiedBy>Alessandro Donno</cp:lastModifiedBy>
  <dcterms:created xsi:type="dcterms:W3CDTF">2017-11-21T01:34:43Z</dcterms:created>
  <dcterms:modified xsi:type="dcterms:W3CDTF">2018-01-04T11:52:17Z</dcterms:modified>
</cp:coreProperties>
</file>